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ads" sheetId="1" state="visible" r:id="rId1"/>
    <sheet xmlns:r="http://schemas.openxmlformats.org/officeDocument/2006/relationships" name="How to check"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F4CC"/>
      </patternFill>
    </fill>
    <fill>
      <patternFill patternType="solid">
        <fgColor rgb="00E6FBF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4" customWidth="1" min="3" max="3"/>
    <col width="20" customWidth="1" min="4" max="4"/>
    <col width="20" customWidth="1" min="5" max="5"/>
    <col width="18" customWidth="1" min="10" max="10"/>
    <col width="14" customWidth="1" min="11" max="11"/>
    <col width="30" customWidth="1" min="18" max="18"/>
    <col width="40" customWidth="1" min="20" max="20"/>
    <col width="30" customWidth="1" min="21" max="21"/>
    <col width="40" customWidth="1" min="24" max="24"/>
  </cols>
  <sheetData>
    <row r="1">
      <c r="A1" s="1" t="inlineStr">
        <is>
          <t>check_id</t>
        </is>
      </c>
      <c r="B1" s="1" t="inlineStr">
        <is>
          <t>city</t>
        </is>
      </c>
      <c r="C1" s="1" t="inlineStr">
        <is>
          <t>road_name</t>
        </is>
      </c>
      <c r="D1" s="1" t="inlineStr">
        <is>
          <t>from_cross_street</t>
        </is>
      </c>
      <c r="E1" s="1" t="inlineStr">
        <is>
          <t>to_cross_street</t>
        </is>
      </c>
      <c r="F1" s="1" t="inlineStr">
        <is>
          <t>osm_way_id</t>
        </is>
      </c>
      <c r="G1" s="1" t="inlineStr">
        <is>
          <t>our_speed_mph</t>
        </is>
      </c>
      <c r="H1" s="1" t="inlineStr">
        <is>
          <t>our_speed_source</t>
        </is>
      </c>
      <c r="I1" s="1" t="inlineStr">
        <is>
          <t>cart_legal_per_map</t>
        </is>
      </c>
      <c r="J1" s="1" t="inlineStr">
        <is>
          <t>street_view_link</t>
        </is>
      </c>
      <c r="K1" s="1" t="inlineStr">
        <is>
          <t>map_link</t>
        </is>
      </c>
      <c r="L1" s="2" t="inlineStr">
        <is>
          <t>posted_speed_seen_mph</t>
        </is>
      </c>
      <c r="M1" s="2" t="inlineStr">
        <is>
          <t>sign_location_note</t>
        </is>
      </c>
      <c r="N1" s="2" t="inlineStr">
        <is>
          <t>imagery_date</t>
        </is>
      </c>
      <c r="O1" s="2" t="inlineStr">
        <is>
          <t>confidence</t>
        </is>
      </c>
      <c r="P1" s="2" t="inlineStr">
        <is>
          <t>status</t>
        </is>
      </c>
      <c r="Q1" s="2" t="inlineStr">
        <is>
          <t>checker_initials</t>
        </is>
      </c>
      <c r="R1" s="2" t="inlineStr">
        <is>
          <t>notes</t>
        </is>
      </c>
      <c r="S1" s="1" t="inlineStr">
        <is>
          <t>our_gis_survey_mph</t>
        </is>
      </c>
      <c r="T1" s="1" t="inlineStr">
        <is>
          <t>gis_survey_source</t>
        </is>
      </c>
      <c r="U1" s="1" t="inlineStr">
        <is>
          <t>source_link</t>
        </is>
      </c>
      <c r="V1" s="1" t="inlineStr">
        <is>
          <t>agree_YN</t>
        </is>
      </c>
      <c r="W1" s="1" t="inlineStr">
        <is>
          <t>resolved_mph</t>
        </is>
      </c>
      <c r="X1" s="1" t="inlineStr">
        <is>
          <t>why_in_batch</t>
        </is>
      </c>
      <c r="Y1" s="1" t="inlineStr">
        <is>
          <t>routes_using</t>
        </is>
      </c>
      <c r="Z1" s="1" t="inlineStr">
        <is>
          <t>length_m</t>
        </is>
      </c>
    </row>
    <row r="2">
      <c r="A2" t="inlineStr">
        <is>
          <t>CBD-B1-001</t>
        </is>
      </c>
      <c r="B2" t="inlineStr">
        <is>
          <t>Carlsbad</t>
        </is>
      </c>
      <c r="C2" t="inlineStr">
        <is>
          <t>Carlsbad Boulevard</t>
        </is>
      </c>
      <c r="D2" t="inlineStr">
        <is>
          <t>North Coast Highway</t>
        </is>
      </c>
      <c r="E2" t="inlineStr">
        <is>
          <t>Avenida Encinas</t>
        </is>
      </c>
      <c r="F2" t="inlineStr">
        <is>
          <t>436431496</t>
        </is>
      </c>
      <c r="G2" t="n">
        <v>50</v>
      </c>
      <c r="H2" t="inlineStr">
        <is>
          <t>city/county</t>
        </is>
      </c>
      <c r="I2" t="inlineStr">
        <is>
          <t>no</t>
        </is>
      </c>
      <c r="J2" t="inlineStr">
        <is>
          <t>https://www.google.com/maps/@?api=1&amp;map_action=pano&amp;viewpoint=33.089322,-117.312881&amp;heading=343</t>
        </is>
      </c>
      <c r="K2" t="inlineStr">
        <is>
          <t>https://www.google.com/maps/search/?api=1&amp;query=33.089322,-117.312881</t>
        </is>
      </c>
      <c r="L2" t="inlineStr"/>
      <c r="M2" t="inlineStr"/>
      <c r="N2" t="inlineStr"/>
      <c r="O2" t="inlineStr"/>
      <c r="P2" t="inlineStr">
        <is>
          <t>pending</t>
        </is>
      </c>
      <c r="Q2" t="inlineStr"/>
      <c r="R2" t="inlineStr"/>
      <c r="S2" t="inlineStr">
        <is>
          <t>50</t>
        </is>
      </c>
      <c r="T2" t="inlineStr">
        <is>
          <t>Carlsbad Blvd (Island Way - south city limit (Batiquitos Lagoon to Leucadia))</t>
        </is>
      </c>
      <c r="U2" t="inlineStr">
        <is>
          <t>https://ecode360.com/44006773</t>
        </is>
      </c>
      <c r="V2">
        <f>IF(OR(L2="",S2=""),"",IF(VALUE(L2)=VALUE(S2),"Y","N"))</f>
        <v/>
      </c>
      <c r="W2">
        <f>IF(V2="Y",S2,"")</f>
        <v/>
      </c>
      <c r="X2" t="inlineStr">
        <is>
          <t>sources disagree: map uses the official 50 mph (OSM/imagery: osm 30)</t>
        </is>
      </c>
      <c r="Y2" t="n">
        <v>1</v>
      </c>
      <c r="Z2" t="inlineStr">
        <is>
          <t>268</t>
        </is>
      </c>
    </row>
    <row r="3">
      <c r="A3" t="inlineStr">
        <is>
          <t>CBD-B1-002</t>
        </is>
      </c>
      <c r="B3" t="inlineStr">
        <is>
          <t>Carlsbad</t>
        </is>
      </c>
      <c r="C3" t="inlineStr">
        <is>
          <t>Carlsbad Boulevard</t>
        </is>
      </c>
      <c r="D3" t="inlineStr">
        <is>
          <t>North Coast Highway</t>
        </is>
      </c>
      <c r="E3" t="inlineStr">
        <is>
          <t>Avenida Encinas</t>
        </is>
      </c>
      <c r="F3" t="inlineStr">
        <is>
          <t>436431495</t>
        </is>
      </c>
      <c r="G3" t="n">
        <v>50</v>
      </c>
      <c r="H3" t="inlineStr">
        <is>
          <t>city/county</t>
        </is>
      </c>
      <c r="I3" t="inlineStr">
        <is>
          <t>no</t>
        </is>
      </c>
      <c r="J3" t="inlineStr">
        <is>
          <t>https://www.google.com/maps/@?api=1&amp;map_action=pano&amp;viewpoint=33.091718,-117.313771&amp;heading=343</t>
        </is>
      </c>
      <c r="K3" t="inlineStr">
        <is>
          <t>https://www.google.com/maps/search/?api=1&amp;query=33.091718,-117.313771</t>
        </is>
      </c>
      <c r="L3" t="inlineStr"/>
      <c r="M3" t="inlineStr"/>
      <c r="N3" t="inlineStr"/>
      <c r="O3" t="inlineStr"/>
      <c r="P3" t="inlineStr">
        <is>
          <t>pending</t>
        </is>
      </c>
      <c r="Q3" t="inlineStr"/>
      <c r="R3" t="inlineStr"/>
      <c r="S3" t="inlineStr">
        <is>
          <t>50</t>
        </is>
      </c>
      <c r="T3" t="inlineStr">
        <is>
          <t>Carlsbad Blvd (Island Way - south city limit (Batiquitos Lagoon to Leucadia))</t>
        </is>
      </c>
      <c r="U3" t="inlineStr">
        <is>
          <t>https://ecode360.com/44006773</t>
        </is>
      </c>
      <c r="V3">
        <f>IF(OR(L3="",S3=""),"",IF(VALUE(L3)=VALUE(S3),"Y","N"))</f>
        <v/>
      </c>
      <c r="W3">
        <f>IF(V3="Y",S3,"")</f>
        <v/>
      </c>
      <c r="X3" t="inlineStr">
        <is>
          <t>sources disagree: map uses the official 50 mph (OSM/imagery: osm 30)</t>
        </is>
      </c>
      <c r="Y3" t="n">
        <v>1</v>
      </c>
      <c r="Z3" t="inlineStr">
        <is>
          <t>193</t>
        </is>
      </c>
    </row>
    <row r="4">
      <c r="A4" t="inlineStr">
        <is>
          <t>CBD-B1-003</t>
        </is>
      </c>
      <c r="B4" t="inlineStr">
        <is>
          <t>Carlsbad</t>
        </is>
      </c>
      <c r="C4" t="inlineStr">
        <is>
          <t>Carlsbad Boulevard</t>
        </is>
      </c>
      <c r="D4" t="inlineStr">
        <is>
          <t>Ponto Road</t>
        </is>
      </c>
      <c r="E4" t="inlineStr">
        <is>
          <t>Avenida Encinas</t>
        </is>
      </c>
      <c r="F4" t="inlineStr">
        <is>
          <t>436431493</t>
        </is>
      </c>
      <c r="G4" t="n">
        <v>50</v>
      </c>
      <c r="H4" t="inlineStr">
        <is>
          <t>city/county</t>
        </is>
      </c>
      <c r="I4" t="inlineStr">
        <is>
          <t>no</t>
        </is>
      </c>
      <c r="J4" t="inlineStr">
        <is>
          <t>https://www.google.com/maps/@?api=1&amp;map_action=pano&amp;viewpoint=33.091805,-117.314255&amp;heading=161</t>
        </is>
      </c>
      <c r="K4" t="inlineStr">
        <is>
          <t>https://www.google.com/maps/search/?api=1&amp;query=33.091805,-117.314255</t>
        </is>
      </c>
      <c r="L4" t="inlineStr"/>
      <c r="M4" t="inlineStr"/>
      <c r="N4" t="inlineStr"/>
      <c r="O4" t="inlineStr"/>
      <c r="P4" t="inlineStr">
        <is>
          <t>pending</t>
        </is>
      </c>
      <c r="Q4" t="inlineStr"/>
      <c r="R4" t="inlineStr"/>
      <c r="S4" t="inlineStr">
        <is>
          <t>50</t>
        </is>
      </c>
      <c r="T4" t="inlineStr">
        <is>
          <t>Carlsbad Blvd (Island Way - south city limit (Batiquitos Lagoon to Leucadia))</t>
        </is>
      </c>
      <c r="U4" t="inlineStr">
        <is>
          <t>https://ecode360.com/44006773</t>
        </is>
      </c>
      <c r="V4">
        <f>IF(OR(L4="",S4=""),"",IF(VALUE(L4)=VALUE(S4),"Y","N"))</f>
        <v/>
      </c>
      <c r="W4">
        <f>IF(V4="Y",S4,"")</f>
        <v/>
      </c>
      <c r="X4" t="inlineStr">
        <is>
          <t>one official source; most-used arterial</t>
        </is>
      </c>
      <c r="Y4" t="n">
        <v>1</v>
      </c>
      <c r="Z4" t="inlineStr">
        <is>
          <t>154</t>
        </is>
      </c>
    </row>
    <row r="5">
      <c r="A5" t="inlineStr">
        <is>
          <t>CBD-B1-004</t>
        </is>
      </c>
      <c r="B5" t="inlineStr">
        <is>
          <t>Carlsbad</t>
        </is>
      </c>
      <c r="C5" t="inlineStr">
        <is>
          <t>Carlsbad Boulevard</t>
        </is>
      </c>
      <c r="D5" t="inlineStr">
        <is>
          <t>Avenida Encinas</t>
        </is>
      </c>
      <c r="E5" t="inlineStr">
        <is>
          <t>Ponto Road</t>
        </is>
      </c>
      <c r="F5" t="inlineStr">
        <is>
          <t>908227120</t>
        </is>
      </c>
      <c r="G5" t="n">
        <v>50</v>
      </c>
      <c r="H5" t="inlineStr">
        <is>
          <t>city/county</t>
        </is>
      </c>
      <c r="I5" t="inlineStr">
        <is>
          <t>no</t>
        </is>
      </c>
      <c r="J5" t="inlineStr">
        <is>
          <t>https://www.google.com/maps/@?api=1&amp;map_action=pano&amp;viewpoint=33.093700,-117.314556&amp;heading=340</t>
        </is>
      </c>
      <c r="K5" t="inlineStr">
        <is>
          <t>https://www.google.com/maps/search/?api=1&amp;query=33.093700,-117.314556</t>
        </is>
      </c>
      <c r="L5" t="inlineStr"/>
      <c r="M5" t="inlineStr"/>
      <c r="N5" t="inlineStr"/>
      <c r="O5" t="inlineStr"/>
      <c r="P5" t="inlineStr">
        <is>
          <t>pending</t>
        </is>
      </c>
      <c r="Q5" t="inlineStr"/>
      <c r="R5" t="inlineStr"/>
      <c r="S5" t="inlineStr">
        <is>
          <t>50</t>
        </is>
      </c>
      <c r="T5" t="inlineStr">
        <is>
          <t>Carlsbad Blvd (Island Way - south city limit (Batiquitos Lagoon to Leucadia))</t>
        </is>
      </c>
      <c r="U5" t="inlineStr">
        <is>
          <t>https://ecode360.com/44006773</t>
        </is>
      </c>
      <c r="V5">
        <f>IF(OR(L5="",S5=""),"",IF(VALUE(L5)=VALUE(S5),"Y","N"))</f>
        <v/>
      </c>
      <c r="W5">
        <f>IF(V5="Y",S5,"")</f>
        <v/>
      </c>
      <c r="X5" t="inlineStr">
        <is>
          <t>sources disagree: map uses the official 50 mph (OSM/imagery: osm 30)</t>
        </is>
      </c>
      <c r="Y5" t="n">
        <v>1</v>
      </c>
      <c r="Z5" t="inlineStr">
        <is>
          <t>25</t>
        </is>
      </c>
    </row>
    <row r="6">
      <c r="A6" t="inlineStr">
        <is>
          <t>CBD-B1-005</t>
        </is>
      </c>
      <c r="B6" t="inlineStr">
        <is>
          <t>Carlsbad</t>
        </is>
      </c>
      <c r="C6" t="inlineStr">
        <is>
          <t>Carlsbad Boulevard</t>
        </is>
      </c>
      <c r="D6" t="inlineStr">
        <is>
          <t>Avenida Encinas</t>
        </is>
      </c>
      <c r="E6" t="inlineStr">
        <is>
          <t>Ponto Road</t>
        </is>
      </c>
      <c r="F6" t="inlineStr">
        <is>
          <t>436431494</t>
        </is>
      </c>
      <c r="G6" t="n">
        <v>50</v>
      </c>
      <c r="H6" t="inlineStr">
        <is>
          <t>city/county</t>
        </is>
      </c>
      <c r="I6" t="inlineStr">
        <is>
          <t>no</t>
        </is>
      </c>
      <c r="J6" t="inlineStr">
        <is>
          <t>https://www.google.com/maps/@?api=1&amp;map_action=pano&amp;viewpoint=33.097898,-117.316580&amp;heading=342</t>
        </is>
      </c>
      <c r="K6" t="inlineStr">
        <is>
          <t>https://www.google.com/maps/search/?api=1&amp;query=33.097898,-117.316580</t>
        </is>
      </c>
      <c r="L6" t="inlineStr"/>
      <c r="M6" t="inlineStr"/>
      <c r="N6" t="inlineStr"/>
      <c r="O6" t="inlineStr"/>
      <c r="P6" t="inlineStr">
        <is>
          <t>pending</t>
        </is>
      </c>
      <c r="Q6" t="inlineStr"/>
      <c r="R6" t="inlineStr"/>
      <c r="S6" t="inlineStr">
        <is>
          <t>50</t>
        </is>
      </c>
      <c r="T6" t="inlineStr">
        <is>
          <t>Carlsbad Blvd (Island Way - south city limit (Batiquitos Lagoon to Leucadia))</t>
        </is>
      </c>
      <c r="U6" t="inlineStr">
        <is>
          <t>https://ecode360.com/44006773</t>
        </is>
      </c>
      <c r="V6">
        <f>IF(OR(L6="",S6=""),"",IF(VALUE(L6)=VALUE(S6),"Y","N"))</f>
        <v/>
      </c>
      <c r="W6">
        <f>IF(V6="Y",S6,"")</f>
        <v/>
      </c>
      <c r="X6" t="inlineStr">
        <is>
          <t>sources disagree: map uses the official 50 mph (OSM/imagery: osm 30)</t>
        </is>
      </c>
      <c r="Y6" t="n">
        <v>1</v>
      </c>
      <c r="Z6" t="inlineStr">
        <is>
          <t>87</t>
        </is>
      </c>
    </row>
    <row r="7">
      <c r="A7" t="inlineStr">
        <is>
          <t>CBD-B1-006</t>
        </is>
      </c>
      <c r="B7" t="inlineStr">
        <is>
          <t>Carlsbad</t>
        </is>
      </c>
      <c r="C7" t="inlineStr">
        <is>
          <t>Carlsbad Boulevard</t>
        </is>
      </c>
      <c r="D7" t="inlineStr">
        <is>
          <t>Poinsettia Lane</t>
        </is>
      </c>
      <c r="E7" t="inlineStr">
        <is>
          <t>Ponto Road</t>
        </is>
      </c>
      <c r="F7" t="inlineStr">
        <is>
          <t>436431492</t>
        </is>
      </c>
      <c r="G7" t="n">
        <v>50</v>
      </c>
      <c r="H7" t="inlineStr">
        <is>
          <t>city/county</t>
        </is>
      </c>
      <c r="I7" t="inlineStr">
        <is>
          <t>no</t>
        </is>
      </c>
      <c r="J7" t="inlineStr">
        <is>
          <t>https://www.google.com/maps/@?api=1&amp;map_action=pano&amp;viewpoint=33.098481,-117.316962&amp;heading=166</t>
        </is>
      </c>
      <c r="K7" t="inlineStr">
        <is>
          <t>https://www.google.com/maps/search/?api=1&amp;query=33.098481,-117.316962</t>
        </is>
      </c>
      <c r="L7" t="inlineStr"/>
      <c r="M7" t="inlineStr"/>
      <c r="N7" t="inlineStr"/>
      <c r="O7" t="inlineStr"/>
      <c r="P7" t="inlineStr">
        <is>
          <t>pending</t>
        </is>
      </c>
      <c r="Q7" t="inlineStr"/>
      <c r="R7" t="inlineStr"/>
      <c r="S7" t="inlineStr">
        <is>
          <t>50</t>
        </is>
      </c>
      <c r="T7" t="inlineStr">
        <is>
          <t>Carlsbad Blvd (Island Way - south city limit (Batiquitos Lagoon to Leucadia))</t>
        </is>
      </c>
      <c r="U7" t="inlineStr">
        <is>
          <t>https://ecode360.com/44006773</t>
        </is>
      </c>
      <c r="V7">
        <f>IF(OR(L7="",S7=""),"",IF(VALUE(L7)=VALUE(S7),"Y","N"))</f>
        <v/>
      </c>
      <c r="W7">
        <f>IF(V7="Y",S7,"")</f>
        <v/>
      </c>
      <c r="X7" t="inlineStr">
        <is>
          <t>one official source; most-used arterial</t>
        </is>
      </c>
      <c r="Y7" t="n">
        <v>1</v>
      </c>
      <c r="Z7" t="inlineStr">
        <is>
          <t>86</t>
        </is>
      </c>
    </row>
    <row r="8">
      <c r="A8" t="inlineStr">
        <is>
          <t>CBD-B1-007</t>
        </is>
      </c>
      <c r="B8" t="inlineStr">
        <is>
          <t>Carlsbad</t>
        </is>
      </c>
      <c r="C8" t="inlineStr">
        <is>
          <t>Carlsbad Boulevard</t>
        </is>
      </c>
      <c r="D8" t="inlineStr">
        <is>
          <t>Ponto Road</t>
        </is>
      </c>
      <c r="E8" t="inlineStr">
        <is>
          <t>Poinsettia Lane</t>
        </is>
      </c>
      <c r="F8" t="inlineStr">
        <is>
          <t>435654183</t>
        </is>
      </c>
      <c r="G8" t="n">
        <v>50</v>
      </c>
      <c r="H8" t="inlineStr">
        <is>
          <t>city/county</t>
        </is>
      </c>
      <c r="I8" t="inlineStr">
        <is>
          <t>no</t>
        </is>
      </c>
      <c r="J8" t="inlineStr">
        <is>
          <t>https://www.google.com/maps/@?api=1&amp;map_action=pano&amp;viewpoint=33.100764,-117.317648&amp;heading=341</t>
        </is>
      </c>
      <c r="K8" t="inlineStr">
        <is>
          <t>https://www.google.com/maps/search/?api=1&amp;query=33.100764,-117.317648</t>
        </is>
      </c>
      <c r="L8" t="inlineStr"/>
      <c r="M8" t="inlineStr"/>
      <c r="N8" t="inlineStr"/>
      <c r="O8" t="inlineStr"/>
      <c r="P8" t="inlineStr">
        <is>
          <t>pending</t>
        </is>
      </c>
      <c r="Q8" t="inlineStr"/>
      <c r="R8" t="inlineStr"/>
      <c r="S8" t="inlineStr">
        <is>
          <t>50</t>
        </is>
      </c>
      <c r="T8" t="inlineStr">
        <is>
          <t>Carlsbad Blvd (Island Way - south city limit (Batiquitos Lagoon to Leucadia))</t>
        </is>
      </c>
      <c r="U8" t="inlineStr">
        <is>
          <t>https://ecode360.com/44006773</t>
        </is>
      </c>
      <c r="V8">
        <f>IF(OR(L8="",S8=""),"",IF(VALUE(L8)=VALUE(S8),"Y","N"))</f>
        <v/>
      </c>
      <c r="W8">
        <f>IF(V8="Y",S8,"")</f>
        <v/>
      </c>
      <c r="X8" t="inlineStr">
        <is>
          <t>sources disagree: map uses the official 50 mph (OSM/imagery: osm 30)</t>
        </is>
      </c>
      <c r="Y8" t="n">
        <v>1</v>
      </c>
      <c r="Z8" t="inlineStr">
        <is>
          <t>322</t>
        </is>
      </c>
    </row>
    <row r="9">
      <c r="A9" t="inlineStr">
        <is>
          <t>CBD-B1-008</t>
        </is>
      </c>
      <c r="B9" t="inlineStr">
        <is>
          <t>Carlsbad</t>
        </is>
      </c>
      <c r="C9" t="inlineStr">
        <is>
          <t>Carlsbad Boulevard</t>
        </is>
      </c>
      <c r="D9" t="inlineStr">
        <is>
          <t>Ponto Road</t>
        </is>
      </c>
      <c r="E9" t="inlineStr">
        <is>
          <t>Poinsettia Lane</t>
        </is>
      </c>
      <c r="F9" t="inlineStr">
        <is>
          <t>436609337</t>
        </is>
      </c>
      <c r="G9" t="n">
        <v>50</v>
      </c>
      <c r="H9" t="inlineStr">
        <is>
          <t>city/county</t>
        </is>
      </c>
      <c r="I9" t="inlineStr">
        <is>
          <t>no</t>
        </is>
      </c>
      <c r="J9" t="inlineStr">
        <is>
          <t>https://www.google.com/maps/@?api=1&amp;map_action=pano&amp;viewpoint=33.101239,-117.317854&amp;heading=341</t>
        </is>
      </c>
      <c r="K9" t="inlineStr">
        <is>
          <t>https://www.google.com/maps/search/?api=1&amp;query=33.101239,-117.317854</t>
        </is>
      </c>
      <c r="L9" t="inlineStr"/>
      <c r="M9" t="inlineStr"/>
      <c r="N9" t="inlineStr"/>
      <c r="O9" t="inlineStr"/>
      <c r="P9" t="inlineStr">
        <is>
          <t>pending</t>
        </is>
      </c>
      <c r="Q9" t="inlineStr"/>
      <c r="R9" t="inlineStr"/>
      <c r="S9" t="inlineStr">
        <is>
          <t>50</t>
        </is>
      </c>
      <c r="T9" t="inlineStr">
        <is>
          <t>Carlsbad Blvd (Island Way - south city limit (Batiquitos Lagoon to Leucadia))</t>
        </is>
      </c>
      <c r="U9" t="inlineStr">
        <is>
          <t>https://ecode360.com/44006773</t>
        </is>
      </c>
      <c r="V9">
        <f>IF(OR(L9="",S9=""),"",IF(VALUE(L9)=VALUE(S9),"Y","N"))</f>
        <v/>
      </c>
      <c r="W9">
        <f>IF(V9="Y",S9,"")</f>
        <v/>
      </c>
      <c r="X9" t="inlineStr">
        <is>
          <t>sources disagree: map uses the official 50 mph (OSM/imagery: osm 30)</t>
        </is>
      </c>
      <c r="Y9" t="n">
        <v>1</v>
      </c>
      <c r="Z9" t="inlineStr">
        <is>
          <t>7</t>
        </is>
      </c>
    </row>
    <row r="10">
      <c r="A10" t="inlineStr">
        <is>
          <t>CBD-B1-009</t>
        </is>
      </c>
      <c r="B10" t="inlineStr">
        <is>
          <t>Carlsbad</t>
        </is>
      </c>
      <c r="C10" t="inlineStr">
        <is>
          <t>Carlsbad Boulevard</t>
        </is>
      </c>
      <c r="D10" t="inlineStr">
        <is>
          <t>Ponto Road</t>
        </is>
      </c>
      <c r="E10" t="inlineStr">
        <is>
          <t>Poinsettia Lane</t>
        </is>
      </c>
      <c r="F10" t="inlineStr">
        <is>
          <t>435654179</t>
        </is>
      </c>
      <c r="G10" t="n">
        <v>50</v>
      </c>
      <c r="H10" t="inlineStr">
        <is>
          <t>city/county</t>
        </is>
      </c>
      <c r="I10" t="inlineStr">
        <is>
          <t>no</t>
        </is>
      </c>
      <c r="J10" t="inlineStr">
        <is>
          <t>https://www.google.com/maps/@?api=1&amp;map_action=pano&amp;viewpoint=33.101712,-117.318044&amp;heading=341</t>
        </is>
      </c>
      <c r="K10" t="inlineStr">
        <is>
          <t>https://www.google.com/maps/search/?api=1&amp;query=33.101712,-117.318044</t>
        </is>
      </c>
      <c r="L10" t="inlineStr"/>
      <c r="M10" t="inlineStr"/>
      <c r="N10" t="inlineStr"/>
      <c r="O10" t="inlineStr"/>
      <c r="P10" t="inlineStr">
        <is>
          <t>pending</t>
        </is>
      </c>
      <c r="Q10" t="inlineStr"/>
      <c r="R10" t="inlineStr"/>
      <c r="S10" t="inlineStr">
        <is>
          <t>50</t>
        </is>
      </c>
      <c r="T10" t="inlineStr">
        <is>
          <t>Carlsbad Blvd (Island Way - south city limit (Batiquitos Lagoon to Leucadia))</t>
        </is>
      </c>
      <c r="U10" t="inlineStr">
        <is>
          <t>https://ecode360.com/44006773</t>
        </is>
      </c>
      <c r="V10">
        <f>IF(OR(L10="",S10=""),"",IF(VALUE(L10)=VALUE(S10),"Y","N"))</f>
        <v/>
      </c>
      <c r="W10">
        <f>IF(V10="Y",S10,"")</f>
        <v/>
      </c>
      <c r="X10" t="inlineStr">
        <is>
          <t>sources disagree: map uses the official 50 mph (OSM/imagery: osm 30)</t>
        </is>
      </c>
      <c r="Y10" t="n">
        <v>1</v>
      </c>
      <c r="Z10" t="inlineStr">
        <is>
          <t>63</t>
        </is>
      </c>
    </row>
    <row r="11">
      <c r="A11" t="inlineStr">
        <is>
          <t>CBD-B1-010</t>
        </is>
      </c>
      <c r="B11" t="inlineStr">
        <is>
          <t>Carlsbad</t>
        </is>
      </c>
      <c r="C11" t="inlineStr">
        <is>
          <t>Carlsbad Boulevard</t>
        </is>
      </c>
      <c r="D11" t="inlineStr">
        <is>
          <t>Breakwater Road</t>
        </is>
      </c>
      <c r="E11" t="inlineStr">
        <is>
          <t>Poinsettia Lane</t>
        </is>
      </c>
      <c r="F11" t="inlineStr">
        <is>
          <t>435654177</t>
        </is>
      </c>
      <c r="G11" t="n">
        <v>50</v>
      </c>
      <c r="H11" t="inlineStr">
        <is>
          <t>city/county</t>
        </is>
      </c>
      <c r="I11" t="inlineStr">
        <is>
          <t>no</t>
        </is>
      </c>
      <c r="J11" t="inlineStr">
        <is>
          <t>https://www.google.com/maps/@?api=1&amp;map_action=pano&amp;viewpoint=33.102103,-117.318378&amp;heading=160</t>
        </is>
      </c>
      <c r="K11" t="inlineStr">
        <is>
          <t>https://www.google.com/maps/search/?api=1&amp;query=33.102103,-117.318378</t>
        </is>
      </c>
      <c r="L11" t="inlineStr"/>
      <c r="M11" t="inlineStr"/>
      <c r="N11" t="inlineStr"/>
      <c r="O11" t="inlineStr"/>
      <c r="P11" t="inlineStr">
        <is>
          <t>pending</t>
        </is>
      </c>
      <c r="Q11" t="inlineStr"/>
      <c r="R11" t="inlineStr"/>
      <c r="S11" t="inlineStr">
        <is>
          <t>50</t>
        </is>
      </c>
      <c r="T11" t="inlineStr">
        <is>
          <t>Carlsbad Blvd (Island Way - south city limit (Batiquitos Lagoon to Leucadia))</t>
        </is>
      </c>
      <c r="U11" t="inlineStr">
        <is>
          <t>https://ecode360.com/44006773</t>
        </is>
      </c>
      <c r="V11">
        <f>IF(OR(L11="",S11=""),"",IF(VALUE(L11)=VALUE(S11),"Y","N"))</f>
        <v/>
      </c>
      <c r="W11">
        <f>IF(V11="Y",S11,"")</f>
        <v/>
      </c>
      <c r="X11" t="inlineStr">
        <is>
          <t>one official source; most-used arterial</t>
        </is>
      </c>
      <c r="Y11" t="n">
        <v>1</v>
      </c>
      <c r="Z11" t="inlineStr">
        <is>
          <t>108</t>
        </is>
      </c>
    </row>
    <row r="12">
      <c r="A12" t="inlineStr">
        <is>
          <t>CBD-B1-011</t>
        </is>
      </c>
      <c r="B12" t="inlineStr">
        <is>
          <t>Carlsbad</t>
        </is>
      </c>
      <c r="C12" t="inlineStr">
        <is>
          <t>Carlsbad Boulevard</t>
        </is>
      </c>
      <c r="D12" t="inlineStr">
        <is>
          <t>Poinsettia Lane</t>
        </is>
      </c>
      <c r="E12" t="inlineStr">
        <is>
          <t>Breakwater Road</t>
        </is>
      </c>
      <c r="F12" t="inlineStr">
        <is>
          <t>435654178</t>
        </is>
      </c>
      <c r="G12" t="n">
        <v>50</v>
      </c>
      <c r="H12" t="inlineStr">
        <is>
          <t>city/county</t>
        </is>
      </c>
      <c r="I12" t="inlineStr">
        <is>
          <t>no</t>
        </is>
      </c>
      <c r="J12" t="inlineStr">
        <is>
          <t>https://www.google.com/maps/@?api=1&amp;map_action=pano&amp;viewpoint=33.105886,-117.319926&amp;heading=337</t>
        </is>
      </c>
      <c r="K12" t="inlineStr">
        <is>
          <t>https://www.google.com/maps/search/?api=1&amp;query=33.105886,-117.319926</t>
        </is>
      </c>
      <c r="L12" t="inlineStr"/>
      <c r="M12" t="inlineStr"/>
      <c r="N12" t="inlineStr"/>
      <c r="O12" t="inlineStr"/>
      <c r="P12" t="inlineStr">
        <is>
          <t>pending</t>
        </is>
      </c>
      <c r="Q12" t="inlineStr"/>
      <c r="R12" t="inlineStr"/>
      <c r="S12" t="inlineStr">
        <is>
          <t>50</t>
        </is>
      </c>
      <c r="T12" t="inlineStr">
        <is>
          <t>Carlsbad Blvd (Island Way - south city limit (Batiquitos Lagoon to Leucadia))</t>
        </is>
      </c>
      <c r="U12" t="inlineStr">
        <is>
          <t>https://ecode360.com/44006773</t>
        </is>
      </c>
      <c r="V12">
        <f>IF(OR(L12="",S12=""),"",IF(VALUE(L12)=VALUE(S12),"Y","N"))</f>
        <v/>
      </c>
      <c r="W12">
        <f>IF(V12="Y",S12,"")</f>
        <v/>
      </c>
      <c r="X12" t="inlineStr">
        <is>
          <t>sources disagree: map uses the official 50 mph (OSM/imagery: osm 30)</t>
        </is>
      </c>
      <c r="Y12" t="n">
        <v>1</v>
      </c>
      <c r="Z12" t="inlineStr">
        <is>
          <t>89</t>
        </is>
      </c>
    </row>
    <row r="13">
      <c r="A13" t="inlineStr">
        <is>
          <t>CBD-B1-012</t>
        </is>
      </c>
      <c r="B13" t="inlineStr">
        <is>
          <t>Carlsbad</t>
        </is>
      </c>
      <c r="C13" t="inlineStr">
        <is>
          <t>Carlsbad Boulevard</t>
        </is>
      </c>
      <c r="D13" t="inlineStr">
        <is>
          <t>Island Way</t>
        </is>
      </c>
      <c r="E13" t="inlineStr">
        <is>
          <t>Breakwater Road</t>
        </is>
      </c>
      <c r="F13" t="inlineStr">
        <is>
          <t>435654180</t>
        </is>
      </c>
      <c r="G13" t="n">
        <v>50</v>
      </c>
      <c r="H13" t="inlineStr">
        <is>
          <t>city/county</t>
        </is>
      </c>
      <c r="I13" t="inlineStr">
        <is>
          <t>no</t>
        </is>
      </c>
      <c r="J13" t="inlineStr">
        <is>
          <t>https://www.google.com/maps/@?api=1&amp;map_action=pano&amp;viewpoint=33.106054,-117.320209&amp;heading=154</t>
        </is>
      </c>
      <c r="K13" t="inlineStr">
        <is>
          <t>https://www.google.com/maps/search/?api=1&amp;query=33.106054,-117.320209</t>
        </is>
      </c>
      <c r="L13" t="inlineStr"/>
      <c r="M13" t="inlineStr"/>
      <c r="N13" t="inlineStr"/>
      <c r="O13" t="inlineStr"/>
      <c r="P13" t="inlineStr">
        <is>
          <t>pending</t>
        </is>
      </c>
      <c r="Q13" t="inlineStr"/>
      <c r="R13" t="inlineStr"/>
      <c r="S13" t="inlineStr">
        <is>
          <t>50</t>
        </is>
      </c>
      <c r="T13" t="inlineStr">
        <is>
          <t>Carlsbad Blvd (Island Way - south city limit (Batiquitos Lagoon to Leucadia))</t>
        </is>
      </c>
      <c r="U13" t="inlineStr">
        <is>
          <t>https://ecode360.com/44006773</t>
        </is>
      </c>
      <c r="V13">
        <f>IF(OR(L13="",S13=""),"",IF(VALUE(L13)=VALUE(S13),"Y","N"))</f>
        <v/>
      </c>
      <c r="W13">
        <f>IF(V13="Y",S13,"")</f>
        <v/>
      </c>
      <c r="X13" t="inlineStr">
        <is>
          <t>one official source; most-used arterial</t>
        </is>
      </c>
      <c r="Y13" t="n">
        <v>1</v>
      </c>
      <c r="Z13" t="inlineStr">
        <is>
          <t>70</t>
        </is>
      </c>
    </row>
    <row r="14">
      <c r="A14" t="inlineStr">
        <is>
          <t>CBD-B1-013</t>
        </is>
      </c>
      <c r="B14" t="inlineStr">
        <is>
          <t>Carlsbad</t>
        </is>
      </c>
      <c r="C14" t="inlineStr">
        <is>
          <t>Carlsbad Boulevard</t>
        </is>
      </c>
      <c r="D14" t="inlineStr">
        <is>
          <t>Breakwater Road</t>
        </is>
      </c>
      <c r="E14" t="inlineStr">
        <is>
          <t>Island Way</t>
        </is>
      </c>
      <c r="F14" t="inlineStr">
        <is>
          <t>436609338</t>
        </is>
      </c>
      <c r="G14" t="n">
        <v>50</v>
      </c>
      <c r="H14" t="inlineStr">
        <is>
          <t>city/county</t>
        </is>
      </c>
      <c r="I14" t="inlineStr">
        <is>
          <t>no</t>
        </is>
      </c>
      <c r="J14" t="inlineStr">
        <is>
          <t>https://www.google.com/maps/@?api=1&amp;map_action=pano&amp;viewpoint=33.106389,-117.320184&amp;heading=337</t>
        </is>
      </c>
      <c r="K14" t="inlineStr">
        <is>
          <t>https://www.google.com/maps/search/?api=1&amp;query=33.106389,-117.320184</t>
        </is>
      </c>
      <c r="L14" t="inlineStr"/>
      <c r="M14" t="inlineStr"/>
      <c r="N14" t="inlineStr"/>
      <c r="O14" t="inlineStr"/>
      <c r="P14" t="inlineStr">
        <is>
          <t>pending</t>
        </is>
      </c>
      <c r="Q14" t="inlineStr"/>
      <c r="R14" t="inlineStr"/>
      <c r="S14" t="inlineStr">
        <is>
          <t>50</t>
        </is>
      </c>
      <c r="T14" t="inlineStr">
        <is>
          <t>Carlsbad Blvd (Island Way - south city limit (Batiquitos Lagoon to Leucadia))</t>
        </is>
      </c>
      <c r="U14" t="inlineStr">
        <is>
          <t>https://ecode360.com/44006773</t>
        </is>
      </c>
      <c r="V14">
        <f>IF(OR(L14="",S14=""),"",IF(VALUE(L14)=VALUE(S14),"Y","N"))</f>
        <v/>
      </c>
      <c r="W14">
        <f>IF(V14="Y",S14,"")</f>
        <v/>
      </c>
      <c r="X14" t="inlineStr">
        <is>
          <t>sources disagree: map uses the official 50 mph (OSM/imagery: osm 30)</t>
        </is>
      </c>
      <c r="Y14" t="n">
        <v>1</v>
      </c>
      <c r="Z14" t="inlineStr">
        <is>
          <t>105</t>
        </is>
      </c>
    </row>
    <row r="15">
      <c r="A15" t="inlineStr">
        <is>
          <t>CBD-B1-014</t>
        </is>
      </c>
      <c r="B15" t="inlineStr">
        <is>
          <t>Carlsbad</t>
        </is>
      </c>
      <c r="C15" t="inlineStr">
        <is>
          <t>Carlsbad Boulevard</t>
        </is>
      </c>
      <c r="D15" t="inlineStr">
        <is>
          <t>Breakwater Road</t>
        </is>
      </c>
      <c r="E15" t="inlineStr">
        <is>
          <t>Island Way</t>
        </is>
      </c>
      <c r="F15" t="inlineStr">
        <is>
          <t>436609340</t>
        </is>
      </c>
      <c r="G15" t="n">
        <v>50</v>
      </c>
      <c r="H15" t="inlineStr">
        <is>
          <t>city/county</t>
        </is>
      </c>
      <c r="I15" t="inlineStr">
        <is>
          <t>no</t>
        </is>
      </c>
      <c r="J15" t="inlineStr">
        <is>
          <t>https://www.google.com/maps/@?api=1&amp;map_action=pano&amp;viewpoint=33.107633,-117.320717&amp;heading=341</t>
        </is>
      </c>
      <c r="K15" t="inlineStr">
        <is>
          <t>https://www.google.com/maps/search/?api=1&amp;query=33.107633,-117.320717</t>
        </is>
      </c>
      <c r="L15" t="inlineStr"/>
      <c r="M15" t="inlineStr"/>
      <c r="N15" t="inlineStr"/>
      <c r="O15" t="inlineStr"/>
      <c r="P15" t="inlineStr">
        <is>
          <t>pending</t>
        </is>
      </c>
      <c r="Q15" t="inlineStr"/>
      <c r="R15" t="inlineStr"/>
      <c r="S15" t="inlineStr">
        <is>
          <t>50</t>
        </is>
      </c>
      <c r="T15" t="inlineStr">
        <is>
          <t>Carlsbad Blvd (Island Way - south city limit (Batiquitos Lagoon to Leucadia))</t>
        </is>
      </c>
      <c r="U15" t="inlineStr">
        <is>
          <t>https://ecode360.com/44006773</t>
        </is>
      </c>
      <c r="V15">
        <f>IF(OR(L15="",S15=""),"",IF(VALUE(L15)=VALUE(S15),"Y","N"))</f>
        <v/>
      </c>
      <c r="W15">
        <f>IF(V15="Y",S15,"")</f>
        <v/>
      </c>
      <c r="X15" t="inlineStr">
        <is>
          <t>sources disagree: map uses the official 50 mph (OSM/imagery: osm 30)</t>
        </is>
      </c>
      <c r="Y15" t="n">
        <v>1</v>
      </c>
      <c r="Z15" t="inlineStr">
        <is>
          <t>106</t>
        </is>
      </c>
    </row>
    <row r="16">
      <c r="A16" t="inlineStr">
        <is>
          <t>CBD-B1-015</t>
        </is>
      </c>
      <c r="B16" t="inlineStr">
        <is>
          <t>Carlsbad</t>
        </is>
      </c>
      <c r="C16" t="inlineStr">
        <is>
          <t>Carlsbad Boulevard</t>
        </is>
      </c>
      <c r="D16" t="inlineStr">
        <is>
          <t>Solamar Dr</t>
        </is>
      </c>
      <c r="E16" t="inlineStr">
        <is>
          <t>Island Way</t>
        </is>
      </c>
      <c r="F16" t="inlineStr">
        <is>
          <t>435654181</t>
        </is>
      </c>
      <c r="G16" t="n">
        <v>50</v>
      </c>
      <c r="H16" t="inlineStr">
        <is>
          <t>city/county</t>
        </is>
      </c>
      <c r="I16" t="inlineStr">
        <is>
          <t>no</t>
        </is>
      </c>
      <c r="J16" t="inlineStr">
        <is>
          <t>https://www.google.com/maps/@?api=1&amp;map_action=pano&amp;viewpoint=33.111770,-117.322672&amp;heading=154</t>
        </is>
      </c>
      <c r="K16" t="inlineStr">
        <is>
          <t>https://www.google.com/maps/search/?api=1&amp;query=33.111770,-117.322672</t>
        </is>
      </c>
      <c r="L16" t="inlineStr"/>
      <c r="M16" t="inlineStr"/>
      <c r="N16" t="inlineStr"/>
      <c r="O16" t="inlineStr"/>
      <c r="P16" t="inlineStr">
        <is>
          <t>pending</t>
        </is>
      </c>
      <c r="Q16" t="inlineStr"/>
      <c r="R16" t="inlineStr"/>
      <c r="S16" t="inlineStr">
        <is>
          <t>50</t>
        </is>
      </c>
      <c r="T16" t="inlineStr">
        <is>
          <t>Carlsbad Blvd (Island Way - south city limit (Batiquitos Lagoon to Leucadia))</t>
        </is>
      </c>
      <c r="U16" t="inlineStr">
        <is>
          <t>https://ecode360.com/44006773</t>
        </is>
      </c>
      <c r="V16">
        <f>IF(OR(L16="",S16=""),"",IF(VALUE(L16)=VALUE(S16),"Y","N"))</f>
        <v/>
      </c>
      <c r="W16">
        <f>IF(V16="Y",S16,"")</f>
        <v/>
      </c>
      <c r="X16" t="inlineStr">
        <is>
          <t>one official source; most-used arterial</t>
        </is>
      </c>
      <c r="Y16" t="n">
        <v>1</v>
      </c>
      <c r="Z16" t="inlineStr">
        <is>
          <t>87</t>
        </is>
      </c>
    </row>
    <row r="17">
      <c r="A17" t="inlineStr">
        <is>
          <t>CBD-B1-016</t>
        </is>
      </c>
      <c r="B17" t="inlineStr">
        <is>
          <t>Carlsbad</t>
        </is>
      </c>
      <c r="C17" t="inlineStr">
        <is>
          <t>Carlsbad Boulevard</t>
        </is>
      </c>
      <c r="D17" t="inlineStr">
        <is>
          <t>Solamar Dr</t>
        </is>
      </c>
      <c r="E17" t="inlineStr">
        <is>
          <t>Island Way</t>
        </is>
      </c>
      <c r="F17" t="inlineStr">
        <is>
          <t>437777329</t>
        </is>
      </c>
      <c r="G17" t="n">
        <v>35</v>
      </c>
      <c r="H17" t="inlineStr">
        <is>
          <t>city/county</t>
        </is>
      </c>
      <c r="I17" t="inlineStr">
        <is>
          <t>no</t>
        </is>
      </c>
      <c r="J17" t="inlineStr">
        <is>
          <t>https://www.google.com/maps/@?api=1&amp;map_action=pano&amp;viewpoint=33.112719,-117.323251&amp;heading=151</t>
        </is>
      </c>
      <c r="K17" t="inlineStr">
        <is>
          <t>https://www.google.com/maps/search/?api=1&amp;query=33.112719,-117.323251</t>
        </is>
      </c>
      <c r="L17" t="inlineStr"/>
      <c r="M17" t="inlineStr"/>
      <c r="N17" t="inlineStr"/>
      <c r="O17" t="inlineStr"/>
      <c r="P17" t="inlineStr">
        <is>
          <t>pending</t>
        </is>
      </c>
      <c r="Q17" t="inlineStr"/>
      <c r="R17" t="inlineStr"/>
      <c r="S17" t="inlineStr">
        <is>
          <t>35</t>
        </is>
      </c>
      <c r="T17" t="inlineStr">
        <is>
          <t>Carlsbad Blvd (Tamarack - 1,400 ft S of Manzano Dr)</t>
        </is>
      </c>
      <c r="U17" t="inlineStr">
        <is>
          <t>https://ecode360.com/44006773</t>
        </is>
      </c>
      <c r="V17">
        <f>IF(OR(L17="",S17=""),"",IF(VALUE(L17)=VALUE(S17),"Y","N"))</f>
        <v/>
      </c>
      <c r="W17">
        <f>IF(V17="Y",S17,"")</f>
        <v/>
      </c>
      <c r="X17" t="inlineStr">
        <is>
          <t>one official source; most-used arterial</t>
        </is>
      </c>
      <c r="Y17" t="n">
        <v>1</v>
      </c>
      <c r="Z17" t="inlineStr">
        <is>
          <t>153</t>
        </is>
      </c>
    </row>
    <row r="18">
      <c r="A18" t="inlineStr">
        <is>
          <t>CBD-B1-017</t>
        </is>
      </c>
      <c r="B18" t="inlineStr">
        <is>
          <t>Carlsbad</t>
        </is>
      </c>
      <c r="C18" t="inlineStr">
        <is>
          <t>Carlsbad Boulevard</t>
        </is>
      </c>
      <c r="D18" t="inlineStr">
        <is>
          <t>Tierra del Oro</t>
        </is>
      </c>
      <c r="E18" t="inlineStr">
        <is>
          <t>Cannon Road</t>
        </is>
      </c>
      <c r="F18" t="inlineStr">
        <is>
          <t>436431232</t>
        </is>
      </c>
      <c r="G18" t="n">
        <v>35</v>
      </c>
      <c r="H18" t="inlineStr">
        <is>
          <t>city/county</t>
        </is>
      </c>
      <c r="I18" t="inlineStr">
        <is>
          <t>LSV</t>
        </is>
      </c>
      <c r="J18" t="inlineStr">
        <is>
          <t>https://www.google.com/maps/@?api=1&amp;map_action=pano&amp;viewpoint=33.132611,-117.335539&amp;heading=149</t>
        </is>
      </c>
      <c r="K18" t="inlineStr">
        <is>
          <t>https://www.google.com/maps/search/?api=1&amp;query=33.132611,-117.335539</t>
        </is>
      </c>
      <c r="L18" t="inlineStr"/>
      <c r="M18" t="inlineStr"/>
      <c r="N18" t="inlineStr"/>
      <c r="O18" t="inlineStr"/>
      <c r="P18" t="inlineStr">
        <is>
          <t>pending</t>
        </is>
      </c>
      <c r="Q18" t="inlineStr"/>
      <c r="R18" t="inlineStr"/>
      <c r="S18" t="inlineStr">
        <is>
          <t>35</t>
        </is>
      </c>
      <c r="T18" t="inlineStr">
        <is>
          <t>Carlsbad Blvd (Tamarack - 1,400 ft S of Manzano Dr)</t>
        </is>
      </c>
      <c r="U18" t="inlineStr">
        <is>
          <t>https://ecode360.com/44006773</t>
        </is>
      </c>
      <c r="V18">
        <f>IF(OR(L18="",S18=""),"",IF(VALUE(L18)=VALUE(S18),"Y","N"))</f>
        <v/>
      </c>
      <c r="W18">
        <f>IF(V18="Y",S18,"")</f>
        <v/>
      </c>
      <c r="X18" t="inlineStr">
        <is>
          <t>sources disagree: map uses the official 35 mph (OSM/imagery: osm 30)</t>
        </is>
      </c>
      <c r="Y18" t="n">
        <v>1</v>
      </c>
      <c r="Z18" t="inlineStr">
        <is>
          <t>56</t>
        </is>
      </c>
    </row>
    <row r="19">
      <c r="A19" t="inlineStr">
        <is>
          <t>CBD-B1-018</t>
        </is>
      </c>
      <c r="B19" t="inlineStr">
        <is>
          <t>Carlsbad</t>
        </is>
      </c>
      <c r="C19" t="inlineStr">
        <is>
          <t>Carlsbad Boulevard</t>
        </is>
      </c>
      <c r="D19" t="inlineStr">
        <is>
          <t>Tierra del Oro</t>
        </is>
      </c>
      <c r="E19" t="inlineStr">
        <is>
          <t>Cannon Road</t>
        </is>
      </c>
      <c r="F19" t="inlineStr">
        <is>
          <t>436431224</t>
        </is>
      </c>
      <c r="G19" t="n">
        <v>35</v>
      </c>
      <c r="H19" t="inlineStr">
        <is>
          <t>city/county</t>
        </is>
      </c>
      <c r="I19" t="inlineStr">
        <is>
          <t>LSV</t>
        </is>
      </c>
      <c r="J19" t="inlineStr">
        <is>
          <t>https://www.google.com/maps/@?api=1&amp;map_action=pano&amp;viewpoint=33.132970,-117.335792&amp;heading=149</t>
        </is>
      </c>
      <c r="K19" t="inlineStr">
        <is>
          <t>https://www.google.com/maps/search/?api=1&amp;query=33.132970,-117.335792</t>
        </is>
      </c>
      <c r="L19" t="inlineStr"/>
      <c r="M19" t="inlineStr"/>
      <c r="N19" t="inlineStr"/>
      <c r="O19" t="inlineStr"/>
      <c r="P19" t="inlineStr">
        <is>
          <t>pending</t>
        </is>
      </c>
      <c r="Q19" t="inlineStr"/>
      <c r="R19" t="inlineStr"/>
      <c r="S19" t="inlineStr">
        <is>
          <t>35</t>
        </is>
      </c>
      <c r="T19" t="inlineStr">
        <is>
          <t>Carlsbad Blvd (Tamarack - 1,400 ft S of Manzano Dr)</t>
        </is>
      </c>
      <c r="U19" t="inlineStr">
        <is>
          <t>https://ecode360.com/44006773</t>
        </is>
      </c>
      <c r="V19">
        <f>IF(OR(L19="",S19=""),"",IF(VALUE(L19)=VALUE(S19),"Y","N"))</f>
        <v/>
      </c>
      <c r="W19">
        <f>IF(V19="Y",S19,"")</f>
        <v/>
      </c>
      <c r="X19" t="inlineStr">
        <is>
          <t>sources disagree: map uses the official 35 mph (OSM/imagery: osm 30)</t>
        </is>
      </c>
      <c r="Y19" t="n">
        <v>1</v>
      </c>
      <c r="Z19" t="inlineStr">
        <is>
          <t>32</t>
        </is>
      </c>
    </row>
    <row r="20">
      <c r="A20" t="inlineStr">
        <is>
          <t>CBD-B1-019</t>
        </is>
      </c>
      <c r="B20" t="inlineStr">
        <is>
          <t>Carlsbad</t>
        </is>
      </c>
      <c r="C20" t="inlineStr">
        <is>
          <t>Carlsbad Boulevard</t>
        </is>
      </c>
      <c r="D20" t="inlineStr">
        <is>
          <t>Tierra del Oro</t>
        </is>
      </c>
      <c r="E20" t="inlineStr">
        <is>
          <t>Cannon Road</t>
        </is>
      </c>
      <c r="F20" t="inlineStr">
        <is>
          <t>436431226</t>
        </is>
      </c>
      <c r="G20" t="n">
        <v>35</v>
      </c>
      <c r="H20" t="inlineStr">
        <is>
          <t>city/county</t>
        </is>
      </c>
      <c r="I20" t="inlineStr">
        <is>
          <t>LSV</t>
        </is>
      </c>
      <c r="J20" t="inlineStr">
        <is>
          <t>https://www.google.com/maps/@?api=1&amp;map_action=pano&amp;viewpoint=33.133216,-117.335966&amp;heading=149</t>
        </is>
      </c>
      <c r="K20" t="inlineStr">
        <is>
          <t>https://www.google.com/maps/search/?api=1&amp;query=33.133216,-117.335966</t>
        </is>
      </c>
      <c r="L20" t="inlineStr"/>
      <c r="M20" t="inlineStr"/>
      <c r="N20" t="inlineStr"/>
      <c r="O20" t="inlineStr"/>
      <c r="P20" t="inlineStr">
        <is>
          <t>pending</t>
        </is>
      </c>
      <c r="Q20" t="inlineStr"/>
      <c r="R20" t="inlineStr"/>
      <c r="S20" t="inlineStr">
        <is>
          <t>35</t>
        </is>
      </c>
      <c r="T20" t="inlineStr">
        <is>
          <t>Carlsbad Blvd (Tamarack - 1,400 ft S of Manzano Dr)</t>
        </is>
      </c>
      <c r="U20" t="inlineStr">
        <is>
          <t>https://ecode360.com/44006773</t>
        </is>
      </c>
      <c r="V20">
        <f>IF(OR(L20="",S20=""),"",IF(VALUE(L20)=VALUE(S20),"Y","N"))</f>
        <v/>
      </c>
      <c r="W20">
        <f>IF(V20="Y",S20,"")</f>
        <v/>
      </c>
      <c r="X20" t="inlineStr">
        <is>
          <t>sources disagree: map uses the official 35 mph (OSM/imagery: osm 30)</t>
        </is>
      </c>
      <c r="Y20" t="n">
        <v>1</v>
      </c>
      <c r="Z20" t="inlineStr">
        <is>
          <t>18</t>
        </is>
      </c>
    </row>
    <row r="21">
      <c r="A21" t="inlineStr">
        <is>
          <t>CBD-B1-020</t>
        </is>
      </c>
      <c r="B21" t="inlineStr">
        <is>
          <t>Carlsbad</t>
        </is>
      </c>
      <c r="C21" t="inlineStr">
        <is>
          <t>Carlsbad Boulevard</t>
        </is>
      </c>
      <c r="D21" t="inlineStr">
        <is>
          <t>Sequoia Avenue</t>
        </is>
      </c>
      <c r="E21" t="inlineStr">
        <is>
          <t>Tierra del Oro</t>
        </is>
      </c>
      <c r="F21" t="inlineStr">
        <is>
          <t>436431223</t>
        </is>
      </c>
      <c r="G21" t="n">
        <v>35</v>
      </c>
      <c r="H21" t="inlineStr">
        <is>
          <t>city/county</t>
        </is>
      </c>
      <c r="I21" t="inlineStr">
        <is>
          <t>LSV</t>
        </is>
      </c>
      <c r="J21" t="inlineStr">
        <is>
          <t>https://www.google.com/maps/@?api=1&amp;map_action=pano&amp;viewpoint=33.133883,-117.336434&amp;heading=150</t>
        </is>
      </c>
      <c r="K21" t="inlineStr">
        <is>
          <t>https://www.google.com/maps/search/?api=1&amp;query=33.133883,-117.336434</t>
        </is>
      </c>
      <c r="L21" t="inlineStr"/>
      <c r="M21" t="inlineStr"/>
      <c r="N21" t="inlineStr"/>
      <c r="O21" t="inlineStr"/>
      <c r="P21" t="inlineStr">
        <is>
          <t>pending</t>
        </is>
      </c>
      <c r="Q21" t="inlineStr"/>
      <c r="R21" t="inlineStr"/>
      <c r="S21" t="inlineStr">
        <is>
          <t>35</t>
        </is>
      </c>
      <c r="T21" t="inlineStr">
        <is>
          <t>Carlsbad Blvd (Tamarack - 1,400 ft S of Manzano Dr)</t>
        </is>
      </c>
      <c r="U21" t="inlineStr">
        <is>
          <t>https://ecode360.com/44006773</t>
        </is>
      </c>
      <c r="V21">
        <f>IF(OR(L21="",S21=""),"",IF(VALUE(L21)=VALUE(S21),"Y","N"))</f>
        <v/>
      </c>
      <c r="W21">
        <f>IF(V21="Y",S21,"")</f>
        <v/>
      </c>
      <c r="X21" t="inlineStr">
        <is>
          <t>sources disagree: map uses the official 35 mph (OSM/imagery: osm 30)</t>
        </is>
      </c>
      <c r="Y21" t="n">
        <v>1</v>
      </c>
      <c r="Z21" t="inlineStr">
        <is>
          <t>32</t>
        </is>
      </c>
    </row>
    <row r="22">
      <c r="A22" t="inlineStr">
        <is>
          <t>CBD-B1-021</t>
        </is>
      </c>
      <c r="B22" t="inlineStr">
        <is>
          <t>Carlsbad</t>
        </is>
      </c>
      <c r="C22" t="inlineStr">
        <is>
          <t>Carlsbad Boulevard</t>
        </is>
      </c>
      <c r="D22" t="inlineStr">
        <is>
          <t>Sequoia Avenue</t>
        </is>
      </c>
      <c r="E22" t="inlineStr">
        <is>
          <t>Tierra del Oro</t>
        </is>
      </c>
      <c r="F22" t="inlineStr">
        <is>
          <t>436431236</t>
        </is>
      </c>
      <c r="G22" t="n">
        <v>35</v>
      </c>
      <c r="H22" t="inlineStr">
        <is>
          <t>city/county</t>
        </is>
      </c>
      <c r="I22" t="inlineStr">
        <is>
          <t>LSV</t>
        </is>
      </c>
      <c r="J22" t="inlineStr">
        <is>
          <t>https://www.google.com/maps/@?api=1&amp;map_action=pano&amp;viewpoint=33.134116,-117.336598&amp;heading=150</t>
        </is>
      </c>
      <c r="K22" t="inlineStr">
        <is>
          <t>https://www.google.com/maps/search/?api=1&amp;query=33.134116,-117.336598</t>
        </is>
      </c>
      <c r="L22" t="inlineStr"/>
      <c r="M22" t="inlineStr"/>
      <c r="N22" t="inlineStr"/>
      <c r="O22" t="inlineStr"/>
      <c r="P22" t="inlineStr">
        <is>
          <t>pending</t>
        </is>
      </c>
      <c r="Q22" t="inlineStr"/>
      <c r="R22" t="inlineStr"/>
      <c r="S22" t="inlineStr">
        <is>
          <t>35</t>
        </is>
      </c>
      <c r="T22" t="inlineStr">
        <is>
          <t>Carlsbad Blvd (Tamarack - 1,400 ft S of Manzano Dr)</t>
        </is>
      </c>
      <c r="U22" t="inlineStr">
        <is>
          <t>https://ecode360.com/44006773</t>
        </is>
      </c>
      <c r="V22">
        <f>IF(OR(L22="",S22=""),"",IF(VALUE(L22)=VALUE(S22),"Y","N"))</f>
        <v/>
      </c>
      <c r="W22">
        <f>IF(V22="Y",S22,"")</f>
        <v/>
      </c>
      <c r="X22" t="inlineStr">
        <is>
          <t>sources disagree: map uses the official 35 mph (OSM/imagery: osm 30)</t>
        </is>
      </c>
      <c r="Y22" t="n">
        <v>1</v>
      </c>
      <c r="Z22" t="inlineStr">
        <is>
          <t>14</t>
        </is>
      </c>
    </row>
    <row r="23">
      <c r="A23" t="inlineStr">
        <is>
          <t>CBD-B1-022</t>
        </is>
      </c>
      <c r="B23" t="inlineStr">
        <is>
          <t>Carlsbad</t>
        </is>
      </c>
      <c r="C23" t="inlineStr">
        <is>
          <t>Carlsbad Boulevard</t>
        </is>
      </c>
      <c r="D23" t="inlineStr">
        <is>
          <t>Sequoia Avenue</t>
        </is>
      </c>
      <c r="E23" t="inlineStr">
        <is>
          <t>Tamarack Avenue</t>
        </is>
      </c>
      <c r="F23" t="inlineStr">
        <is>
          <t>436429114</t>
        </is>
      </c>
      <c r="G23" t="n">
        <v>35</v>
      </c>
      <c r="H23" t="inlineStr">
        <is>
          <t>city/county</t>
        </is>
      </c>
      <c r="I23" t="inlineStr">
        <is>
          <t>LSV</t>
        </is>
      </c>
      <c r="J23" t="inlineStr">
        <is>
          <t>https://www.google.com/maps/@?api=1&amp;map_action=pano&amp;viewpoint=33.141602,-117.340718&amp;heading=154</t>
        </is>
      </c>
      <c r="K23" t="inlineStr">
        <is>
          <t>https://www.google.com/maps/search/?api=1&amp;query=33.141602,-117.340718</t>
        </is>
      </c>
      <c r="L23" t="inlineStr"/>
      <c r="M23" t="inlineStr"/>
      <c r="N23" t="inlineStr"/>
      <c r="O23" t="inlineStr"/>
      <c r="P23" t="inlineStr">
        <is>
          <t>pending</t>
        </is>
      </c>
      <c r="Q23" t="inlineStr"/>
      <c r="R23" t="inlineStr"/>
      <c r="S23" t="inlineStr">
        <is>
          <t>35</t>
        </is>
      </c>
      <c r="T23" t="inlineStr">
        <is>
          <t>Carlsbad Blvd (Tamarack - 1,400 ft S of Manzano Dr)</t>
        </is>
      </c>
      <c r="U23" t="inlineStr">
        <is>
          <t>https://ecode360.com/44006773</t>
        </is>
      </c>
      <c r="V23">
        <f>IF(OR(L23="",S23=""),"",IF(VALUE(L23)=VALUE(S23),"Y","N"))</f>
        <v/>
      </c>
      <c r="W23">
        <f>IF(V23="Y",S23,"")</f>
        <v/>
      </c>
      <c r="X23" t="inlineStr">
        <is>
          <t>one official source; most-used arterial</t>
        </is>
      </c>
      <c r="Y23" t="n">
        <v>1</v>
      </c>
      <c r="Z23" t="inlineStr">
        <is>
          <t>397</t>
        </is>
      </c>
    </row>
    <row r="24">
      <c r="A24" t="inlineStr">
        <is>
          <t>CBD-B1-023</t>
        </is>
      </c>
      <c r="B24" t="inlineStr">
        <is>
          <t>Carlsbad</t>
        </is>
      </c>
      <c r="C24" t="inlineStr">
        <is>
          <t>Carlsbad Boulevard</t>
        </is>
      </c>
      <c r="D24" t="inlineStr">
        <is>
          <t>Sequoia Avenue</t>
        </is>
      </c>
      <c r="E24" t="inlineStr"/>
      <c r="F24" t="inlineStr">
        <is>
          <t>157272817</t>
        </is>
      </c>
      <c r="G24" t="n">
        <v>35</v>
      </c>
      <c r="H24" t="inlineStr">
        <is>
          <t>city/county</t>
        </is>
      </c>
      <c r="I24" t="inlineStr">
        <is>
          <t>LSV</t>
        </is>
      </c>
      <c r="J24" t="inlineStr">
        <is>
          <t>https://www.google.com/maps/@?api=1&amp;map_action=pano&amp;viewpoint=33.145299,-117.343467&amp;heading=142</t>
        </is>
      </c>
      <c r="K24" t="inlineStr">
        <is>
          <t>https://www.google.com/maps/search/?api=1&amp;query=33.145299,-117.343467</t>
        </is>
      </c>
      <c r="L24" t="inlineStr"/>
      <c r="M24" t="inlineStr"/>
      <c r="N24" t="inlineStr"/>
      <c r="O24" t="inlineStr"/>
      <c r="P24" t="inlineStr">
        <is>
          <t>pending</t>
        </is>
      </c>
      <c r="Q24" t="inlineStr"/>
      <c r="R24" t="inlineStr"/>
      <c r="S24" t="inlineStr">
        <is>
          <t>35</t>
        </is>
      </c>
      <c r="T24" t="inlineStr">
        <is>
          <t>Carlsbad Blvd (Tamarack - 1,400 ft S of Manzano Dr)</t>
        </is>
      </c>
      <c r="U24" t="inlineStr">
        <is>
          <t>https://ecode360.com/44006773</t>
        </is>
      </c>
      <c r="V24">
        <f>IF(OR(L24="",S24=""),"",IF(VALUE(L24)=VALUE(S24),"Y","N"))</f>
        <v/>
      </c>
      <c r="W24">
        <f>IF(V24="Y",S24,"")</f>
        <v/>
      </c>
      <c r="X24" t="inlineStr">
        <is>
          <t>sources disagree: map uses the official 35 mph (OSM/imagery: osm 30)</t>
        </is>
      </c>
      <c r="Y24" t="n">
        <v>1</v>
      </c>
      <c r="Z24" t="inlineStr">
        <is>
          <t>77</t>
        </is>
      </c>
    </row>
    <row r="25">
      <c r="A25" t="inlineStr">
        <is>
          <t>CBD-B1-024</t>
        </is>
      </c>
      <c r="B25" t="inlineStr">
        <is>
          <t>Carlsbad</t>
        </is>
      </c>
      <c r="C25" t="inlineStr">
        <is>
          <t>Carlsbad Boulevard</t>
        </is>
      </c>
      <c r="D25" t="inlineStr">
        <is>
          <t>Tamarack Avenue</t>
        </is>
      </c>
      <c r="E25" t="inlineStr">
        <is>
          <t>Sequoia Avenue</t>
        </is>
      </c>
      <c r="F25" t="inlineStr">
        <is>
          <t>436429085</t>
        </is>
      </c>
      <c r="G25" t="n">
        <v>35</v>
      </c>
      <c r="H25" t="inlineStr">
        <is>
          <t>city/county</t>
        </is>
      </c>
      <c r="I25" t="inlineStr">
        <is>
          <t>LSV</t>
        </is>
      </c>
      <c r="J25" t="inlineStr">
        <is>
          <t>https://www.google.com/maps/@?api=1&amp;map_action=pano&amp;viewpoint=33.146853,-117.344830&amp;heading=147</t>
        </is>
      </c>
      <c r="K25" t="inlineStr">
        <is>
          <t>https://www.google.com/maps/search/?api=1&amp;query=33.146853,-117.344830</t>
        </is>
      </c>
      <c r="L25" t="inlineStr"/>
      <c r="M25" t="inlineStr"/>
      <c r="N25" t="inlineStr"/>
      <c r="O25" t="inlineStr"/>
      <c r="P25" t="inlineStr">
        <is>
          <t>pending</t>
        </is>
      </c>
      <c r="Q25" t="inlineStr"/>
      <c r="R25" t="inlineStr"/>
      <c r="S25" t="inlineStr">
        <is>
          <t>35</t>
        </is>
      </c>
      <c r="T25" t="inlineStr">
        <is>
          <t>Carlsbad Blvd (Tamarack - 1,400 ft S of Manzano Dr)</t>
        </is>
      </c>
      <c r="U25" t="inlineStr">
        <is>
          <t>https://ecode360.com/44006773</t>
        </is>
      </c>
      <c r="V25">
        <f>IF(OR(L25="",S25=""),"",IF(VALUE(L25)=VALUE(S25),"Y","N"))</f>
        <v/>
      </c>
      <c r="W25">
        <f>IF(V25="Y",S25,"")</f>
        <v/>
      </c>
      <c r="X25" t="inlineStr">
        <is>
          <t>sources disagree: map uses the official 35 mph (OSM/imagery: osm 30)</t>
        </is>
      </c>
      <c r="Y25" t="n">
        <v>1</v>
      </c>
      <c r="Z25" t="inlineStr">
        <is>
          <t>36</t>
        </is>
      </c>
    </row>
    <row r="26">
      <c r="A26" t="inlineStr">
        <is>
          <t>CBD-B1-025</t>
        </is>
      </c>
      <c r="B26" t="inlineStr">
        <is>
          <t>Carlsbad</t>
        </is>
      </c>
      <c r="C26" t="inlineStr">
        <is>
          <t>Carlsbad Boulevard</t>
        </is>
      </c>
      <c r="D26" t="inlineStr">
        <is>
          <t>Tamarack Avenue</t>
        </is>
      </c>
      <c r="E26" t="inlineStr">
        <is>
          <t>Sequoia Avenue</t>
        </is>
      </c>
      <c r="F26" t="inlineStr">
        <is>
          <t>436429075</t>
        </is>
      </c>
      <c r="G26" t="n">
        <v>35</v>
      </c>
      <c r="H26" t="inlineStr">
        <is>
          <t>city/county</t>
        </is>
      </c>
      <c r="I26" t="inlineStr">
        <is>
          <t>LSV</t>
        </is>
      </c>
      <c r="J26" t="inlineStr">
        <is>
          <t>https://www.google.com/maps/@?api=1&amp;map_action=pano&amp;viewpoint=33.147125,-117.345040&amp;heading=146</t>
        </is>
      </c>
      <c r="K26" t="inlineStr">
        <is>
          <t>https://www.google.com/maps/search/?api=1&amp;query=33.147125,-117.345040</t>
        </is>
      </c>
      <c r="L26" t="inlineStr"/>
      <c r="M26" t="inlineStr"/>
      <c r="N26" t="inlineStr"/>
      <c r="O26" t="inlineStr"/>
      <c r="P26" t="inlineStr">
        <is>
          <t>pending</t>
        </is>
      </c>
      <c r="Q26" t="inlineStr"/>
      <c r="R26" t="inlineStr"/>
      <c r="S26" t="inlineStr">
        <is>
          <t>35</t>
        </is>
      </c>
      <c r="T26" t="inlineStr">
        <is>
          <t>Carlsbad Blvd (Tamarack - 1,400 ft S of Manzano Dr)</t>
        </is>
      </c>
      <c r="U26" t="inlineStr">
        <is>
          <t>https://ecode360.com/44006773</t>
        </is>
      </c>
      <c r="V26">
        <f>IF(OR(L26="",S26=""),"",IF(VALUE(L26)=VALUE(S26),"Y","N"))</f>
        <v/>
      </c>
      <c r="W26">
        <f>IF(V26="Y",S26,"")</f>
        <v/>
      </c>
      <c r="X26" t="inlineStr">
        <is>
          <t>sources disagree: map uses the official 35 mph (OSM/imagery: osm 30)</t>
        </is>
      </c>
      <c r="Y26" t="n">
        <v>1</v>
      </c>
      <c r="Z26" t="inlineStr">
        <is>
          <t>18</t>
        </is>
      </c>
    </row>
    <row r="27">
      <c r="A27" t="inlineStr">
        <is>
          <t>CBD-B1-026</t>
        </is>
      </c>
      <c r="B27" t="inlineStr">
        <is>
          <t>Carlsbad</t>
        </is>
      </c>
      <c r="C27" t="inlineStr">
        <is>
          <t>Carlsbad Boulevard</t>
        </is>
      </c>
      <c r="D27" t="inlineStr">
        <is>
          <t>Tamarack Avenue</t>
        </is>
      </c>
      <c r="E27" t="inlineStr">
        <is>
          <t>Sequoia Avenue</t>
        </is>
      </c>
      <c r="F27" t="inlineStr">
        <is>
          <t>157272814</t>
        </is>
      </c>
      <c r="G27" t="n">
        <v>35</v>
      </c>
      <c r="H27" t="inlineStr">
        <is>
          <t>city/county</t>
        </is>
      </c>
      <c r="I27" t="inlineStr">
        <is>
          <t>LSV</t>
        </is>
      </c>
      <c r="J27" t="inlineStr">
        <is>
          <t>https://www.google.com/maps/@?api=1&amp;map_action=pano&amp;viewpoint=33.147258,-117.345147&amp;heading=146</t>
        </is>
      </c>
      <c r="K27" t="inlineStr">
        <is>
          <t>https://www.google.com/maps/search/?api=1&amp;query=33.147258,-117.345147</t>
        </is>
      </c>
      <c r="L27" t="inlineStr"/>
      <c r="M27" t="inlineStr"/>
      <c r="N27" t="inlineStr"/>
      <c r="O27" t="inlineStr"/>
      <c r="P27" t="inlineStr">
        <is>
          <t>pending</t>
        </is>
      </c>
      <c r="Q27" t="inlineStr"/>
      <c r="R27" t="inlineStr"/>
      <c r="S27" t="inlineStr">
        <is>
          <t>35</t>
        </is>
      </c>
      <c r="T27" t="inlineStr">
        <is>
          <t>Carlsbad Blvd (Tamarack - 1,400 ft S of Manzano Dr)</t>
        </is>
      </c>
      <c r="U27" t="inlineStr">
        <is>
          <t>https://ecode360.com/44006773</t>
        </is>
      </c>
      <c r="V27">
        <f>IF(OR(L27="",S27=""),"",IF(VALUE(L27)=VALUE(S27),"Y","N"))</f>
        <v/>
      </c>
      <c r="W27">
        <f>IF(V27="Y",S27,"")</f>
        <v/>
      </c>
      <c r="X27" t="inlineStr">
        <is>
          <t>sources disagree: map uses the official 35 mph (OSM/imagery: osm 30)</t>
        </is>
      </c>
      <c r="Y27" t="n">
        <v>1</v>
      </c>
      <c r="Z27" t="inlineStr">
        <is>
          <t>35</t>
        </is>
      </c>
    </row>
    <row r="28">
      <c r="A28" t="inlineStr">
        <is>
          <t>CBD-B1-027</t>
        </is>
      </c>
      <c r="B28" t="inlineStr">
        <is>
          <t>Carlsbad</t>
        </is>
      </c>
      <c r="C28" t="inlineStr">
        <is>
          <t>Carlsbad Boulevard</t>
        </is>
      </c>
      <c r="D28" t="inlineStr">
        <is>
          <t>Tamarack Avenue</t>
        </is>
      </c>
      <c r="E28" t="inlineStr">
        <is>
          <t>Redwood Avenue</t>
        </is>
      </c>
      <c r="F28" t="inlineStr">
        <is>
          <t>436429102</t>
        </is>
      </c>
      <c r="G28" t="n">
        <v>35</v>
      </c>
      <c r="H28" t="inlineStr">
        <is>
          <t>city/county</t>
        </is>
      </c>
      <c r="I28" t="inlineStr">
        <is>
          <t>LSV</t>
        </is>
      </c>
      <c r="J28" t="inlineStr">
        <is>
          <t>https://www.google.com/maps/@?api=1&amp;map_action=pano&amp;viewpoint=33.147619,-117.345436&amp;heading=327</t>
        </is>
      </c>
      <c r="K28" t="inlineStr">
        <is>
          <t>https://www.google.com/maps/search/?api=1&amp;query=33.147619,-117.345436</t>
        </is>
      </c>
      <c r="L28" t="inlineStr"/>
      <c r="M28" t="inlineStr"/>
      <c r="N28" t="inlineStr"/>
      <c r="O28" t="inlineStr"/>
      <c r="P28" t="inlineStr">
        <is>
          <t>pending</t>
        </is>
      </c>
      <c r="Q28" t="inlineStr"/>
      <c r="R28" t="inlineStr"/>
      <c r="S28" t="inlineStr">
        <is>
          <t>35</t>
        </is>
      </c>
      <c r="T28" t="inlineStr">
        <is>
          <t>Carlsbad Blvd (Tamarack - 1,400 ft S of Manzano Dr)</t>
        </is>
      </c>
      <c r="U28" t="inlineStr">
        <is>
          <t>https://ecode360.com/44006773</t>
        </is>
      </c>
      <c r="V28">
        <f>IF(OR(L28="",S28=""),"",IF(VALUE(L28)=VALUE(S28),"Y","N"))</f>
        <v/>
      </c>
      <c r="W28">
        <f>IF(V28="Y",S28,"")</f>
        <v/>
      </c>
      <c r="X28" t="inlineStr">
        <is>
          <t>sources disagree: map uses the official 35 mph (OSM/imagery: osm 30)</t>
        </is>
      </c>
      <c r="Y28" t="n">
        <v>1</v>
      </c>
      <c r="Z28" t="inlineStr">
        <is>
          <t>36</t>
        </is>
      </c>
    </row>
    <row r="29">
      <c r="A29" t="inlineStr">
        <is>
          <t>CBD-B1-028</t>
        </is>
      </c>
      <c r="B29" t="inlineStr">
        <is>
          <t>Carlsbad</t>
        </is>
      </c>
      <c r="C29" t="inlineStr">
        <is>
          <t>Carlsbad Boulevard</t>
        </is>
      </c>
      <c r="D29" t="inlineStr">
        <is>
          <t>Oak Avenue</t>
        </is>
      </c>
      <c r="E29" t="inlineStr">
        <is>
          <t>Pine Avenue</t>
        </is>
      </c>
      <c r="F29" t="inlineStr">
        <is>
          <t>436429115</t>
        </is>
      </c>
      <c r="G29" t="n">
        <v>30</v>
      </c>
      <c r="H29" t="inlineStr">
        <is>
          <t>city/county</t>
        </is>
      </c>
      <c r="I29" t="inlineStr">
        <is>
          <t>LSV</t>
        </is>
      </c>
      <c r="J29" t="inlineStr">
        <is>
          <t>https://www.google.com/maps/@?api=1&amp;map_action=pano&amp;viewpoint=33.155858,-117.350905&amp;heading=186</t>
        </is>
      </c>
      <c r="K29" t="inlineStr">
        <is>
          <t>https://www.google.com/maps/search/?api=1&amp;query=33.155858,-117.350905</t>
        </is>
      </c>
      <c r="L29" t="inlineStr"/>
      <c r="M29" t="inlineStr"/>
      <c r="N29" t="inlineStr"/>
      <c r="O29" t="inlineStr"/>
      <c r="P29" t="inlineStr">
        <is>
          <t>pending</t>
        </is>
      </c>
      <c r="Q29" t="inlineStr"/>
      <c r="R29" t="inlineStr"/>
      <c r="S29" t="inlineStr">
        <is>
          <t>30</t>
        </is>
      </c>
      <c r="T29" t="inlineStr">
        <is>
          <t>Carlsbad Blvd (State St - Tamarack Ave)</t>
        </is>
      </c>
      <c r="U29" t="inlineStr">
        <is>
          <t>https://ecode360.com/44006773</t>
        </is>
      </c>
      <c r="V29">
        <f>IF(OR(L29="",S29=""),"",IF(VALUE(L29)=VALUE(S29),"Y","N"))</f>
        <v/>
      </c>
      <c r="W29">
        <f>IF(V29="Y",S29,"")</f>
        <v/>
      </c>
      <c r="X29" t="inlineStr">
        <is>
          <t>one official source; most-used arterial</t>
        </is>
      </c>
      <c r="Y29" t="n">
        <v>1</v>
      </c>
      <c r="Z29" t="inlineStr">
        <is>
          <t>141</t>
        </is>
      </c>
    </row>
    <row r="30">
      <c r="A30" t="inlineStr">
        <is>
          <t>CBD-B1-029</t>
        </is>
      </c>
      <c r="B30" t="inlineStr">
        <is>
          <t>Carlsbad</t>
        </is>
      </c>
      <c r="C30" t="inlineStr">
        <is>
          <t>Carlsbad Boulevard</t>
        </is>
      </c>
      <c r="D30" t="inlineStr">
        <is>
          <t>Beech Avenue</t>
        </is>
      </c>
      <c r="E30" t="inlineStr">
        <is>
          <t>Christiansen Avenue</t>
        </is>
      </c>
      <c r="F30" t="inlineStr">
        <is>
          <t>436405051</t>
        </is>
      </c>
      <c r="G30" t="n">
        <v>30</v>
      </c>
      <c r="H30" t="inlineStr">
        <is>
          <t>city/county</t>
        </is>
      </c>
      <c r="I30" t="inlineStr">
        <is>
          <t>LSV</t>
        </is>
      </c>
      <c r="J30" t="inlineStr">
        <is>
          <t>https://www.google.com/maps/@?api=1&amp;map_action=pano&amp;viewpoint=33.160241,-117.352725&amp;heading=145</t>
        </is>
      </c>
      <c r="K30" t="inlineStr">
        <is>
          <t>https://www.google.com/maps/search/?api=1&amp;query=33.160241,-117.352725</t>
        </is>
      </c>
      <c r="L30" t="inlineStr"/>
      <c r="M30" t="inlineStr"/>
      <c r="N30" t="inlineStr"/>
      <c r="O30" t="inlineStr"/>
      <c r="P30" t="inlineStr">
        <is>
          <t>pending</t>
        </is>
      </c>
      <c r="Q30" t="inlineStr"/>
      <c r="R30" t="inlineStr"/>
      <c r="S30" t="inlineStr">
        <is>
          <t>30</t>
        </is>
      </c>
      <c r="T30" t="inlineStr">
        <is>
          <t>Carlsbad Blvd (State St - Tamarack Ave)</t>
        </is>
      </c>
      <c r="U30" t="inlineStr">
        <is>
          <t>https://ecode360.com/44006773</t>
        </is>
      </c>
      <c r="V30">
        <f>IF(OR(L30="",S30=""),"",IF(VALUE(L30)=VALUE(S30),"Y","N"))</f>
        <v/>
      </c>
      <c r="W30">
        <f>IF(V30="Y",S30,"")</f>
        <v/>
      </c>
      <c r="X30" t="inlineStr">
        <is>
          <t>sources disagree: map uses the official 30 mph (OSM/imagery: osm 20)</t>
        </is>
      </c>
      <c r="Y30" t="n">
        <v>1</v>
      </c>
      <c r="Z30" t="inlineStr">
        <is>
          <t>122</t>
        </is>
      </c>
    </row>
    <row r="31">
      <c r="A31" t="inlineStr">
        <is>
          <t>CBD-B1-030</t>
        </is>
      </c>
      <c r="B31" t="inlineStr">
        <is>
          <t>Carlsbad</t>
        </is>
      </c>
      <c r="C31" t="inlineStr">
        <is>
          <t>Carlsbad Boulevard</t>
        </is>
      </c>
      <c r="D31" t="inlineStr">
        <is>
          <t>Mountain View Drive</t>
        </is>
      </c>
      <c r="E31" t="inlineStr">
        <is>
          <t>Cypress Avenue</t>
        </is>
      </c>
      <c r="F31" t="inlineStr">
        <is>
          <t>1085300499</t>
        </is>
      </c>
      <c r="G31" t="n">
        <v>30</v>
      </c>
      <c r="H31" t="inlineStr">
        <is>
          <t>city/county</t>
        </is>
      </c>
      <c r="I31" t="inlineStr">
        <is>
          <t>LSV</t>
        </is>
      </c>
      <c r="J31" t="inlineStr">
        <is>
          <t>https://www.google.com/maps/@?api=1&amp;map_action=pano&amp;viewpoint=33.162771,-117.354398&amp;heading=171</t>
        </is>
      </c>
      <c r="K31" t="inlineStr">
        <is>
          <t>https://www.google.com/maps/search/?api=1&amp;query=33.162771,-117.354398</t>
        </is>
      </c>
      <c r="L31" t="inlineStr"/>
      <c r="M31" t="inlineStr"/>
      <c r="N31" t="inlineStr"/>
      <c r="O31" t="inlineStr"/>
      <c r="P31" t="inlineStr">
        <is>
          <t>pending</t>
        </is>
      </c>
      <c r="Q31" t="inlineStr"/>
      <c r="R31" t="inlineStr"/>
      <c r="S31" t="inlineStr">
        <is>
          <t>30</t>
        </is>
      </c>
      <c r="T31" t="inlineStr">
        <is>
          <t>Carlsbad Blvd (State St - Tamarack Ave)</t>
        </is>
      </c>
      <c r="U31" t="inlineStr">
        <is>
          <t>https://ecode360.com/44006773</t>
        </is>
      </c>
      <c r="V31">
        <f>IF(OR(L31="",S31=""),"",IF(VALUE(L31)=VALUE(S31),"Y","N"))</f>
        <v/>
      </c>
      <c r="W31">
        <f>IF(V31="Y",S31,"")</f>
        <v/>
      </c>
      <c r="X31" t="inlineStr">
        <is>
          <t>sources disagree: map uses the official 30 mph (OSM/imagery: mapillary 25)</t>
        </is>
      </c>
      <c r="Y31" t="n">
        <v>1</v>
      </c>
      <c r="Z31" t="inlineStr">
        <is>
          <t>135</t>
        </is>
      </c>
    </row>
    <row r="32">
      <c r="A32" t="inlineStr">
        <is>
          <t>CBD-B1-031</t>
        </is>
      </c>
      <c r="B32" t="inlineStr">
        <is>
          <t>Carlsbad</t>
        </is>
      </c>
      <c r="C32" t="inlineStr">
        <is>
          <t>Carlsbad Boulevard</t>
        </is>
      </c>
      <c r="D32" t="inlineStr">
        <is>
          <t>South Coast Highway</t>
        </is>
      </c>
      <c r="E32" t="inlineStr">
        <is>
          <t>Mountain View Drive</t>
        </is>
      </c>
      <c r="F32" t="inlineStr">
        <is>
          <t>526970380</t>
        </is>
      </c>
      <c r="G32" t="n">
        <v>30</v>
      </c>
      <c r="H32" t="inlineStr">
        <is>
          <t>city/county</t>
        </is>
      </c>
      <c r="I32" t="inlineStr">
        <is>
          <t>LSV</t>
        </is>
      </c>
      <c r="J32" t="inlineStr">
        <is>
          <t>https://www.google.com/maps/@?api=1&amp;map_action=pano&amp;viewpoint=33.165740,-117.354582&amp;heading=172</t>
        </is>
      </c>
      <c r="K32" t="inlineStr">
        <is>
          <t>https://www.google.com/maps/search/?api=1&amp;query=33.165740,-117.354582</t>
        </is>
      </c>
      <c r="L32" t="inlineStr"/>
      <c r="M32" t="inlineStr"/>
      <c r="N32" t="inlineStr"/>
      <c r="O32" t="inlineStr"/>
      <c r="P32" t="inlineStr">
        <is>
          <t>pending</t>
        </is>
      </c>
      <c r="Q32" t="inlineStr"/>
      <c r="R32" t="inlineStr"/>
      <c r="S32" t="inlineStr">
        <is>
          <t>30</t>
        </is>
      </c>
      <c r="T32" t="inlineStr">
        <is>
          <t>Carlsbad Blvd (State St - Tamarack Ave)</t>
        </is>
      </c>
      <c r="U32" t="inlineStr">
        <is>
          <t>https://ecode360.com/44006773</t>
        </is>
      </c>
      <c r="V32">
        <f>IF(OR(L32="",S32=""),"",IF(VALUE(L32)=VALUE(S32),"Y","N"))</f>
        <v/>
      </c>
      <c r="W32">
        <f>IF(V32="Y",S32,"")</f>
        <v/>
      </c>
      <c r="X32" t="inlineStr">
        <is>
          <t>sources disagree: map uses the official 30 mph (OSM/imagery: osm 15)</t>
        </is>
      </c>
      <c r="Y32" t="n">
        <v>1</v>
      </c>
      <c r="Z32" t="inlineStr">
        <is>
          <t>10</t>
        </is>
      </c>
    </row>
    <row r="33">
      <c r="A33" t="inlineStr">
        <is>
          <t>CBD-B1-032</t>
        </is>
      </c>
      <c r="B33" t="inlineStr">
        <is>
          <t>Carlsbad</t>
        </is>
      </c>
      <c r="C33" t="inlineStr">
        <is>
          <t>Carlsbad Boulevard</t>
        </is>
      </c>
      <c r="D33" t="inlineStr">
        <is>
          <t>South Coast Highway</t>
        </is>
      </c>
      <c r="E33" t="inlineStr">
        <is>
          <t>Mountain View Drive</t>
        </is>
      </c>
      <c r="F33" t="inlineStr">
        <is>
          <t>794576109</t>
        </is>
      </c>
      <c r="G33" t="n">
        <v>35</v>
      </c>
      <c r="H33" t="inlineStr">
        <is>
          <t>city/county</t>
        </is>
      </c>
      <c r="I33" t="inlineStr">
        <is>
          <t>LSV</t>
        </is>
      </c>
      <c r="J33" t="inlineStr">
        <is>
          <t>https://www.google.com/maps/@?api=1&amp;map_action=pano&amp;viewpoint=33.165909,-117.354569&amp;heading=167</t>
        </is>
      </c>
      <c r="K33" t="inlineStr">
        <is>
          <t>https://www.google.com/maps/search/?api=1&amp;query=33.165909,-117.354569</t>
        </is>
      </c>
      <c r="L33" t="inlineStr"/>
      <c r="M33" t="inlineStr"/>
      <c r="N33" t="inlineStr"/>
      <c r="O33" t="inlineStr"/>
      <c r="P33" t="inlineStr">
        <is>
          <t>pending</t>
        </is>
      </c>
      <c r="Q33" t="inlineStr"/>
      <c r="R33" t="inlineStr"/>
      <c r="S33" t="inlineStr">
        <is>
          <t>35</t>
        </is>
      </c>
      <c r="T33" t="inlineStr">
        <is>
          <t>Carlsbad Blvd (North city limit - State St)</t>
        </is>
      </c>
      <c r="U33" t="inlineStr">
        <is>
          <t>https://ecode360.com/44006773</t>
        </is>
      </c>
      <c r="V33">
        <f>IF(OR(L33="",S33=""),"",IF(VALUE(L33)=VALUE(S33),"Y","N"))</f>
        <v/>
      </c>
      <c r="W33">
        <f>IF(V33="Y",S33,"")</f>
        <v/>
      </c>
      <c r="X33" t="inlineStr">
        <is>
          <t>sources disagree: map uses the official 35 mph (OSM/imagery: osm 10)</t>
        </is>
      </c>
      <c r="Y33" t="n">
        <v>1</v>
      </c>
      <c r="Z33" t="inlineStr">
        <is>
          <t>19</t>
        </is>
      </c>
    </row>
    <row r="34">
      <c r="A34" t="inlineStr">
        <is>
          <t>CBD-B1-033</t>
        </is>
      </c>
      <c r="B34" t="inlineStr">
        <is>
          <t>Carlsbad</t>
        </is>
      </c>
      <c r="C34" t="inlineStr">
        <is>
          <t>Carlsbad Boulevard</t>
        </is>
      </c>
      <c r="D34" t="inlineStr">
        <is>
          <t>South Coast Highway</t>
        </is>
      </c>
      <c r="E34" t="inlineStr">
        <is>
          <t>Mountain View Drive</t>
        </is>
      </c>
      <c r="F34" t="inlineStr">
        <is>
          <t>382185424</t>
        </is>
      </c>
      <c r="G34" t="n">
        <v>35</v>
      </c>
      <c r="H34" t="inlineStr">
        <is>
          <t>city/county</t>
        </is>
      </c>
      <c r="I34" t="inlineStr">
        <is>
          <t>LSV</t>
        </is>
      </c>
      <c r="J34" t="inlineStr">
        <is>
          <t>https://www.google.com/maps/@?api=1&amp;map_action=pano&amp;viewpoint=33.166139,-117.354677&amp;heading=155</t>
        </is>
      </c>
      <c r="K34" t="inlineStr">
        <is>
          <t>https://www.google.com/maps/search/?api=1&amp;query=33.166139,-117.354677</t>
        </is>
      </c>
      <c r="L34" t="inlineStr"/>
      <c r="M34" t="inlineStr"/>
      <c r="N34" t="inlineStr"/>
      <c r="O34" t="inlineStr"/>
      <c r="P34" t="inlineStr">
        <is>
          <t>pending</t>
        </is>
      </c>
      <c r="Q34" t="inlineStr"/>
      <c r="R34" t="inlineStr"/>
      <c r="S34" t="inlineStr">
        <is>
          <t>35</t>
        </is>
      </c>
      <c r="T34" t="inlineStr">
        <is>
          <t>Carlsbad Blvd (North city limit - State St)</t>
        </is>
      </c>
      <c r="U34" t="inlineStr">
        <is>
          <t>https://ecode360.com/44006773</t>
        </is>
      </c>
      <c r="V34">
        <f>IF(OR(L34="",S34=""),"",IF(VALUE(L34)=VALUE(S34),"Y","N"))</f>
        <v/>
      </c>
      <c r="W34">
        <f>IF(V34="Y",S34,"")</f>
        <v/>
      </c>
      <c r="X34" t="inlineStr">
        <is>
          <t>sources disagree: map uses the official 35 mph (OSM/imagery: osm 15)</t>
        </is>
      </c>
      <c r="Y34" t="n">
        <v>1</v>
      </c>
      <c r="Z34" t="inlineStr">
        <is>
          <t>46</t>
        </is>
      </c>
    </row>
    <row r="35">
      <c r="A35" t="inlineStr">
        <is>
          <t>CBD-B1-034</t>
        </is>
      </c>
      <c r="B35" t="inlineStr">
        <is>
          <t>Carlsbad</t>
        </is>
      </c>
      <c r="C35" t="inlineStr">
        <is>
          <t>Carlsbad Boulevard</t>
        </is>
      </c>
      <c r="D35" t="inlineStr">
        <is>
          <t>South Coast Highway</t>
        </is>
      </c>
      <c r="E35" t="inlineStr">
        <is>
          <t>Mountain View Drive</t>
        </is>
      </c>
      <c r="F35" t="inlineStr">
        <is>
          <t>407600254</t>
        </is>
      </c>
      <c r="G35" t="n">
        <v>35</v>
      </c>
      <c r="H35" t="inlineStr">
        <is>
          <t>city/county</t>
        </is>
      </c>
      <c r="I35" t="inlineStr">
        <is>
          <t>LSV</t>
        </is>
      </c>
      <c r="J35" t="inlineStr">
        <is>
          <t>https://www.google.com/maps/@?api=1&amp;map_action=pano&amp;viewpoint=33.166569,-117.354912&amp;heading=145</t>
        </is>
      </c>
      <c r="K35" t="inlineStr">
        <is>
          <t>https://www.google.com/maps/search/?api=1&amp;query=33.166569,-117.354912</t>
        </is>
      </c>
      <c r="L35" t="inlineStr"/>
      <c r="M35" t="inlineStr"/>
      <c r="N35" t="inlineStr"/>
      <c r="O35" t="inlineStr"/>
      <c r="P35" t="inlineStr">
        <is>
          <t>pending</t>
        </is>
      </c>
      <c r="Q35" t="inlineStr"/>
      <c r="R35" t="inlineStr"/>
      <c r="S35" t="inlineStr">
        <is>
          <t>35</t>
        </is>
      </c>
      <c r="T35" t="inlineStr">
        <is>
          <t>Carlsbad Blvd (North city limit - State St)</t>
        </is>
      </c>
      <c r="U35" t="inlineStr">
        <is>
          <t>https://ecode360.com/44006773</t>
        </is>
      </c>
      <c r="V35">
        <f>IF(OR(L35="",S35=""),"",IF(VALUE(L35)=VALUE(S35),"Y","N"))</f>
        <v/>
      </c>
      <c r="W35">
        <f>IF(V35="Y",S35,"")</f>
        <v/>
      </c>
      <c r="X35" t="inlineStr">
        <is>
          <t>sources disagree: map uses the official 35 mph (OSM/imagery: osm 25)</t>
        </is>
      </c>
      <c r="Y35" t="n">
        <v>1</v>
      </c>
      <c r="Z35" t="inlineStr">
        <is>
          <t>211</t>
        </is>
      </c>
    </row>
    <row r="36">
      <c r="A36" t="inlineStr">
        <is>
          <t>CBD-B1-035</t>
        </is>
      </c>
      <c r="B36" t="inlineStr">
        <is>
          <t>Carlsbad</t>
        </is>
      </c>
      <c r="C36" t="inlineStr">
        <is>
          <t>La Costa Avenue</t>
        </is>
      </c>
      <c r="D36" t="inlineStr">
        <is>
          <t>North Coast Highway</t>
        </is>
      </c>
      <c r="E36" t="inlineStr">
        <is>
          <t>North Vulcan Avenue</t>
        </is>
      </c>
      <c r="F36" t="inlineStr">
        <is>
          <t>750625054</t>
        </is>
      </c>
      <c r="G36" t="n">
        <v>30</v>
      </c>
      <c r="H36" t="inlineStr">
        <is>
          <t>city/county</t>
        </is>
      </c>
      <c r="I36" t="inlineStr">
        <is>
          <t>LSV</t>
        </is>
      </c>
      <c r="J36" t="inlineStr">
        <is>
          <t>https://www.google.com/maps/@?api=1&amp;map_action=pano&amp;viewpoint=33.082615,-117.308638&amp;heading=50</t>
        </is>
      </c>
      <c r="K36" t="inlineStr">
        <is>
          <t>https://www.google.com/maps/search/?api=1&amp;query=33.082615,-117.308638</t>
        </is>
      </c>
      <c r="L36" t="inlineStr"/>
      <c r="M36" t="inlineStr"/>
      <c r="N36" t="inlineStr"/>
      <c r="O36" t="inlineStr"/>
      <c r="P36" t="inlineStr">
        <is>
          <t>pending</t>
        </is>
      </c>
      <c r="Q36" t="inlineStr"/>
      <c r="R36" t="inlineStr"/>
      <c r="S36" t="inlineStr">
        <is>
          <t>30</t>
        </is>
      </c>
      <c r="T36" t="inlineStr">
        <is>
          <t>Encinitas Ord. 2026-05 Exhibit A (2026 E&amp;TS): La Costa Ave (N Coast Hwy 101 - East City Limits) posted 30</t>
        </is>
      </c>
      <c r="U36" t="inlineStr">
        <is>
          <t>https://ecode360.com/EN5042/laws/LF2740111.pdf</t>
        </is>
      </c>
      <c r="V36">
        <f>IF(OR(L36="",S36=""),"",IF(VALUE(L36)=VALUE(S36),"Y","N"))</f>
        <v/>
      </c>
      <c r="W36">
        <f>IF(V36="Y",S36,"")</f>
        <v/>
      </c>
      <c r="X36" t="inlineStr">
        <is>
          <t>sources disagree: map uses the official 30 mph (OSM/imagery: osm 40)</t>
        </is>
      </c>
      <c r="Y36" t="n">
        <v>1</v>
      </c>
      <c r="Z36" t="inlineStr">
        <is>
          <t>38</t>
        </is>
      </c>
    </row>
    <row r="37">
      <c r="A37" t="inlineStr">
        <is>
          <t>CBD-B1-036</t>
        </is>
      </c>
      <c r="B37" t="inlineStr">
        <is>
          <t>Carlsbad</t>
        </is>
      </c>
      <c r="C37" t="inlineStr">
        <is>
          <t>South Coast Highway</t>
        </is>
      </c>
      <c r="D37" t="inlineStr">
        <is>
          <t>Pacific Coast Highway</t>
        </is>
      </c>
      <c r="E37" t="inlineStr">
        <is>
          <t>Pacific Coast Highway</t>
        </is>
      </c>
      <c r="F37" t="inlineStr">
        <is>
          <t>436435229</t>
        </is>
      </c>
      <c r="G37" t="n">
        <v>35</v>
      </c>
      <c r="H37" t="inlineStr">
        <is>
          <t>city/county</t>
        </is>
      </c>
      <c r="I37" t="inlineStr">
        <is>
          <t>LSV</t>
        </is>
      </c>
      <c r="J37" t="inlineStr">
        <is>
          <t>https://www.google.com/maps/@?api=1&amp;map_action=pano&amp;viewpoint=33.171797,-117.359296&amp;heading=148</t>
        </is>
      </c>
      <c r="K37" t="inlineStr">
        <is>
          <t>https://www.google.com/maps/search/?api=1&amp;query=33.171797,-117.359296</t>
        </is>
      </c>
      <c r="L37" t="inlineStr"/>
      <c r="M37" t="inlineStr"/>
      <c r="N37" t="inlineStr"/>
      <c r="O37" t="inlineStr"/>
      <c r="P37" t="inlineStr">
        <is>
          <t>pending</t>
        </is>
      </c>
      <c r="Q37" t="inlineStr"/>
      <c r="R37" t="inlineStr"/>
      <c r="S37" t="inlineStr">
        <is>
          <t>35</t>
        </is>
      </c>
      <c r="T37" t="inlineStr">
        <is>
          <t>Coast Highway (Wisconsin Ave - south city limit)</t>
        </is>
      </c>
      <c r="U37" t="inlineStr">
        <is>
          <t>https://gocodebook.com/library/us/ca/oceanside/oceanside-traffic-code-1/article-xiv-special-speed-zones</t>
        </is>
      </c>
      <c r="V37">
        <f>IF(OR(L37="",S37=""),"",IF(VALUE(L37)=VALUE(S37),"Y","N"))</f>
        <v/>
      </c>
      <c r="W37">
        <f>IF(V37="Y",S37,"")</f>
        <v/>
      </c>
      <c r="X37" t="inlineStr">
        <is>
          <t>sources disagree: map uses the official 35 mph (OSM/imagery: osm 30)</t>
        </is>
      </c>
      <c r="Y37" t="n">
        <v>1</v>
      </c>
      <c r="Z37" t="inlineStr">
        <is>
          <t>3</t>
        </is>
      </c>
    </row>
    <row r="38">
      <c r="A38" t="inlineStr">
        <is>
          <t>DMR-B1-001</t>
        </is>
      </c>
      <c r="B38" t="inlineStr">
        <is>
          <t>Del Mar</t>
        </is>
      </c>
      <c r="C38" t="inlineStr">
        <is>
          <t>Camino del Mar</t>
        </is>
      </c>
      <c r="D38" t="inlineStr">
        <is>
          <t>27th Street</t>
        </is>
      </c>
      <c r="E38" t="inlineStr">
        <is>
          <t>Sandy Pointe</t>
        </is>
      </c>
      <c r="F38" t="inlineStr">
        <is>
          <t>1342043490</t>
        </is>
      </c>
      <c r="G38" t="n">
        <v>25</v>
      </c>
      <c r="H38" t="inlineStr">
        <is>
          <t>city/county</t>
        </is>
      </c>
      <c r="I38" t="inlineStr">
        <is>
          <t>cart+LSV</t>
        </is>
      </c>
      <c r="J38" t="inlineStr">
        <is>
          <t>https://www.google.com/maps/@?api=1&amp;map_action=pano&amp;viewpoint=32.971681,-117.268312&amp;heading=351</t>
        </is>
      </c>
      <c r="K38" t="inlineStr">
        <is>
          <t>https://www.google.com/maps/search/?api=1&amp;query=32.971681,-117.268312</t>
        </is>
      </c>
      <c r="L38" t="inlineStr"/>
      <c r="M38" t="inlineStr"/>
      <c r="N38" t="inlineStr"/>
      <c r="O38" t="inlineStr"/>
      <c r="P38" t="inlineStr">
        <is>
          <t>pending</t>
        </is>
      </c>
      <c r="Q38" t="inlineStr"/>
      <c r="R38" t="inlineStr"/>
      <c r="S38" t="inlineStr">
        <is>
          <t>25</t>
        </is>
      </c>
      <c r="T38" t="inlineStr">
        <is>
          <t>Camino del Mar (San Dieguito Bridge - Coast Blvd: posted 25 (survey seg 3))</t>
        </is>
      </c>
      <c r="U38" t="inlineStr">
        <is>
          <t>https://www.delmar.ca.us/AgendaCenter/ViewFile/Agenda/_09142026-3926</t>
        </is>
      </c>
      <c r="V38">
        <f>IF(OR(L38="",S38=""),"",IF(VALUE(L38)=VALUE(S38),"Y","N"))</f>
        <v/>
      </c>
      <c r="W38">
        <f>IF(V38="Y",S38,"")</f>
        <v/>
      </c>
      <c r="X38" t="inlineStr">
        <is>
          <t>sources disagree: map uses the official 25 mph (OSM/imagery: mapillary 30)</t>
        </is>
      </c>
      <c r="Y38" t="n">
        <v>1</v>
      </c>
      <c r="Z38" t="inlineStr">
        <is>
          <t>127</t>
        </is>
      </c>
    </row>
    <row r="39">
      <c r="A39" t="inlineStr">
        <is>
          <t>DMR-B1-002</t>
        </is>
      </c>
      <c r="B39" t="inlineStr">
        <is>
          <t>Del Mar</t>
        </is>
      </c>
      <c r="C39" t="inlineStr">
        <is>
          <t>Camino del Mar</t>
        </is>
      </c>
      <c r="D39" t="inlineStr">
        <is>
          <t>Sandy Lane</t>
        </is>
      </c>
      <c r="E39" t="inlineStr">
        <is>
          <t>South Coast Highway</t>
        </is>
      </c>
      <c r="F39" t="inlineStr">
        <is>
          <t>34906973</t>
        </is>
      </c>
      <c r="G39" t="n">
        <v>40</v>
      </c>
      <c r="H39" t="inlineStr">
        <is>
          <t>city/county</t>
        </is>
      </c>
      <c r="I39" t="inlineStr">
        <is>
          <t>no</t>
        </is>
      </c>
      <c r="J39" t="inlineStr">
        <is>
          <t>https://www.google.com/maps/@?api=1&amp;map_action=pano&amp;viewpoint=32.975522,-117.269016&amp;heading=352</t>
        </is>
      </c>
      <c r="K39" t="inlineStr">
        <is>
          <t>https://www.google.com/maps/search/?api=1&amp;query=32.975522,-117.269016</t>
        </is>
      </c>
      <c r="L39" t="inlineStr"/>
      <c r="M39" t="inlineStr"/>
      <c r="N39" t="inlineStr"/>
      <c r="O39" t="inlineStr"/>
      <c r="P39" t="inlineStr">
        <is>
          <t>pending</t>
        </is>
      </c>
      <c r="Q39" t="inlineStr"/>
      <c r="R39" t="inlineStr"/>
      <c r="S39" t="inlineStr">
        <is>
          <t>40</t>
        </is>
      </c>
      <c r="T39" t="inlineStr">
        <is>
          <t>Camino del Mar (Via de la Valle - San Dieguito Bridge — posted 40 mph today; ordinance lowers it to 30 mph from 2026-11-19, once new signs are up)</t>
        </is>
      </c>
      <c r="U39" t="inlineStr">
        <is>
          <t>https://www.delmar.ca.us/AgendaCenter/ViewFile/Agenda/_10202026-3943</t>
        </is>
      </c>
      <c r="V39">
        <f>IF(OR(L39="",S39=""),"",IF(VALUE(L39)=VALUE(S39),"Y","N"))</f>
        <v/>
      </c>
      <c r="W39">
        <f>IF(V39="Y",S39,"")</f>
        <v/>
      </c>
      <c r="X39" t="inlineStr">
        <is>
          <t>sources disagree: map uses the official 40 mph (OSM/imagery: mapillary 25)</t>
        </is>
      </c>
      <c r="Y39" t="n">
        <v>1</v>
      </c>
      <c r="Z39" t="inlineStr">
        <is>
          <t>185</t>
        </is>
      </c>
    </row>
    <row r="40">
      <c r="A40" t="inlineStr">
        <is>
          <t>DMR-B1-003</t>
        </is>
      </c>
      <c r="B40" t="inlineStr">
        <is>
          <t>Del Mar</t>
        </is>
      </c>
      <c r="C40" t="inlineStr">
        <is>
          <t>Camino del Mar</t>
        </is>
      </c>
      <c r="D40" t="inlineStr">
        <is>
          <t>Sandy Lane</t>
        </is>
      </c>
      <c r="E40" t="inlineStr">
        <is>
          <t>South Coast Highway</t>
        </is>
      </c>
      <c r="F40" t="inlineStr">
        <is>
          <t>157272809</t>
        </is>
      </c>
      <c r="G40" t="n">
        <v>40</v>
      </c>
      <c r="H40" t="inlineStr">
        <is>
          <t>city/county</t>
        </is>
      </c>
      <c r="I40" t="inlineStr">
        <is>
          <t>no</t>
        </is>
      </c>
      <c r="J40" t="inlineStr">
        <is>
          <t>https://www.google.com/maps/@?api=1&amp;map_action=pano&amp;viewpoint=32.976984,-117.269221&amp;heading=355</t>
        </is>
      </c>
      <c r="K40" t="inlineStr">
        <is>
          <t>https://www.google.com/maps/search/?api=1&amp;query=32.976984,-117.269221</t>
        </is>
      </c>
      <c r="L40" t="inlineStr"/>
      <c r="M40" t="inlineStr"/>
      <c r="N40" t="inlineStr"/>
      <c r="O40" t="inlineStr"/>
      <c r="P40" t="inlineStr">
        <is>
          <t>pending</t>
        </is>
      </c>
      <c r="Q40" t="inlineStr"/>
      <c r="R40" t="inlineStr"/>
      <c r="S40" t="inlineStr">
        <is>
          <t>40</t>
        </is>
      </c>
      <c r="T40" t="inlineStr">
        <is>
          <t>Camino del Mar (Via de la Valle - San Dieguito Bridge — posted 40 mph today; ordinance lowers it to 30 mph from 2026-11-19, once new signs are up)</t>
        </is>
      </c>
      <c r="U40" t="inlineStr">
        <is>
          <t>https://www.delmar.ca.us/AgendaCenter/ViewFile/Agenda/_10202026-3943</t>
        </is>
      </c>
      <c r="V40">
        <f>IF(OR(L40="",S40=""),"",IF(VALUE(L40)=VALUE(S40),"Y","N"))</f>
        <v/>
      </c>
      <c r="W40">
        <f>IF(V40="Y",S40,"")</f>
        <v/>
      </c>
      <c r="X40" t="inlineStr">
        <is>
          <t>one official source; most-used arterial</t>
        </is>
      </c>
      <c r="Y40" t="n">
        <v>1</v>
      </c>
      <c r="Z40" t="inlineStr">
        <is>
          <t>242</t>
        </is>
      </c>
    </row>
    <row r="41">
      <c r="A41" t="inlineStr">
        <is>
          <t>DMR-B1-004</t>
        </is>
      </c>
      <c r="B41" t="inlineStr">
        <is>
          <t>Del Mar</t>
        </is>
      </c>
      <c r="C41" t="inlineStr">
        <is>
          <t>Camino del Mar</t>
        </is>
      </c>
      <c r="D41" t="inlineStr">
        <is>
          <t>Border Avenue</t>
        </is>
      </c>
      <c r="E41" t="inlineStr">
        <is>
          <t>Sandy Lane</t>
        </is>
      </c>
      <c r="F41" t="inlineStr">
        <is>
          <t>157531225</t>
        </is>
      </c>
      <c r="G41" t="n">
        <v>40</v>
      </c>
      <c r="H41" t="inlineStr">
        <is>
          <t>city/county</t>
        </is>
      </c>
      <c r="I41" t="inlineStr">
        <is>
          <t>no</t>
        </is>
      </c>
      <c r="J41" t="inlineStr">
        <is>
          <t>https://www.google.com/maps/@?api=1&amp;map_action=pano&amp;viewpoint=32.977038,-117.269310&amp;heading=175</t>
        </is>
      </c>
      <c r="K41" t="inlineStr">
        <is>
          <t>https://www.google.com/maps/search/?api=1&amp;query=32.977038,-117.269310</t>
        </is>
      </c>
      <c r="L41" t="inlineStr"/>
      <c r="M41" t="inlineStr"/>
      <c r="N41" t="inlineStr"/>
      <c r="O41" t="inlineStr"/>
      <c r="P41" t="inlineStr">
        <is>
          <t>pending</t>
        </is>
      </c>
      <c r="Q41" t="inlineStr"/>
      <c r="R41" t="inlineStr"/>
      <c r="S41" t="inlineStr">
        <is>
          <t>40</t>
        </is>
      </c>
      <c r="T41" t="inlineStr">
        <is>
          <t>Camino del Mar (Via de la Valle - San Dieguito Bridge — posted 40 mph today; ordinance lowers it to 30 mph from 2026-11-19, once new signs are up)</t>
        </is>
      </c>
      <c r="U41" t="inlineStr">
        <is>
          <t>https://www.delmar.ca.us/AgendaCenter/ViewFile/Agenda/_10202026-3943</t>
        </is>
      </c>
      <c r="V41">
        <f>IF(OR(L41="",S41=""),"",IF(VALUE(L41)=VALUE(S41),"Y","N"))</f>
        <v/>
      </c>
      <c r="W41">
        <f>IF(V41="Y",S41,"")</f>
        <v/>
      </c>
      <c r="X41" t="inlineStr">
        <is>
          <t>sources disagree: map uses the official 40 mph (OSM/imagery: osm 45)</t>
        </is>
      </c>
      <c r="Y41" t="n">
        <v>1</v>
      </c>
      <c r="Z41" t="inlineStr">
        <is>
          <t>253</t>
        </is>
      </c>
    </row>
    <row r="42">
      <c r="A42" t="inlineStr">
        <is>
          <t>DMR-B1-005</t>
        </is>
      </c>
      <c r="B42" t="inlineStr">
        <is>
          <t>Del Mar</t>
        </is>
      </c>
      <c r="C42" t="inlineStr">
        <is>
          <t>Camino del Mar</t>
        </is>
      </c>
      <c r="D42" t="inlineStr">
        <is>
          <t>Sandy Lane</t>
        </is>
      </c>
      <c r="E42" t="inlineStr">
        <is>
          <t>South Coast Highway</t>
        </is>
      </c>
      <c r="F42" t="inlineStr">
        <is>
          <t>34092357</t>
        </is>
      </c>
      <c r="G42" t="n">
        <v>40</v>
      </c>
      <c r="H42" t="inlineStr">
        <is>
          <t>city/county</t>
        </is>
      </c>
      <c r="I42" t="inlineStr">
        <is>
          <t>no</t>
        </is>
      </c>
      <c r="J42" t="inlineStr">
        <is>
          <t>https://www.google.com/maps/@?api=1&amp;map_action=pano&amp;viewpoint=32.979278,-117.269075&amp;heading=7</t>
        </is>
      </c>
      <c r="K42" t="inlineStr">
        <is>
          <t>https://www.google.com/maps/search/?api=1&amp;query=32.979278,-117.269075</t>
        </is>
      </c>
      <c r="L42" t="inlineStr"/>
      <c r="M42" t="inlineStr"/>
      <c r="N42" t="inlineStr"/>
      <c r="O42" t="inlineStr"/>
      <c r="P42" t="inlineStr">
        <is>
          <t>pending</t>
        </is>
      </c>
      <c r="Q42" t="inlineStr"/>
      <c r="R42" t="inlineStr"/>
      <c r="S42" t="inlineStr">
        <is>
          <t>40</t>
        </is>
      </c>
      <c r="T42" t="inlineStr">
        <is>
          <t>Camino del Mar (Via de la Valle - San Dieguito Bridge — posted 40 mph today; ordinance lowers it to 30 mph from 2026-11-19, once new signs are up)</t>
        </is>
      </c>
      <c r="U42" t="inlineStr">
        <is>
          <t>https://www.delmar.ca.us/AgendaCenter/ViewFile/Agenda/_10202026-3943</t>
        </is>
      </c>
      <c r="V42">
        <f>IF(OR(L42="",S42=""),"",IF(VALUE(L42)=VALUE(S42),"Y","N"))</f>
        <v/>
      </c>
      <c r="W42">
        <f>IF(V42="Y",S42,"")</f>
        <v/>
      </c>
      <c r="X42" t="inlineStr">
        <is>
          <t>one official source; most-used arterial</t>
        </is>
      </c>
      <c r="Y42" t="n">
        <v>1</v>
      </c>
      <c r="Z42" t="inlineStr">
        <is>
          <t>179</t>
        </is>
      </c>
    </row>
    <row r="43">
      <c r="A43" t="inlineStr">
        <is>
          <t>ENC-B1-001</t>
        </is>
      </c>
      <c r="B43" t="inlineStr">
        <is>
          <t>Encinitas</t>
        </is>
      </c>
      <c r="C43" t="inlineStr">
        <is>
          <t>Encinitas Boulevard</t>
        </is>
      </c>
      <c r="D43" t="inlineStr">
        <is>
          <t>North Vulcan Avenue</t>
        </is>
      </c>
      <c r="E43" t="inlineStr">
        <is>
          <t>B Street</t>
        </is>
      </c>
      <c r="F43" t="inlineStr">
        <is>
          <t>169543038</t>
        </is>
      </c>
      <c r="G43" t="n">
        <v>35</v>
      </c>
      <c r="H43" t="inlineStr">
        <is>
          <t>city/county</t>
        </is>
      </c>
      <c r="I43" t="inlineStr">
        <is>
          <t>LSV</t>
        </is>
      </c>
      <c r="J43" t="inlineStr">
        <is>
          <t>https://www.google.com/maps/@?api=1&amp;map_action=pano&amp;viewpoint=33.048784,-117.294009&amp;heading=265</t>
        </is>
      </c>
      <c r="K43" t="inlineStr">
        <is>
          <t>https://www.google.com/maps/search/?api=1&amp;query=33.048784,-117.294009</t>
        </is>
      </c>
      <c r="L43" t="inlineStr"/>
      <c r="M43" t="inlineStr"/>
      <c r="N43" t="inlineStr"/>
      <c r="O43" t="inlineStr"/>
      <c r="P43" t="inlineStr">
        <is>
          <t>pending</t>
        </is>
      </c>
      <c r="Q43" t="inlineStr"/>
      <c r="R43" t="inlineStr"/>
      <c r="S43" t="inlineStr">
        <is>
          <t>35</t>
        </is>
      </c>
      <c r="T43" t="inlineStr">
        <is>
          <t>Encinitas Ord. 2026-05 Exhibit A (2026 E&amp;TS): Encinitas Blvd (Coast Hwy 101 - Quail Gardens Rd) posted 35</t>
        </is>
      </c>
      <c r="U43" t="inlineStr">
        <is>
          <t>https://ecode360.com/EN5042/laws/LF2740111.pdf</t>
        </is>
      </c>
      <c r="V43">
        <f>IF(OR(L43="",S43=""),"",IF(VALUE(L43)=VALUE(S43),"Y","N"))</f>
        <v/>
      </c>
      <c r="W43">
        <f>IF(V43="Y",S43,"")</f>
        <v/>
      </c>
      <c r="X43" t="inlineStr">
        <is>
          <t>sources disagree: map uses the official 35 mph (OSM/imagery: osm 40)</t>
        </is>
      </c>
      <c r="Y43" t="n">
        <v>1</v>
      </c>
      <c r="Z43" t="inlineStr">
        <is>
          <t>42</t>
        </is>
      </c>
    </row>
    <row r="44">
      <c r="A44" t="inlineStr">
        <is>
          <t>ENC-B1-002</t>
        </is>
      </c>
      <c r="B44" t="inlineStr">
        <is>
          <t>Encinitas</t>
        </is>
      </c>
      <c r="C44" t="inlineStr">
        <is>
          <t>Encinitas Boulevard</t>
        </is>
      </c>
      <c r="D44" t="inlineStr">
        <is>
          <t>North Vulcan Avenue</t>
        </is>
      </c>
      <c r="E44" t="inlineStr">
        <is>
          <t>B Street</t>
        </is>
      </c>
      <c r="F44" t="inlineStr">
        <is>
          <t>391854306</t>
        </is>
      </c>
      <c r="G44" t="n">
        <v>35</v>
      </c>
      <c r="H44" t="inlineStr">
        <is>
          <t>city/county</t>
        </is>
      </c>
      <c r="I44" t="inlineStr">
        <is>
          <t>LSV</t>
        </is>
      </c>
      <c r="J44" t="inlineStr">
        <is>
          <t>https://www.google.com/maps/@?api=1&amp;map_action=pano&amp;viewpoint=33.048805,-117.293719&amp;heading=265</t>
        </is>
      </c>
      <c r="K44" t="inlineStr">
        <is>
          <t>https://www.google.com/maps/search/?api=1&amp;query=33.048805,-117.293719</t>
        </is>
      </c>
      <c r="L44" t="inlineStr"/>
      <c r="M44" t="inlineStr"/>
      <c r="N44" t="inlineStr"/>
      <c r="O44" t="inlineStr"/>
      <c r="P44" t="inlineStr">
        <is>
          <t>pending</t>
        </is>
      </c>
      <c r="Q44" t="inlineStr"/>
      <c r="R44" t="inlineStr"/>
      <c r="S44" t="inlineStr">
        <is>
          <t>35</t>
        </is>
      </c>
      <c r="T44" t="inlineStr">
        <is>
          <t>Encinitas Ord. 2026-05 Exhibit A (2026 E&amp;TS): Encinitas Blvd (Coast Hwy 101 - Quail Gardens Rd) posted 35</t>
        </is>
      </c>
      <c r="U44" t="inlineStr">
        <is>
          <t>https://ecode360.com/EN5042/laws/LF2740111.pdf</t>
        </is>
      </c>
      <c r="V44">
        <f>IF(OR(L44="",S44=""),"",IF(VALUE(L44)=VALUE(S44),"Y","N"))</f>
        <v/>
      </c>
      <c r="W44">
        <f>IF(V44="Y",S44,"")</f>
        <v/>
      </c>
      <c r="X44" t="inlineStr">
        <is>
          <t>sources disagree: map uses the official 35 mph (OSM/imagery: osm 40)</t>
        </is>
      </c>
      <c r="Y44" t="n">
        <v>1</v>
      </c>
      <c r="Z44" t="inlineStr">
        <is>
          <t>24</t>
        </is>
      </c>
    </row>
    <row r="45">
      <c r="A45" t="inlineStr">
        <is>
          <t>ENC-B1-003</t>
        </is>
      </c>
      <c r="B45" t="inlineStr">
        <is>
          <t>Encinitas</t>
        </is>
      </c>
      <c r="C45" t="inlineStr">
        <is>
          <t>Encinitas Boulevard</t>
        </is>
      </c>
      <c r="D45" t="inlineStr">
        <is>
          <t>North Vulcan Avenue</t>
        </is>
      </c>
      <c r="E45" t="inlineStr">
        <is>
          <t>B Street</t>
        </is>
      </c>
      <c r="F45" t="inlineStr">
        <is>
          <t>391854304</t>
        </is>
      </c>
      <c r="G45" t="n">
        <v>35</v>
      </c>
      <c r="H45" t="inlineStr">
        <is>
          <t>city/county</t>
        </is>
      </c>
      <c r="I45" t="inlineStr">
        <is>
          <t>LSV</t>
        </is>
      </c>
      <c r="J45" t="inlineStr">
        <is>
          <t>https://www.google.com/maps/@?api=1&amp;map_action=pano&amp;viewpoint=33.048823,-117.293482&amp;heading=265</t>
        </is>
      </c>
      <c r="K45" t="inlineStr">
        <is>
          <t>https://www.google.com/maps/search/?api=1&amp;query=33.048823,-117.293482</t>
        </is>
      </c>
      <c r="L45" t="inlineStr"/>
      <c r="M45" t="inlineStr"/>
      <c r="N45" t="inlineStr"/>
      <c r="O45" t="inlineStr"/>
      <c r="P45" t="inlineStr">
        <is>
          <t>pending</t>
        </is>
      </c>
      <c r="Q45" t="inlineStr"/>
      <c r="R45" t="inlineStr"/>
      <c r="S45" t="inlineStr">
        <is>
          <t>35</t>
        </is>
      </c>
      <c r="T45" t="inlineStr">
        <is>
          <t>Encinitas Ord. 2026-05 Exhibit A (2026 E&amp;TS): Encinitas Blvd (Coast Hwy 101 - Quail Gardens Rd) posted 35</t>
        </is>
      </c>
      <c r="U45" t="inlineStr">
        <is>
          <t>https://ecode360.com/EN5042/laws/LF2740111.pdf</t>
        </is>
      </c>
      <c r="V45">
        <f>IF(OR(L45="",S45=""),"",IF(VALUE(L45)=VALUE(S45),"Y","N"))</f>
        <v/>
      </c>
      <c r="W45">
        <f>IF(V45="Y",S45,"")</f>
        <v/>
      </c>
      <c r="X45" t="inlineStr">
        <is>
          <t>sources disagree: map uses the official 35 mph (OSM/imagery: osm 40)</t>
        </is>
      </c>
      <c r="Y45" t="n">
        <v>1</v>
      </c>
      <c r="Z45" t="inlineStr">
        <is>
          <t>9</t>
        </is>
      </c>
    </row>
    <row r="46">
      <c r="A46" t="inlineStr">
        <is>
          <t>ENC-B1-004</t>
        </is>
      </c>
      <c r="B46" t="inlineStr">
        <is>
          <t>Encinitas</t>
        </is>
      </c>
      <c r="C46" t="inlineStr">
        <is>
          <t>Encinitas Boulevard</t>
        </is>
      </c>
      <c r="D46" t="inlineStr">
        <is>
          <t>North Vulcan Avenue</t>
        </is>
      </c>
      <c r="E46" t="inlineStr">
        <is>
          <t>B Street</t>
        </is>
      </c>
      <c r="F46" t="inlineStr">
        <is>
          <t>391854305</t>
        </is>
      </c>
      <c r="G46" t="n">
        <v>35</v>
      </c>
      <c r="H46" t="inlineStr">
        <is>
          <t>city/county</t>
        </is>
      </c>
      <c r="I46" t="inlineStr">
        <is>
          <t>LSV</t>
        </is>
      </c>
      <c r="J46" t="inlineStr">
        <is>
          <t>https://www.google.com/maps/@?api=1&amp;map_action=pano&amp;viewpoint=33.048845,-117.293162&amp;heading=265</t>
        </is>
      </c>
      <c r="K46" t="inlineStr">
        <is>
          <t>https://www.google.com/maps/search/?api=1&amp;query=33.048845,-117.293162</t>
        </is>
      </c>
      <c r="L46" t="inlineStr"/>
      <c r="M46" t="inlineStr"/>
      <c r="N46" t="inlineStr"/>
      <c r="O46" t="inlineStr"/>
      <c r="P46" t="inlineStr">
        <is>
          <t>pending</t>
        </is>
      </c>
      <c r="Q46" t="inlineStr"/>
      <c r="R46" t="inlineStr"/>
      <c r="S46" t="inlineStr">
        <is>
          <t>35</t>
        </is>
      </c>
      <c r="T46" t="inlineStr">
        <is>
          <t>Encinitas Ord. 2026-05 Exhibit A (2026 E&amp;TS): Encinitas Blvd (Coast Hwy 101 - Quail Gardens Rd) posted 35</t>
        </is>
      </c>
      <c r="U46" t="inlineStr">
        <is>
          <t>https://ecode360.com/EN5042/laws/LF2740111.pdf</t>
        </is>
      </c>
      <c r="V46">
        <f>IF(OR(L46="",S46=""),"",IF(VALUE(L46)=VALUE(S46),"Y","N"))</f>
        <v/>
      </c>
      <c r="W46">
        <f>IF(V46="Y",S46,"")</f>
        <v/>
      </c>
      <c r="X46" t="inlineStr">
        <is>
          <t>sources disagree: map uses the official 35 mph (OSM/imagery: osm 40)</t>
        </is>
      </c>
      <c r="Y46" t="n">
        <v>1</v>
      </c>
      <c r="Z46" t="inlineStr">
        <is>
          <t>39</t>
        </is>
      </c>
    </row>
    <row r="47">
      <c r="A47" t="inlineStr">
        <is>
          <t>ENC-B1-005</t>
        </is>
      </c>
      <c r="B47" t="inlineStr">
        <is>
          <t>Encinitas</t>
        </is>
      </c>
      <c r="C47" t="inlineStr">
        <is>
          <t>North Coast Highway</t>
        </is>
      </c>
      <c r="D47" t="inlineStr">
        <is>
          <t>B Street</t>
        </is>
      </c>
      <c r="E47" t="inlineStr">
        <is>
          <t>A Street</t>
        </is>
      </c>
      <c r="F47" t="inlineStr">
        <is>
          <t>436300808</t>
        </is>
      </c>
      <c r="G47" t="n">
        <v>25</v>
      </c>
      <c r="H47" t="inlineStr">
        <is>
          <t>city/county</t>
        </is>
      </c>
      <c r="I47" t="inlineStr">
        <is>
          <t>cart+LSV</t>
        </is>
      </c>
      <c r="J47" t="inlineStr">
        <is>
          <t>https://www.google.com/maps/@?api=1&amp;map_action=pano&amp;viewpoint=33.049737,-117.294331&amp;heading=353</t>
        </is>
      </c>
      <c r="K47" t="inlineStr">
        <is>
          <t>https://www.google.com/maps/search/?api=1&amp;query=33.049737,-117.294331</t>
        </is>
      </c>
      <c r="L47" t="inlineStr"/>
      <c r="M47" t="inlineStr"/>
      <c r="N47" t="inlineStr"/>
      <c r="O47" t="inlineStr"/>
      <c r="P47" t="inlineStr">
        <is>
          <t>pending</t>
        </is>
      </c>
      <c r="Q47" t="inlineStr"/>
      <c r="R47" t="inlineStr"/>
      <c r="S47" t="inlineStr">
        <is>
          <t>25</t>
        </is>
      </c>
      <c r="T47" t="inlineStr">
        <is>
          <t>N Coast Hwy 101 (La Costa Ave - Encinitas Blvd)</t>
        </is>
      </c>
      <c r="U47" t="inlineStr">
        <is>
          <t>https://ecode360.com/EN5042/laws/LF2740111.pdf</t>
        </is>
      </c>
      <c r="V47">
        <f>IF(OR(L47="",S47=""),"",IF(VALUE(L47)=VALUE(S47),"Y","N"))</f>
        <v/>
      </c>
      <c r="W47">
        <f>IF(V47="Y",S47,"")</f>
        <v/>
      </c>
      <c r="X47" t="inlineStr">
        <is>
          <t>sources disagree: map uses the official 25 mph (OSM/imagery: mapillary 35)</t>
        </is>
      </c>
      <c r="Y47" t="n">
        <v>1</v>
      </c>
      <c r="Z47" t="inlineStr">
        <is>
          <t>46</t>
        </is>
      </c>
    </row>
    <row r="48">
      <c r="A48" t="inlineStr">
        <is>
          <t>ENC-B1-006</t>
        </is>
      </c>
      <c r="B48" t="inlineStr">
        <is>
          <t>Encinitas</t>
        </is>
      </c>
      <c r="C48" t="inlineStr">
        <is>
          <t>North Coast Highway</t>
        </is>
      </c>
      <c r="D48" t="inlineStr">
        <is>
          <t>Athena Street</t>
        </is>
      </c>
      <c r="E48" t="inlineStr">
        <is>
          <t>North Coast Highway 101</t>
        </is>
      </c>
      <c r="F48" t="inlineStr">
        <is>
          <t>1329263158</t>
        </is>
      </c>
      <c r="G48" t="n">
        <v>25</v>
      </c>
      <c r="H48" t="inlineStr">
        <is>
          <t>city/county</t>
        </is>
      </c>
      <c r="I48" t="inlineStr">
        <is>
          <t>cart+LSV</t>
        </is>
      </c>
      <c r="J48" t="inlineStr">
        <is>
          <t>https://www.google.com/maps/@?api=1&amp;map_action=pano&amp;viewpoint=33.057724,-117.298978&amp;heading=151</t>
        </is>
      </c>
      <c r="K48" t="inlineStr">
        <is>
          <t>https://www.google.com/maps/search/?api=1&amp;query=33.057724,-117.298978</t>
        </is>
      </c>
      <c r="L48" t="inlineStr"/>
      <c r="M48" t="inlineStr"/>
      <c r="N48" t="inlineStr"/>
      <c r="O48" t="inlineStr"/>
      <c r="P48" t="inlineStr">
        <is>
          <t>pending</t>
        </is>
      </c>
      <c r="Q48" t="inlineStr"/>
      <c r="R48" t="inlineStr"/>
      <c r="S48" t="inlineStr">
        <is>
          <t>25</t>
        </is>
      </c>
      <c r="T48" t="inlineStr">
        <is>
          <t>N Coast Hwy 101 (La Costa Ave - Encinitas Blvd)</t>
        </is>
      </c>
      <c r="U48" t="inlineStr">
        <is>
          <t>https://ecode360.com/EN5042/laws/LF2740111.pdf</t>
        </is>
      </c>
      <c r="V48">
        <f>IF(OR(L48="",S48=""),"",IF(VALUE(L48)=VALUE(S48),"Y","N"))</f>
        <v/>
      </c>
      <c r="W48">
        <f>IF(V48="Y",S48,"")</f>
        <v/>
      </c>
      <c r="X48" t="inlineStr">
        <is>
          <t>sources disagree: map uses the official 25 mph (OSM/imagery: mapillary 35)</t>
        </is>
      </c>
      <c r="Y48" t="n">
        <v>1</v>
      </c>
      <c r="Z48" t="inlineStr">
        <is>
          <t>162</t>
        </is>
      </c>
    </row>
    <row r="49">
      <c r="A49" t="inlineStr">
        <is>
          <t>ENC-B1-007</t>
        </is>
      </c>
      <c r="B49" t="inlineStr">
        <is>
          <t>Encinitas</t>
        </is>
      </c>
      <c r="C49" t="inlineStr">
        <is>
          <t>North Coast Highway</t>
        </is>
      </c>
      <c r="D49" t="inlineStr">
        <is>
          <t>North Coast Highway 101</t>
        </is>
      </c>
      <c r="E49" t="inlineStr">
        <is>
          <t>Athena Street</t>
        </is>
      </c>
      <c r="F49" t="inlineStr">
        <is>
          <t>436300819</t>
        </is>
      </c>
      <c r="G49" t="n">
        <v>25</v>
      </c>
      <c r="H49" t="inlineStr">
        <is>
          <t>city/county</t>
        </is>
      </c>
      <c r="I49" t="inlineStr">
        <is>
          <t>cart+LSV</t>
        </is>
      </c>
      <c r="J49" t="inlineStr">
        <is>
          <t>https://www.google.com/maps/@?api=1&amp;map_action=pano&amp;viewpoint=33.058245,-117.299291&amp;heading=332</t>
        </is>
      </c>
      <c r="K49" t="inlineStr">
        <is>
          <t>https://www.google.com/maps/search/?api=1&amp;query=33.058245,-117.299291</t>
        </is>
      </c>
      <c r="L49" t="inlineStr"/>
      <c r="M49" t="inlineStr"/>
      <c r="N49" t="inlineStr"/>
      <c r="O49" t="inlineStr"/>
      <c r="P49" t="inlineStr">
        <is>
          <t>pending</t>
        </is>
      </c>
      <c r="Q49" t="inlineStr"/>
      <c r="R49" t="inlineStr"/>
      <c r="S49" t="inlineStr">
        <is>
          <t>25</t>
        </is>
      </c>
      <c r="T49" t="inlineStr">
        <is>
          <t>N Coast Hwy 101 (La Costa Ave - Encinitas Blvd)</t>
        </is>
      </c>
      <c r="U49" t="inlineStr">
        <is>
          <t>https://ecode360.com/EN5042/laws/LF2740111.pdf</t>
        </is>
      </c>
      <c r="V49">
        <f>IF(OR(L49="",S49=""),"",IF(VALUE(L49)=VALUE(S49),"Y","N"))</f>
        <v/>
      </c>
      <c r="W49">
        <f>IF(V49="Y",S49,"")</f>
        <v/>
      </c>
      <c r="X49" t="inlineStr">
        <is>
          <t>sources disagree: map uses the official 25 mph (OSM/imagery: mapillary 35)</t>
        </is>
      </c>
      <c r="Y49" t="n">
        <v>1</v>
      </c>
      <c r="Z49" t="inlineStr">
        <is>
          <t>42</t>
        </is>
      </c>
    </row>
    <row r="50">
      <c r="A50" t="inlineStr">
        <is>
          <t>ENC-B1-008</t>
        </is>
      </c>
      <c r="B50" t="inlineStr">
        <is>
          <t>Encinitas</t>
        </is>
      </c>
      <c r="C50" t="inlineStr">
        <is>
          <t>North Coast Highway</t>
        </is>
      </c>
      <c r="D50" t="inlineStr">
        <is>
          <t>Athena Street</t>
        </is>
      </c>
      <c r="E50" t="inlineStr">
        <is>
          <t>Basil Street</t>
        </is>
      </c>
      <c r="F50" t="inlineStr">
        <is>
          <t>1106587666</t>
        </is>
      </c>
      <c r="G50" t="n">
        <v>25</v>
      </c>
      <c r="H50" t="inlineStr">
        <is>
          <t>city/county</t>
        </is>
      </c>
      <c r="I50" t="inlineStr">
        <is>
          <t>cart+LSV</t>
        </is>
      </c>
      <c r="J50" t="inlineStr">
        <is>
          <t>https://www.google.com/maps/@?api=1&amp;map_action=pano&amp;viewpoint=33.059240,-117.299922&amp;heading=332</t>
        </is>
      </c>
      <c r="K50" t="inlineStr">
        <is>
          <t>https://www.google.com/maps/search/?api=1&amp;query=33.059240,-117.299922</t>
        </is>
      </c>
      <c r="L50" t="inlineStr"/>
      <c r="M50" t="inlineStr"/>
      <c r="N50" t="inlineStr"/>
      <c r="O50" t="inlineStr"/>
      <c r="P50" t="inlineStr">
        <is>
          <t>pending</t>
        </is>
      </c>
      <c r="Q50" t="inlineStr"/>
      <c r="R50" t="inlineStr"/>
      <c r="S50" t="inlineStr">
        <is>
          <t>25</t>
        </is>
      </c>
      <c r="T50" t="inlineStr">
        <is>
          <t>N Coast Hwy 101 (La Costa Ave - Encinitas Blvd)</t>
        </is>
      </c>
      <c r="U50" t="inlineStr">
        <is>
          <t>https://ecode360.com/EN5042/laws/LF2740111.pdf</t>
        </is>
      </c>
      <c r="V50">
        <f>IF(OR(L50="",S50=""),"",IF(VALUE(L50)=VALUE(S50),"Y","N"))</f>
        <v/>
      </c>
      <c r="W50">
        <f>IF(V50="Y",S50,"")</f>
        <v/>
      </c>
      <c r="X50" t="inlineStr">
        <is>
          <t>one official source; most-used arterial</t>
        </is>
      </c>
      <c r="Y50" t="n">
        <v>1</v>
      </c>
      <c r="Z50" t="inlineStr">
        <is>
          <t>85</t>
        </is>
      </c>
    </row>
    <row r="51">
      <c r="A51" t="inlineStr">
        <is>
          <t>ENC-B1-009</t>
        </is>
      </c>
      <c r="B51" t="inlineStr">
        <is>
          <t>Encinitas</t>
        </is>
      </c>
      <c r="C51" t="inlineStr">
        <is>
          <t>North Coast Highway</t>
        </is>
      </c>
      <c r="D51" t="inlineStr">
        <is>
          <t>Athena Street</t>
        </is>
      </c>
      <c r="E51" t="inlineStr">
        <is>
          <t>Basil Street</t>
        </is>
      </c>
      <c r="F51" t="inlineStr">
        <is>
          <t>436300813</t>
        </is>
      </c>
      <c r="G51" t="n">
        <v>25</v>
      </c>
      <c r="H51" t="inlineStr">
        <is>
          <t>city/county</t>
        </is>
      </c>
      <c r="I51" t="inlineStr">
        <is>
          <t>cart+LSV</t>
        </is>
      </c>
      <c r="J51" t="inlineStr">
        <is>
          <t>https://www.google.com/maps/@?api=1&amp;map_action=pano&amp;viewpoint=33.059394,-117.300019&amp;heading=332</t>
        </is>
      </c>
      <c r="K51" t="inlineStr">
        <is>
          <t>https://www.google.com/maps/search/?api=1&amp;query=33.059394,-117.300019</t>
        </is>
      </c>
      <c r="L51" t="inlineStr"/>
      <c r="M51" t="inlineStr"/>
      <c r="N51" t="inlineStr"/>
      <c r="O51" t="inlineStr"/>
      <c r="P51" t="inlineStr">
        <is>
          <t>pending</t>
        </is>
      </c>
      <c r="Q51" t="inlineStr"/>
      <c r="R51" t="inlineStr"/>
      <c r="S51" t="inlineStr">
        <is>
          <t>25</t>
        </is>
      </c>
      <c r="T51" t="inlineStr">
        <is>
          <t>N Coast Hwy 101 (La Costa Ave - Encinitas Blvd)</t>
        </is>
      </c>
      <c r="U51" t="inlineStr">
        <is>
          <t>https://ecode360.com/EN5042/laws/LF2740111.pdf</t>
        </is>
      </c>
      <c r="V51">
        <f>IF(OR(L51="",S51=""),"",IF(VALUE(L51)=VALUE(S51),"Y","N"))</f>
        <v/>
      </c>
      <c r="W51">
        <f>IF(V51="Y",S51,"")</f>
        <v/>
      </c>
      <c r="X51" t="inlineStr">
        <is>
          <t>sources disagree: map uses the official 25 mph (OSM/imagery: mapillary 35)</t>
        </is>
      </c>
      <c r="Y51" t="n">
        <v>1</v>
      </c>
      <c r="Z51" t="inlineStr">
        <is>
          <t>33</t>
        </is>
      </c>
    </row>
    <row r="52">
      <c r="A52" t="inlineStr">
        <is>
          <t>ENC-B1-010</t>
        </is>
      </c>
      <c r="B52" t="inlineStr">
        <is>
          <t>Encinitas</t>
        </is>
      </c>
      <c r="C52" t="inlineStr">
        <is>
          <t>North Coast Highway</t>
        </is>
      </c>
      <c r="D52" t="inlineStr">
        <is>
          <t>Basil Street</t>
        </is>
      </c>
      <c r="E52" t="inlineStr">
        <is>
          <t>Cadmus Street</t>
        </is>
      </c>
      <c r="F52" t="inlineStr">
        <is>
          <t>211570987</t>
        </is>
      </c>
      <c r="G52" t="n">
        <v>25</v>
      </c>
      <c r="H52" t="inlineStr">
        <is>
          <t>city/county</t>
        </is>
      </c>
      <c r="I52" t="inlineStr">
        <is>
          <t>cart+LSV</t>
        </is>
      </c>
      <c r="J52" t="inlineStr">
        <is>
          <t>https://www.google.com/maps/@?api=1&amp;map_action=pano&amp;viewpoint=33.059847,-117.300320&amp;heading=334</t>
        </is>
      </c>
      <c r="K52" t="inlineStr">
        <is>
          <t>https://www.google.com/maps/search/?api=1&amp;query=33.059847,-117.300320</t>
        </is>
      </c>
      <c r="L52" t="inlineStr"/>
      <c r="M52" t="inlineStr"/>
      <c r="N52" t="inlineStr"/>
      <c r="O52" t="inlineStr"/>
      <c r="P52" t="inlineStr">
        <is>
          <t>pending</t>
        </is>
      </c>
      <c r="Q52" t="inlineStr"/>
      <c r="R52" t="inlineStr"/>
      <c r="S52" t="inlineStr">
        <is>
          <t>25</t>
        </is>
      </c>
      <c r="T52" t="inlineStr">
        <is>
          <t>N Coast Hwy 101 (La Costa Ave - Encinitas Blvd)</t>
        </is>
      </c>
      <c r="U52" t="inlineStr">
        <is>
          <t>https://ecode360.com/EN5042/laws/LF2740111.pdf</t>
        </is>
      </c>
      <c r="V52">
        <f>IF(OR(L52="",S52=""),"",IF(VALUE(L52)=VALUE(S52),"Y","N"))</f>
        <v/>
      </c>
      <c r="W52">
        <f>IF(V52="Y",S52,"")</f>
        <v/>
      </c>
      <c r="X52" t="inlineStr">
        <is>
          <t>one official source; most-used arterial</t>
        </is>
      </c>
      <c r="Y52" t="n">
        <v>1</v>
      </c>
      <c r="Z52" t="inlineStr">
        <is>
          <t>120</t>
        </is>
      </c>
    </row>
    <row r="53">
      <c r="A53" t="inlineStr">
        <is>
          <t>ENC-B1-011</t>
        </is>
      </c>
      <c r="B53" t="inlineStr">
        <is>
          <t>Encinitas</t>
        </is>
      </c>
      <c r="C53" t="inlineStr">
        <is>
          <t>North Coast Highway</t>
        </is>
      </c>
      <c r="D53" t="inlineStr">
        <is>
          <t>West Leucadia Boulevard</t>
        </is>
      </c>
      <c r="E53" t="inlineStr">
        <is>
          <t>Cadmus Street</t>
        </is>
      </c>
      <c r="F53" t="inlineStr">
        <is>
          <t>1098265887</t>
        </is>
      </c>
      <c r="G53" t="n">
        <v>25</v>
      </c>
      <c r="H53" t="inlineStr">
        <is>
          <t>city/county</t>
        </is>
      </c>
      <c r="I53" t="inlineStr">
        <is>
          <t>cart+LSV</t>
        </is>
      </c>
      <c r="J53" t="inlineStr">
        <is>
          <t>https://www.google.com/maps/@?api=1&amp;map_action=pano&amp;viewpoint=33.061804,-117.301410&amp;heading=162</t>
        </is>
      </c>
      <c r="K53" t="inlineStr">
        <is>
          <t>https://www.google.com/maps/search/?api=1&amp;query=33.061804,-117.301410</t>
        </is>
      </c>
      <c r="L53" t="inlineStr"/>
      <c r="M53" t="inlineStr"/>
      <c r="N53" t="inlineStr"/>
      <c r="O53" t="inlineStr"/>
      <c r="P53" t="inlineStr">
        <is>
          <t>pending</t>
        </is>
      </c>
      <c r="Q53" t="inlineStr"/>
      <c r="R53" t="inlineStr"/>
      <c r="S53" t="inlineStr">
        <is>
          <t>25</t>
        </is>
      </c>
      <c r="T53" t="inlineStr">
        <is>
          <t>N Coast Hwy 101 (La Costa Ave - Encinitas Blvd)</t>
        </is>
      </c>
      <c r="U53" t="inlineStr">
        <is>
          <t>https://ecode360.com/EN5042/laws/LF2740111.pdf</t>
        </is>
      </c>
      <c r="V53">
        <f>IF(OR(L53="",S53=""),"",IF(VALUE(L53)=VALUE(S53),"Y","N"))</f>
        <v/>
      </c>
      <c r="W53">
        <f>IF(V53="Y",S53,"")</f>
        <v/>
      </c>
      <c r="X53" t="inlineStr">
        <is>
          <t>sources disagree: map uses the official 25 mph (OSM/imagery: osm 35, mapillary 35)</t>
        </is>
      </c>
      <c r="Y53" t="n">
        <v>2</v>
      </c>
      <c r="Z53" t="inlineStr">
        <is>
          <t>418</t>
        </is>
      </c>
    </row>
    <row r="54">
      <c r="A54" t="inlineStr">
        <is>
          <t>ENC-B1-012</t>
        </is>
      </c>
      <c r="B54" t="inlineStr">
        <is>
          <t>Encinitas</t>
        </is>
      </c>
      <c r="C54" t="inlineStr">
        <is>
          <t>North Coast Highway</t>
        </is>
      </c>
      <c r="D54" t="inlineStr">
        <is>
          <t>West Leucadia Boulevard</t>
        </is>
      </c>
      <c r="E54" t="inlineStr">
        <is>
          <t>Europa Street</t>
        </is>
      </c>
      <c r="F54" t="inlineStr">
        <is>
          <t>331768745</t>
        </is>
      </c>
      <c r="G54" t="n">
        <v>25</v>
      </c>
      <c r="H54" t="inlineStr">
        <is>
          <t>city/county</t>
        </is>
      </c>
      <c r="I54" t="inlineStr">
        <is>
          <t>cart+LSV</t>
        </is>
      </c>
      <c r="J54" t="inlineStr">
        <is>
          <t>https://www.google.com/maps/@?api=1&amp;map_action=pano&amp;viewpoint=33.064400,-117.302321&amp;heading=164</t>
        </is>
      </c>
      <c r="K54" t="inlineStr">
        <is>
          <t>https://www.google.com/maps/search/?api=1&amp;query=33.064400,-117.302321</t>
        </is>
      </c>
      <c r="L54" t="inlineStr"/>
      <c r="M54" t="inlineStr"/>
      <c r="N54" t="inlineStr"/>
      <c r="O54" t="inlineStr"/>
      <c r="P54" t="inlineStr">
        <is>
          <t>pending</t>
        </is>
      </c>
      <c r="Q54" t="inlineStr"/>
      <c r="R54" t="inlineStr"/>
      <c r="S54" t="inlineStr">
        <is>
          <t>25</t>
        </is>
      </c>
      <c r="T54" t="inlineStr">
        <is>
          <t>N Coast Hwy 101 (La Costa Ave - Encinitas Blvd)</t>
        </is>
      </c>
      <c r="U54" t="inlineStr">
        <is>
          <t>https://ecode360.com/EN5042/laws/LF2740111.pdf</t>
        </is>
      </c>
      <c r="V54">
        <f>IF(OR(L54="",S54=""),"",IF(VALUE(L54)=VALUE(S54),"Y","N"))</f>
        <v/>
      </c>
      <c r="W54">
        <f>IF(V54="Y",S54,"")</f>
        <v/>
      </c>
      <c r="X54" t="inlineStr">
        <is>
          <t>sources disagree: map uses the official 25 mph (OSM/imagery: osm 35)</t>
        </is>
      </c>
      <c r="Y54" t="n">
        <v>2</v>
      </c>
      <c r="Z54" t="inlineStr">
        <is>
          <t>31</t>
        </is>
      </c>
    </row>
    <row r="55">
      <c r="A55" t="inlineStr">
        <is>
          <t>ENC-B1-013</t>
        </is>
      </c>
      <c r="B55" t="inlineStr">
        <is>
          <t>Encinitas</t>
        </is>
      </c>
      <c r="C55" t="inlineStr">
        <is>
          <t>North Coast Highway</t>
        </is>
      </c>
      <c r="D55" t="inlineStr">
        <is>
          <t>Jasper Street</t>
        </is>
      </c>
      <c r="E55" t="inlineStr">
        <is>
          <t>West Leucadia Boulevard</t>
        </is>
      </c>
      <c r="F55" t="inlineStr">
        <is>
          <t>436410528</t>
        </is>
      </c>
      <c r="G55" t="n">
        <v>25</v>
      </c>
      <c r="H55" t="inlineStr">
        <is>
          <t>city/county</t>
        </is>
      </c>
      <c r="I55" t="inlineStr">
        <is>
          <t>cart+LSV</t>
        </is>
      </c>
      <c r="J55" t="inlineStr">
        <is>
          <t>https://www.google.com/maps/@?api=1&amp;map_action=pano&amp;viewpoint=33.064478,-117.302349&amp;heading=165</t>
        </is>
      </c>
      <c r="K55" t="inlineStr">
        <is>
          <t>https://www.google.com/maps/search/?api=1&amp;query=33.064478,-117.302349</t>
        </is>
      </c>
      <c r="L55" t="inlineStr"/>
      <c r="M55" t="inlineStr"/>
      <c r="N55" t="inlineStr"/>
      <c r="O55" t="inlineStr"/>
      <c r="P55" t="inlineStr">
        <is>
          <t>pending</t>
        </is>
      </c>
      <c r="Q55" t="inlineStr"/>
      <c r="R55" t="inlineStr"/>
      <c r="S55" t="inlineStr">
        <is>
          <t>25</t>
        </is>
      </c>
      <c r="T55" t="inlineStr">
        <is>
          <t>N Coast Hwy 101 (La Costa Ave - Encinitas Blvd)</t>
        </is>
      </c>
      <c r="U55" t="inlineStr">
        <is>
          <t>https://ecode360.com/EN5042/laws/LF2740111.pdf</t>
        </is>
      </c>
      <c r="V55">
        <f>IF(OR(L55="",S55=""),"",IF(VALUE(L55)=VALUE(S55),"Y","N"))</f>
        <v/>
      </c>
      <c r="W55">
        <f>IF(V55="Y",S55,"")</f>
        <v/>
      </c>
      <c r="X55" t="inlineStr">
        <is>
          <t>one official source; most-used arterial</t>
        </is>
      </c>
      <c r="Y55" t="n">
        <v>2</v>
      </c>
      <c r="Z55" t="inlineStr">
        <is>
          <t>32</t>
        </is>
      </c>
    </row>
    <row r="56">
      <c r="A56" t="inlineStr">
        <is>
          <t>ENC-B1-014</t>
        </is>
      </c>
      <c r="B56" t="inlineStr">
        <is>
          <t>Encinitas</t>
        </is>
      </c>
      <c r="C56" t="inlineStr">
        <is>
          <t>North Coast Highway</t>
        </is>
      </c>
      <c r="D56" t="inlineStr">
        <is>
          <t>Diana Street</t>
        </is>
      </c>
      <c r="E56" t="inlineStr">
        <is>
          <t>West Leucadia Boulevard</t>
        </is>
      </c>
      <c r="F56" t="inlineStr">
        <is>
          <t>1106585108</t>
        </is>
      </c>
      <c r="G56" t="n">
        <v>25</v>
      </c>
      <c r="H56" t="inlineStr">
        <is>
          <t>city/county</t>
        </is>
      </c>
      <c r="I56" t="inlineStr">
        <is>
          <t>cart+LSV</t>
        </is>
      </c>
      <c r="J56" t="inlineStr">
        <is>
          <t>https://www.google.com/maps/@?api=1&amp;map_action=pano&amp;viewpoint=33.065616,-117.302738&amp;heading=165</t>
        </is>
      </c>
      <c r="K56" t="inlineStr">
        <is>
          <t>https://www.google.com/maps/search/?api=1&amp;query=33.065616,-117.302738</t>
        </is>
      </c>
      <c r="L56" t="inlineStr"/>
      <c r="M56" t="inlineStr"/>
      <c r="N56" t="inlineStr"/>
      <c r="O56" t="inlineStr"/>
      <c r="P56" t="inlineStr">
        <is>
          <t>pending</t>
        </is>
      </c>
      <c r="Q56" t="inlineStr"/>
      <c r="R56" t="inlineStr"/>
      <c r="S56" t="inlineStr">
        <is>
          <t>25</t>
        </is>
      </c>
      <c r="T56" t="inlineStr">
        <is>
          <t>N Coast Hwy 101 (La Costa Ave - Encinitas Blvd)</t>
        </is>
      </c>
      <c r="U56" t="inlineStr">
        <is>
          <t>https://ecode360.com/EN5042/laws/LF2740111.pdf</t>
        </is>
      </c>
      <c r="V56">
        <f>IF(OR(L56="",S56=""),"",IF(VALUE(L56)=VALUE(S56),"Y","N"))</f>
        <v/>
      </c>
      <c r="W56">
        <f>IF(V56="Y",S56,"")</f>
        <v/>
      </c>
      <c r="X56" t="inlineStr">
        <is>
          <t>one official source; most-used arterial</t>
        </is>
      </c>
      <c r="Y56" t="n">
        <v>3</v>
      </c>
      <c r="Z56" t="inlineStr">
        <is>
          <t>245</t>
        </is>
      </c>
    </row>
    <row r="57">
      <c r="A57" t="inlineStr">
        <is>
          <t>ENC-B1-015</t>
        </is>
      </c>
      <c r="B57" t="inlineStr">
        <is>
          <t>Encinitas</t>
        </is>
      </c>
      <c r="C57" t="inlineStr">
        <is>
          <t>North Coast Highway</t>
        </is>
      </c>
      <c r="D57" t="inlineStr">
        <is>
          <t>Jupiter Street</t>
        </is>
      </c>
      <c r="E57" t="inlineStr">
        <is>
          <t>Diana Street</t>
        </is>
      </c>
      <c r="F57" t="inlineStr">
        <is>
          <t>393555889</t>
        </is>
      </c>
      <c r="G57" t="n">
        <v>25</v>
      </c>
      <c r="H57" t="inlineStr">
        <is>
          <t>city/county</t>
        </is>
      </c>
      <c r="I57" t="inlineStr">
        <is>
          <t>cart+LSV</t>
        </is>
      </c>
      <c r="J57" t="inlineStr">
        <is>
          <t>https://www.google.com/maps/@?api=1&amp;map_action=pano&amp;viewpoint=33.069493,-117.304010&amp;heading=164</t>
        </is>
      </c>
      <c r="K57" t="inlineStr">
        <is>
          <t>https://www.google.com/maps/search/?api=1&amp;query=33.069493,-117.304010</t>
        </is>
      </c>
      <c r="L57" t="inlineStr"/>
      <c r="M57" t="inlineStr"/>
      <c r="N57" t="inlineStr"/>
      <c r="O57" t="inlineStr"/>
      <c r="P57" t="inlineStr">
        <is>
          <t>pending</t>
        </is>
      </c>
      <c r="Q57" t="inlineStr"/>
      <c r="R57" t="inlineStr"/>
      <c r="S57" t="inlineStr">
        <is>
          <t>25</t>
        </is>
      </c>
      <c r="T57" t="inlineStr">
        <is>
          <t>N Coast Hwy 101 (La Costa Ave - Encinitas Blvd)</t>
        </is>
      </c>
      <c r="U57" t="inlineStr">
        <is>
          <t>https://ecode360.com/EN5042/laws/LF2740111.pdf</t>
        </is>
      </c>
      <c r="V57">
        <f>IF(OR(L57="",S57=""),"",IF(VALUE(L57)=VALUE(S57),"Y","N"))</f>
        <v/>
      </c>
      <c r="W57">
        <f>IF(V57="Y",S57,"")</f>
        <v/>
      </c>
      <c r="X57" t="inlineStr">
        <is>
          <t>sources disagree: map uses the official 25 mph (OSM/imagery: mapillary 35)</t>
        </is>
      </c>
      <c r="Y57" t="n">
        <v>1</v>
      </c>
      <c r="Z57" t="inlineStr">
        <is>
          <t>587</t>
        </is>
      </c>
    </row>
    <row r="58">
      <c r="A58" t="inlineStr">
        <is>
          <t>ENC-B1-016</t>
        </is>
      </c>
      <c r="B58" t="inlineStr">
        <is>
          <t>Encinitas</t>
        </is>
      </c>
      <c r="C58" t="inlineStr">
        <is>
          <t>North Coast Highway</t>
        </is>
      </c>
      <c r="D58" t="inlineStr">
        <is>
          <t>Grandview Street</t>
        </is>
      </c>
      <c r="E58" t="inlineStr">
        <is>
          <t>Jupiter Street</t>
        </is>
      </c>
      <c r="F58" t="inlineStr">
        <is>
          <t>1457602672</t>
        </is>
      </c>
      <c r="G58" t="n">
        <v>25</v>
      </c>
      <c r="H58" t="inlineStr">
        <is>
          <t>city/county</t>
        </is>
      </c>
      <c r="I58" t="inlineStr">
        <is>
          <t>cart+LSV</t>
        </is>
      </c>
      <c r="J58" t="inlineStr">
        <is>
          <t>https://www.google.com/maps/@?api=1&amp;map_action=pano&amp;viewpoint=33.073880,-117.305482&amp;heading=164</t>
        </is>
      </c>
      <c r="K58" t="inlineStr">
        <is>
          <t>https://www.google.com/maps/search/?api=1&amp;query=33.073880,-117.305482</t>
        </is>
      </c>
      <c r="L58" t="inlineStr"/>
      <c r="M58" t="inlineStr"/>
      <c r="N58" t="inlineStr"/>
      <c r="O58" t="inlineStr"/>
      <c r="P58" t="inlineStr">
        <is>
          <t>pending</t>
        </is>
      </c>
      <c r="Q58" t="inlineStr"/>
      <c r="R58" t="inlineStr"/>
      <c r="S58" t="inlineStr">
        <is>
          <t>25</t>
        </is>
      </c>
      <c r="T58" t="inlineStr">
        <is>
          <t>N Coast Hwy 101 (La Costa Ave - Encinitas Blvd)</t>
        </is>
      </c>
      <c r="U58" t="inlineStr">
        <is>
          <t>https://ecode360.com/EN5042/laws/LF2740111.pdf</t>
        </is>
      </c>
      <c r="V58">
        <f>IF(OR(L58="",S58=""),"",IF(VALUE(L58)=VALUE(S58),"Y","N"))</f>
        <v/>
      </c>
      <c r="W58">
        <f>IF(V58="Y",S58,"")</f>
        <v/>
      </c>
      <c r="X58" t="inlineStr">
        <is>
          <t>one official source; most-used arterial</t>
        </is>
      </c>
      <c r="Y58" t="n">
        <v>1</v>
      </c>
      <c r="Z58" t="inlineStr">
        <is>
          <t>411</t>
        </is>
      </c>
    </row>
    <row r="59">
      <c r="A59" t="inlineStr">
        <is>
          <t>ENC-B1-017</t>
        </is>
      </c>
      <c r="B59" t="inlineStr">
        <is>
          <t>Encinitas</t>
        </is>
      </c>
      <c r="C59" t="inlineStr">
        <is>
          <t>North Coast Highway</t>
        </is>
      </c>
      <c r="D59" t="inlineStr">
        <is>
          <t>Bishops Gate Road</t>
        </is>
      </c>
      <c r="E59" t="inlineStr">
        <is>
          <t>Grandview Street</t>
        </is>
      </c>
      <c r="F59" t="inlineStr">
        <is>
          <t>1031589250</t>
        </is>
      </c>
      <c r="G59" t="n">
        <v>25</v>
      </c>
      <c r="H59" t="inlineStr">
        <is>
          <t>city/county</t>
        </is>
      </c>
      <c r="I59" t="inlineStr">
        <is>
          <t>cart+LSV</t>
        </is>
      </c>
      <c r="J59" t="inlineStr">
        <is>
          <t>https://www.google.com/maps/@?api=1&amp;map_action=pano&amp;viewpoint=33.077448,-117.306662&amp;heading=164</t>
        </is>
      </c>
      <c r="K59" t="inlineStr">
        <is>
          <t>https://www.google.com/maps/search/?api=1&amp;query=33.077448,-117.306662</t>
        </is>
      </c>
      <c r="L59" t="inlineStr"/>
      <c r="M59" t="inlineStr"/>
      <c r="N59" t="inlineStr"/>
      <c r="O59" t="inlineStr"/>
      <c r="P59" t="inlineStr">
        <is>
          <t>pending</t>
        </is>
      </c>
      <c r="Q59" t="inlineStr"/>
      <c r="R59" t="inlineStr"/>
      <c r="S59" t="inlineStr">
        <is>
          <t>25</t>
        </is>
      </c>
      <c r="T59" t="inlineStr">
        <is>
          <t>N Coast Hwy 101 (La Costa Ave - Encinitas Blvd)</t>
        </is>
      </c>
      <c r="U59" t="inlineStr">
        <is>
          <t>https://ecode360.com/EN5042/laws/LF2740111.pdf</t>
        </is>
      </c>
      <c r="V59">
        <f>IF(OR(L59="",S59=""),"",IF(VALUE(L59)=VALUE(S59),"Y","N"))</f>
        <v/>
      </c>
      <c r="W59">
        <f>IF(V59="Y",S59,"")</f>
        <v/>
      </c>
      <c r="X59" t="inlineStr">
        <is>
          <t>one official source; most-used arterial</t>
        </is>
      </c>
      <c r="Y59" t="n">
        <v>1</v>
      </c>
      <c r="Z59" t="inlineStr">
        <is>
          <t>266</t>
        </is>
      </c>
    </row>
    <row r="60">
      <c r="A60" t="inlineStr">
        <is>
          <t>ENC-B1-018</t>
        </is>
      </c>
      <c r="B60" t="inlineStr">
        <is>
          <t>Encinitas</t>
        </is>
      </c>
      <c r="C60" t="inlineStr">
        <is>
          <t>North Coast Highway</t>
        </is>
      </c>
      <c r="D60" t="inlineStr">
        <is>
          <t>Bishops Gate Road</t>
        </is>
      </c>
      <c r="E60" t="inlineStr">
        <is>
          <t>Grandview Street</t>
        </is>
      </c>
      <c r="F60" t="inlineStr">
        <is>
          <t>1031589249</t>
        </is>
      </c>
      <c r="G60" t="n">
        <v>25</v>
      </c>
      <c r="H60" t="inlineStr">
        <is>
          <t>city/county</t>
        </is>
      </c>
      <c r="I60" t="inlineStr">
        <is>
          <t>cart+LSV</t>
        </is>
      </c>
      <c r="J60" t="inlineStr">
        <is>
          <t>https://www.google.com/maps/@?api=1&amp;map_action=pano&amp;viewpoint=33.078607,-117.307051&amp;heading=164</t>
        </is>
      </c>
      <c r="K60" t="inlineStr">
        <is>
          <t>https://www.google.com/maps/search/?api=1&amp;query=33.078607,-117.307051</t>
        </is>
      </c>
      <c r="L60" t="inlineStr"/>
      <c r="M60" t="inlineStr"/>
      <c r="N60" t="inlineStr"/>
      <c r="O60" t="inlineStr"/>
      <c r="P60" t="inlineStr">
        <is>
          <t>pending</t>
        </is>
      </c>
      <c r="Q60" t="inlineStr"/>
      <c r="R60" t="inlineStr"/>
      <c r="S60" t="inlineStr">
        <is>
          <t>25</t>
        </is>
      </c>
      <c r="T60" t="inlineStr">
        <is>
          <t>N Coast Hwy 101 (La Costa Ave - Encinitas Blvd)</t>
        </is>
      </c>
      <c r="U60" t="inlineStr">
        <is>
          <t>https://ecode360.com/EN5042/laws/LF2740111.pdf</t>
        </is>
      </c>
      <c r="V60">
        <f>IF(OR(L60="",S60=""),"",IF(VALUE(L60)=VALUE(S60),"Y","N"))</f>
        <v/>
      </c>
      <c r="W60">
        <f>IF(V60="Y",S60,"")</f>
        <v/>
      </c>
      <c r="X60" t="inlineStr">
        <is>
          <t>sources disagree: map uses the official 25 mph (OSM/imagery: mapillary 35)</t>
        </is>
      </c>
      <c r="Y60" t="n">
        <v>1</v>
      </c>
      <c r="Z60" t="inlineStr">
        <is>
          <t>25</t>
        </is>
      </c>
    </row>
    <row r="61">
      <c r="A61" t="inlineStr">
        <is>
          <t>ENC-B1-019</t>
        </is>
      </c>
      <c r="B61" t="inlineStr">
        <is>
          <t>Encinitas</t>
        </is>
      </c>
      <c r="C61" t="inlineStr">
        <is>
          <t>North Coast Highway</t>
        </is>
      </c>
      <c r="D61" t="inlineStr">
        <is>
          <t>Moorgate Road</t>
        </is>
      </c>
      <c r="E61" t="inlineStr">
        <is>
          <t>Bishops Gate Road</t>
        </is>
      </c>
      <c r="F61" t="inlineStr">
        <is>
          <t>436410539</t>
        </is>
      </c>
      <c r="G61" t="n">
        <v>25</v>
      </c>
      <c r="H61" t="inlineStr">
        <is>
          <t>city/county</t>
        </is>
      </c>
      <c r="I61" t="inlineStr">
        <is>
          <t>cart+LSV</t>
        </is>
      </c>
      <c r="J61" t="inlineStr">
        <is>
          <t>https://www.google.com/maps/@?api=1&amp;map_action=pano&amp;viewpoint=33.079616,-117.307399&amp;heading=164</t>
        </is>
      </c>
      <c r="K61" t="inlineStr">
        <is>
          <t>https://www.google.com/maps/search/?api=1&amp;query=33.079616,-117.307399</t>
        </is>
      </c>
      <c r="L61" t="inlineStr"/>
      <c r="M61" t="inlineStr"/>
      <c r="N61" t="inlineStr"/>
      <c r="O61" t="inlineStr"/>
      <c r="P61" t="inlineStr">
        <is>
          <t>pending</t>
        </is>
      </c>
      <c r="Q61" t="inlineStr"/>
      <c r="R61" t="inlineStr"/>
      <c r="S61" t="inlineStr">
        <is>
          <t>25</t>
        </is>
      </c>
      <c r="T61" t="inlineStr">
        <is>
          <t>N Coast Hwy 101 (La Costa Ave - Encinitas Blvd)</t>
        </is>
      </c>
      <c r="U61" t="inlineStr">
        <is>
          <t>https://ecode360.com/EN5042/laws/LF2740111.pdf</t>
        </is>
      </c>
      <c r="V61">
        <f>IF(OR(L61="",S61=""),"",IF(VALUE(L61)=VALUE(S61),"Y","N"))</f>
        <v/>
      </c>
      <c r="W61">
        <f>IF(V61="Y",S61,"")</f>
        <v/>
      </c>
      <c r="X61" t="inlineStr">
        <is>
          <t>sources disagree: map uses the official 25 mph (OSM/imagery: mapillary 35)</t>
        </is>
      </c>
      <c r="Y61" t="n">
        <v>1</v>
      </c>
      <c r="Z61" t="inlineStr">
        <is>
          <t>160</t>
        </is>
      </c>
    </row>
    <row r="62">
      <c r="A62" t="inlineStr">
        <is>
          <t>ENC-B1-020</t>
        </is>
      </c>
      <c r="B62" t="inlineStr">
        <is>
          <t>Encinitas</t>
        </is>
      </c>
      <c r="C62" t="inlineStr">
        <is>
          <t>North Coast Highway</t>
        </is>
      </c>
      <c r="D62" t="inlineStr">
        <is>
          <t>La Costa Avenue</t>
        </is>
      </c>
      <c r="E62" t="inlineStr">
        <is>
          <t>Moorgate Road</t>
        </is>
      </c>
      <c r="F62" t="inlineStr">
        <is>
          <t>794576108</t>
        </is>
      </c>
      <c r="G62" t="n">
        <v>25</v>
      </c>
      <c r="H62" t="inlineStr">
        <is>
          <t>city/county</t>
        </is>
      </c>
      <c r="I62" t="inlineStr">
        <is>
          <t>cart+LSV</t>
        </is>
      </c>
      <c r="J62" t="inlineStr">
        <is>
          <t>https://www.google.com/maps/@?api=1&amp;map_action=pano&amp;viewpoint=33.080814,-117.307798&amp;heading=159</t>
        </is>
      </c>
      <c r="K62" t="inlineStr">
        <is>
          <t>https://www.google.com/maps/search/?api=1&amp;query=33.080814,-117.307798</t>
        </is>
      </c>
      <c r="L62" t="inlineStr"/>
      <c r="M62" t="inlineStr"/>
      <c r="N62" t="inlineStr"/>
      <c r="O62" t="inlineStr"/>
      <c r="P62" t="inlineStr">
        <is>
          <t>pending</t>
        </is>
      </c>
      <c r="Q62" t="inlineStr"/>
      <c r="R62" t="inlineStr"/>
      <c r="S62" t="inlineStr">
        <is>
          <t>25</t>
        </is>
      </c>
      <c r="T62" t="inlineStr">
        <is>
          <t>N Coast Hwy 101 (La Costa Ave - Encinitas Blvd)</t>
        </is>
      </c>
      <c r="U62" t="inlineStr">
        <is>
          <t>https://ecode360.com/EN5042/laws/LF2740111.pdf</t>
        </is>
      </c>
      <c r="V62">
        <f>IF(OR(L62="",S62=""),"",IF(VALUE(L62)=VALUE(S62),"Y","N"))</f>
        <v/>
      </c>
      <c r="W62">
        <f>IF(V62="Y",S62,"")</f>
        <v/>
      </c>
      <c r="X62" t="inlineStr">
        <is>
          <t>one official source; most-used arterial</t>
        </is>
      </c>
      <c r="Y62" t="n">
        <v>1</v>
      </c>
      <c r="Z62" t="inlineStr">
        <is>
          <t>111</t>
        </is>
      </c>
    </row>
    <row r="63">
      <c r="A63" t="inlineStr">
        <is>
          <t>ENC-B1-021</t>
        </is>
      </c>
      <c r="B63" t="inlineStr">
        <is>
          <t>Encinitas</t>
        </is>
      </c>
      <c r="C63" t="inlineStr">
        <is>
          <t>North Coast Highway</t>
        </is>
      </c>
      <c r="D63" t="inlineStr">
        <is>
          <t>La Costa Avenue</t>
        </is>
      </c>
      <c r="E63" t="inlineStr">
        <is>
          <t>Moorgate Road</t>
        </is>
      </c>
      <c r="F63" t="inlineStr">
        <is>
          <t>158341851</t>
        </is>
      </c>
      <c r="G63" t="n">
        <v>25</v>
      </c>
      <c r="H63" t="inlineStr">
        <is>
          <t>city/county</t>
        </is>
      </c>
      <c r="I63" t="inlineStr">
        <is>
          <t>cart+LSV</t>
        </is>
      </c>
      <c r="J63" t="inlineStr">
        <is>
          <t>https://www.google.com/maps/@?api=1&amp;map_action=pano&amp;viewpoint=33.081929,-117.308411&amp;heading=149</t>
        </is>
      </c>
      <c r="K63" t="inlineStr">
        <is>
          <t>https://www.google.com/maps/search/?api=1&amp;query=33.081929,-117.308411</t>
        </is>
      </c>
      <c r="L63" t="inlineStr"/>
      <c r="M63" t="inlineStr"/>
      <c r="N63" t="inlineStr"/>
      <c r="O63" t="inlineStr"/>
      <c r="P63" t="inlineStr">
        <is>
          <t>pending</t>
        </is>
      </c>
      <c r="Q63" t="inlineStr"/>
      <c r="R63" t="inlineStr"/>
      <c r="S63" t="inlineStr">
        <is>
          <t>25</t>
        </is>
      </c>
      <c r="T63" t="inlineStr">
        <is>
          <t>N Coast Hwy 101 (La Costa Ave - Encinitas Blvd)</t>
        </is>
      </c>
      <c r="U63" t="inlineStr">
        <is>
          <t>https://ecode360.com/EN5042/laws/LF2740111.pdf</t>
        </is>
      </c>
      <c r="V63">
        <f>IF(OR(L63="",S63=""),"",IF(VALUE(L63)=VALUE(S63),"Y","N"))</f>
        <v/>
      </c>
      <c r="W63">
        <f>IF(V63="Y",S63,"")</f>
        <v/>
      </c>
      <c r="X63" t="inlineStr">
        <is>
          <t>sources disagree: map uses the official 25 mph (OSM/imagery: mapillary 35)</t>
        </is>
      </c>
      <c r="Y63" t="n">
        <v>1</v>
      </c>
      <c r="Z63" t="inlineStr">
        <is>
          <t>167</t>
        </is>
      </c>
    </row>
    <row r="64">
      <c r="A64" t="inlineStr">
        <is>
          <t>ENC-B1-022</t>
        </is>
      </c>
      <c r="B64" t="inlineStr">
        <is>
          <t>Encinitas</t>
        </is>
      </c>
      <c r="C64" t="inlineStr">
        <is>
          <t>South Coast Highway</t>
        </is>
      </c>
      <c r="D64" t="inlineStr">
        <is>
          <t>West K Street</t>
        </is>
      </c>
      <c r="E64" t="inlineStr">
        <is>
          <t>Chesterfield Drive</t>
        </is>
      </c>
      <c r="F64" t="inlineStr">
        <is>
          <t>830832325</t>
        </is>
      </c>
      <c r="G64" t="n">
        <v>25</v>
      </c>
      <c r="H64" t="inlineStr">
        <is>
          <t>city/county</t>
        </is>
      </c>
      <c r="I64" t="inlineStr">
        <is>
          <t>cart+LSV</t>
        </is>
      </c>
      <c r="J64" t="inlineStr">
        <is>
          <t>https://www.google.com/maps/@?api=1&amp;map_action=pano&amp;viewpoint=33.035859,-117.291823&amp;heading=158</t>
        </is>
      </c>
      <c r="K64" t="inlineStr">
        <is>
          <t>https://www.google.com/maps/search/?api=1&amp;query=33.035859,-117.291823</t>
        </is>
      </c>
      <c r="L64" t="inlineStr"/>
      <c r="M64" t="inlineStr"/>
      <c r="N64" t="inlineStr"/>
      <c r="O64" t="inlineStr"/>
      <c r="P64" t="inlineStr">
        <is>
          <t>pending</t>
        </is>
      </c>
      <c r="Q64" t="inlineStr"/>
      <c r="R64" t="inlineStr"/>
      <c r="S64" t="inlineStr">
        <is>
          <t>25</t>
        </is>
      </c>
      <c r="T64" t="inlineStr">
        <is>
          <t>S Coast Hwy 101 (Encinitas Blvd - Swami's Ped Crossing)</t>
        </is>
      </c>
      <c r="U64" t="inlineStr">
        <is>
          <t>https://ecode360.com/EN5042/laws/LF2740111.pdf</t>
        </is>
      </c>
      <c r="V64">
        <f>IF(OR(L64="",S64=""),"",IF(VALUE(L64)=VALUE(S64),"Y","N"))</f>
        <v/>
      </c>
      <c r="W64">
        <f>IF(V64="Y",S64,"")</f>
        <v/>
      </c>
      <c r="X64" t="inlineStr">
        <is>
          <t>sources disagree: map uses the official 25 mph (OSM/imagery: osm 30, mapillary 45)</t>
        </is>
      </c>
      <c r="Y64" t="n">
        <v>3</v>
      </c>
      <c r="Z64" t="inlineStr">
        <is>
          <t>132</t>
        </is>
      </c>
    </row>
    <row r="65">
      <c r="A65" t="inlineStr">
        <is>
          <t>ENC-B1-023</t>
        </is>
      </c>
      <c r="B65" t="inlineStr">
        <is>
          <t>Encinitas</t>
        </is>
      </c>
      <c r="C65" t="inlineStr">
        <is>
          <t>South Coast Highway</t>
        </is>
      </c>
      <c r="D65" t="inlineStr">
        <is>
          <t>West K Street</t>
        </is>
      </c>
      <c r="E65" t="inlineStr">
        <is>
          <t>Chesterfield Drive</t>
        </is>
      </c>
      <c r="F65" t="inlineStr">
        <is>
          <t>926055270</t>
        </is>
      </c>
      <c r="G65" t="n">
        <v>25</v>
      </c>
      <c r="H65" t="inlineStr">
        <is>
          <t>city/county</t>
        </is>
      </c>
      <c r="I65" t="inlineStr">
        <is>
          <t>cart+LSV</t>
        </is>
      </c>
      <c r="J65" t="inlineStr">
        <is>
          <t>https://www.google.com/maps/@?api=1&amp;map_action=pano&amp;viewpoint=33.035955,-117.291871&amp;heading=157</t>
        </is>
      </c>
      <c r="K65" t="inlineStr">
        <is>
          <t>https://www.google.com/maps/search/?api=1&amp;query=33.035955,-117.291871</t>
        </is>
      </c>
      <c r="L65" t="inlineStr"/>
      <c r="M65" t="inlineStr"/>
      <c r="N65" t="inlineStr"/>
      <c r="O65" t="inlineStr"/>
      <c r="P65" t="inlineStr">
        <is>
          <t>pending</t>
        </is>
      </c>
      <c r="Q65" t="inlineStr"/>
      <c r="R65" t="inlineStr"/>
      <c r="S65" t="inlineStr">
        <is>
          <t>25</t>
        </is>
      </c>
      <c r="T65" t="inlineStr">
        <is>
          <t>S Coast Hwy 101 (Encinitas Blvd - Swami's Ped Crossing)</t>
        </is>
      </c>
      <c r="U65" t="inlineStr">
        <is>
          <t>https://ecode360.com/EN5042/laws/LF2740111.pdf</t>
        </is>
      </c>
      <c r="V65">
        <f>IF(OR(L65="",S65=""),"",IF(VALUE(L65)=VALUE(S65),"Y","N"))</f>
        <v/>
      </c>
      <c r="W65">
        <f>IF(V65="Y",S65,"")</f>
        <v/>
      </c>
      <c r="X65" t="inlineStr">
        <is>
          <t>sources disagree: map uses the official 25 mph (OSM/imagery: osm 30)</t>
        </is>
      </c>
      <c r="Y65" t="n">
        <v>3</v>
      </c>
      <c r="Z65" t="inlineStr">
        <is>
          <t>111</t>
        </is>
      </c>
    </row>
    <row r="66">
      <c r="A66" t="inlineStr">
        <is>
          <t>ENC-B1-024</t>
        </is>
      </c>
      <c r="B66" t="inlineStr">
        <is>
          <t>Encinitas</t>
        </is>
      </c>
      <c r="C66" t="inlineStr">
        <is>
          <t>South Coast Highway</t>
        </is>
      </c>
      <c r="D66" t="inlineStr">
        <is>
          <t>East E Street</t>
        </is>
      </c>
      <c r="E66" t="inlineStr">
        <is>
          <t>West F Street</t>
        </is>
      </c>
      <c r="F66" t="inlineStr">
        <is>
          <t>1022281192</t>
        </is>
      </c>
      <c r="G66" t="n">
        <v>25</v>
      </c>
      <c r="H66" t="inlineStr">
        <is>
          <t>city/county</t>
        </is>
      </c>
      <c r="I66" t="inlineStr">
        <is>
          <t>cart+LSV</t>
        </is>
      </c>
      <c r="J66" t="inlineStr">
        <is>
          <t>https://www.google.com/maps/@?api=1&amp;map_action=pano&amp;viewpoint=33.043362,-117.293488&amp;heading=173</t>
        </is>
      </c>
      <c r="K66" t="inlineStr">
        <is>
          <t>https://www.google.com/maps/search/?api=1&amp;query=33.043362,-117.293488</t>
        </is>
      </c>
      <c r="L66" t="inlineStr"/>
      <c r="M66" t="inlineStr"/>
      <c r="N66" t="inlineStr"/>
      <c r="O66" t="inlineStr"/>
      <c r="P66" t="inlineStr">
        <is>
          <t>pending</t>
        </is>
      </c>
      <c r="Q66" t="inlineStr"/>
      <c r="R66" t="inlineStr"/>
      <c r="S66" t="inlineStr">
        <is>
          <t>25</t>
        </is>
      </c>
      <c r="T66" t="inlineStr">
        <is>
          <t>S Coast Hwy 101 (Encinitas Blvd - Swami's Ped Crossing)</t>
        </is>
      </c>
      <c r="U66" t="inlineStr">
        <is>
          <t>https://ecode360.com/EN5042/laws/LF2740111.pdf</t>
        </is>
      </c>
      <c r="V66">
        <f>IF(OR(L66="",S66=""),"",IF(VALUE(L66)=VALUE(S66),"Y","N"))</f>
        <v/>
      </c>
      <c r="W66">
        <f>IF(V66="Y",S66,"")</f>
        <v/>
      </c>
      <c r="X66" t="inlineStr">
        <is>
          <t>sources disagree: map uses the official 25 mph (OSM/imagery: osm 30)</t>
        </is>
      </c>
      <c r="Y66" t="n">
        <v>3</v>
      </c>
      <c r="Z66" t="inlineStr">
        <is>
          <t>2</t>
        </is>
      </c>
    </row>
    <row r="67">
      <c r="A67" t="inlineStr">
        <is>
          <t>ENC-B1-025</t>
        </is>
      </c>
      <c r="B67" t="inlineStr">
        <is>
          <t>Encinitas</t>
        </is>
      </c>
      <c r="C67" t="inlineStr">
        <is>
          <t>South Coast Highway</t>
        </is>
      </c>
      <c r="D67" t="inlineStr">
        <is>
          <t>East E Street</t>
        </is>
      </c>
      <c r="E67" t="inlineStr">
        <is>
          <t>West F Street</t>
        </is>
      </c>
      <c r="F67" t="inlineStr">
        <is>
          <t>436442867</t>
        </is>
      </c>
      <c r="G67" t="n">
        <v>25</v>
      </c>
      <c r="H67" t="inlineStr">
        <is>
          <t>city/county</t>
        </is>
      </c>
      <c r="I67" t="inlineStr">
        <is>
          <t>cart+LSV</t>
        </is>
      </c>
      <c r="J67" t="inlineStr">
        <is>
          <t>https://www.google.com/maps/@?api=1&amp;map_action=pano&amp;viewpoint=33.043461,-117.293501&amp;heading=173</t>
        </is>
      </c>
      <c r="K67" t="inlineStr">
        <is>
          <t>https://www.google.com/maps/search/?api=1&amp;query=33.043461,-117.293501</t>
        </is>
      </c>
      <c r="L67" t="inlineStr"/>
      <c r="M67" t="inlineStr"/>
      <c r="N67" t="inlineStr"/>
      <c r="O67" t="inlineStr"/>
      <c r="P67" t="inlineStr">
        <is>
          <t>pending</t>
        </is>
      </c>
      <c r="Q67" t="inlineStr"/>
      <c r="R67" t="inlineStr"/>
      <c r="S67" t="inlineStr">
        <is>
          <t>25</t>
        </is>
      </c>
      <c r="T67" t="inlineStr">
        <is>
          <t>S Coast Hwy 101 (Encinitas Blvd - Swami's Ped Crossing)</t>
        </is>
      </c>
      <c r="U67" t="inlineStr">
        <is>
          <t>https://ecode360.com/EN5042/laws/LF2740111.pdf</t>
        </is>
      </c>
      <c r="V67">
        <f>IF(OR(L67="",S67=""),"",IF(VALUE(L67)=VALUE(S67),"Y","N"))</f>
        <v/>
      </c>
      <c r="W67">
        <f>IF(V67="Y",S67,"")</f>
        <v/>
      </c>
      <c r="X67" t="inlineStr">
        <is>
          <t>sources disagree: map uses the official 25 mph (OSM/imagery: osm 30)</t>
        </is>
      </c>
      <c r="Y67" t="n">
        <v>3</v>
      </c>
      <c r="Z67" t="inlineStr">
        <is>
          <t>48</t>
        </is>
      </c>
    </row>
    <row r="68">
      <c r="A68" t="inlineStr">
        <is>
          <t>ENC-B1-026</t>
        </is>
      </c>
      <c r="B68" t="inlineStr">
        <is>
          <t>Encinitas</t>
        </is>
      </c>
      <c r="C68" t="inlineStr">
        <is>
          <t>South Coast Highway</t>
        </is>
      </c>
      <c r="D68" t="inlineStr">
        <is>
          <t>East E Street</t>
        </is>
      </c>
      <c r="E68" t="inlineStr">
        <is>
          <t>West F Street</t>
        </is>
      </c>
      <c r="F68" t="inlineStr">
        <is>
          <t>960133747</t>
        </is>
      </c>
      <c r="G68" t="n">
        <v>25</v>
      </c>
      <c r="H68" t="inlineStr">
        <is>
          <t>city/county</t>
        </is>
      </c>
      <c r="I68" t="inlineStr">
        <is>
          <t>cart+LSV</t>
        </is>
      </c>
      <c r="J68" t="inlineStr">
        <is>
          <t>https://www.google.com/maps/@?api=1&amp;map_action=pano&amp;viewpoint=33.044589,-117.293659&amp;heading=173</t>
        </is>
      </c>
      <c r="K68" t="inlineStr">
        <is>
          <t>https://www.google.com/maps/search/?api=1&amp;query=33.044589,-117.293659</t>
        </is>
      </c>
      <c r="L68" t="inlineStr"/>
      <c r="M68" t="inlineStr"/>
      <c r="N68" t="inlineStr"/>
      <c r="O68" t="inlineStr"/>
      <c r="P68" t="inlineStr">
        <is>
          <t>pending</t>
        </is>
      </c>
      <c r="Q68" t="inlineStr"/>
      <c r="R68" t="inlineStr"/>
      <c r="S68" t="inlineStr">
        <is>
          <t>25</t>
        </is>
      </c>
      <c r="T68" t="inlineStr">
        <is>
          <t>S Coast Hwy 101 (Encinitas Blvd - Swami's Ped Crossing)</t>
        </is>
      </c>
      <c r="U68" t="inlineStr">
        <is>
          <t>https://ecode360.com/EN5042/laws/LF2740111.pdf</t>
        </is>
      </c>
      <c r="V68">
        <f>IF(OR(L68="",S68=""),"",IF(VALUE(L68)=VALUE(S68),"Y","N"))</f>
        <v/>
      </c>
      <c r="W68">
        <f>IF(V68="Y",S68,"")</f>
        <v/>
      </c>
      <c r="X68" t="inlineStr">
        <is>
          <t>sources disagree: map uses the official 25 mph (OSM/imagery: osm 30)</t>
        </is>
      </c>
      <c r="Y68" t="n">
        <v>3</v>
      </c>
      <c r="Z68" t="inlineStr">
        <is>
          <t>96</t>
        </is>
      </c>
    </row>
    <row r="69">
      <c r="A69" t="inlineStr">
        <is>
          <t>ENC-B1-027</t>
        </is>
      </c>
      <c r="B69" t="inlineStr">
        <is>
          <t>Encinitas</t>
        </is>
      </c>
      <c r="C69" t="inlineStr">
        <is>
          <t>South Vulcan Avenue</t>
        </is>
      </c>
      <c r="D69" t="inlineStr">
        <is>
          <t>Encinitas Boulevard</t>
        </is>
      </c>
      <c r="E69" t="inlineStr">
        <is>
          <t>East D Street</t>
        </is>
      </c>
      <c r="F69" t="inlineStr">
        <is>
          <t>1245123396</t>
        </is>
      </c>
      <c r="G69" t="n">
        <v>30</v>
      </c>
      <c r="H69" t="inlineStr">
        <is>
          <t>city/county</t>
        </is>
      </c>
      <c r="I69" t="inlineStr">
        <is>
          <t>LSV</t>
        </is>
      </c>
      <c r="J69" t="inlineStr">
        <is>
          <t>https://www.google.com/maps/@?api=1&amp;map_action=pano&amp;viewpoint=33.046944,-117.292727&amp;heading=174</t>
        </is>
      </c>
      <c r="K69" t="inlineStr">
        <is>
          <t>https://www.google.com/maps/search/?api=1&amp;query=33.046944,-117.292727</t>
        </is>
      </c>
      <c r="L69" t="inlineStr"/>
      <c r="M69" t="inlineStr"/>
      <c r="N69" t="inlineStr"/>
      <c r="O69" t="inlineStr"/>
      <c r="P69" t="inlineStr">
        <is>
          <t>pending</t>
        </is>
      </c>
      <c r="Q69" t="inlineStr"/>
      <c r="R69" t="inlineStr"/>
      <c r="S69" t="inlineStr">
        <is>
          <t>30</t>
        </is>
      </c>
      <c r="T69" t="inlineStr">
        <is>
          <t>Encinitas Ord. 2026-05 Exhibit A (2026 E&amp;TS): Vulcan Ave (Encinitas Blvd - Santa Fe Dr) posted 30</t>
        </is>
      </c>
      <c r="U69" t="inlineStr">
        <is>
          <t>https://ecode360.com/EN5042/laws/LF2740111.pdf</t>
        </is>
      </c>
      <c r="V69">
        <f>IF(OR(L69="",S69=""),"",IF(VALUE(L69)=VALUE(S69),"Y","N"))</f>
        <v/>
      </c>
      <c r="W69">
        <f>IF(V69="Y",S69,"")</f>
        <v/>
      </c>
      <c r="X69" t="inlineStr">
        <is>
          <t>sources disagree: map uses the official 30 mph (OSM/imagery: osm 40)</t>
        </is>
      </c>
      <c r="Y69" t="n">
        <v>1</v>
      </c>
      <c r="Z69" t="inlineStr">
        <is>
          <t>18</t>
        </is>
      </c>
    </row>
    <row r="70">
      <c r="A70" t="inlineStr">
        <is>
          <t>ENC-B1-028</t>
        </is>
      </c>
      <c r="B70" t="inlineStr">
        <is>
          <t>Encinitas</t>
        </is>
      </c>
      <c r="C70" t="inlineStr">
        <is>
          <t>South Vulcan Avenue</t>
        </is>
      </c>
      <c r="D70" t="inlineStr">
        <is>
          <t>Encinitas Boulevard</t>
        </is>
      </c>
      <c r="E70" t="inlineStr">
        <is>
          <t>East D Street</t>
        </is>
      </c>
      <c r="F70" t="inlineStr">
        <is>
          <t>1245123397</t>
        </is>
      </c>
      <c r="G70" t="n">
        <v>30</v>
      </c>
      <c r="H70" t="inlineStr">
        <is>
          <t>city/county</t>
        </is>
      </c>
      <c r="I70" t="inlineStr">
        <is>
          <t>LSV</t>
        </is>
      </c>
      <c r="J70" t="inlineStr">
        <is>
          <t>https://www.google.com/maps/@?api=1&amp;map_action=pano&amp;viewpoint=33.047220,-117.292762&amp;heading=174</t>
        </is>
      </c>
      <c r="K70" t="inlineStr">
        <is>
          <t>https://www.google.com/maps/search/?api=1&amp;query=33.047220,-117.292762</t>
        </is>
      </c>
      <c r="L70" t="inlineStr"/>
      <c r="M70" t="inlineStr"/>
      <c r="N70" t="inlineStr"/>
      <c r="O70" t="inlineStr"/>
      <c r="P70" t="inlineStr">
        <is>
          <t>pending</t>
        </is>
      </c>
      <c r="Q70" t="inlineStr"/>
      <c r="R70" t="inlineStr"/>
      <c r="S70" t="inlineStr">
        <is>
          <t>30</t>
        </is>
      </c>
      <c r="T70" t="inlineStr">
        <is>
          <t>Encinitas Ord. 2026-05 Exhibit A (2026 E&amp;TS): Vulcan Ave (Encinitas Blvd - Santa Fe Dr) posted 30</t>
        </is>
      </c>
      <c r="U70" t="inlineStr">
        <is>
          <t>https://ecode360.com/EN5042/laws/LF2740111.pdf</t>
        </is>
      </c>
      <c r="V70">
        <f>IF(OR(L70="",S70=""),"",IF(VALUE(L70)=VALUE(S70),"Y","N"))</f>
        <v/>
      </c>
      <c r="W70">
        <f>IF(V70="Y",S70,"")</f>
        <v/>
      </c>
      <c r="X70" t="inlineStr">
        <is>
          <t>sources disagree: map uses the official 30 mph (OSM/imagery: osm 40)</t>
        </is>
      </c>
      <c r="Y70" t="n">
        <v>1</v>
      </c>
      <c r="Z70" t="inlineStr">
        <is>
          <t>85</t>
        </is>
      </c>
    </row>
    <row r="71">
      <c r="A71" t="inlineStr">
        <is>
          <t>ENC-B1-029</t>
        </is>
      </c>
      <c r="B71" t="inlineStr">
        <is>
          <t>Encinitas</t>
        </is>
      </c>
      <c r="C71" t="inlineStr">
        <is>
          <t>South Vulcan Avenue</t>
        </is>
      </c>
      <c r="D71" t="inlineStr">
        <is>
          <t>Encinitas Boulevard</t>
        </is>
      </c>
      <c r="E71" t="inlineStr">
        <is>
          <t>East D Street</t>
        </is>
      </c>
      <c r="F71" t="inlineStr">
        <is>
          <t>6001345</t>
        </is>
      </c>
      <c r="G71" t="n">
        <v>30</v>
      </c>
      <c r="H71" t="inlineStr">
        <is>
          <t>city/county</t>
        </is>
      </c>
      <c r="I71" t="inlineStr">
        <is>
          <t>LSV</t>
        </is>
      </c>
      <c r="J71" t="inlineStr">
        <is>
          <t>https://www.google.com/maps/@?api=1&amp;map_action=pano&amp;viewpoint=33.048530,-117.292927&amp;heading=174</t>
        </is>
      </c>
      <c r="K71" t="inlineStr">
        <is>
          <t>https://www.google.com/maps/search/?api=1&amp;query=33.048530,-117.292927</t>
        </is>
      </c>
      <c r="L71" t="inlineStr"/>
      <c r="M71" t="inlineStr"/>
      <c r="N71" t="inlineStr"/>
      <c r="O71" t="inlineStr"/>
      <c r="P71" t="inlineStr">
        <is>
          <t>pending</t>
        </is>
      </c>
      <c r="Q71" t="inlineStr"/>
      <c r="R71" t="inlineStr"/>
      <c r="S71" t="inlineStr">
        <is>
          <t>30</t>
        </is>
      </c>
      <c r="T71" t="inlineStr">
        <is>
          <t>Encinitas Ord. 2026-05 Exhibit A (2026 E&amp;TS): Vulcan Ave (Encinitas Blvd - Santa Fe Dr) posted 30</t>
        </is>
      </c>
      <c r="U71" t="inlineStr">
        <is>
          <t>https://ecode360.com/EN5042/laws/LF2740111.pdf</t>
        </is>
      </c>
      <c r="V71">
        <f>IF(OR(L71="",S71=""),"",IF(VALUE(L71)=VALUE(S71),"Y","N"))</f>
        <v/>
      </c>
      <c r="W71">
        <f>IF(V71="Y",S71,"")</f>
        <v/>
      </c>
      <c r="X71" t="inlineStr">
        <is>
          <t>sources disagree: map uses the official 30 mph (OSM/imagery: osm 40)</t>
        </is>
      </c>
      <c r="Y71" t="n">
        <v>1</v>
      </c>
      <c r="Z71" t="inlineStr">
        <is>
          <t>109</t>
        </is>
      </c>
    </row>
    <row r="72">
      <c r="A72" t="inlineStr">
        <is>
          <t>IMB-B1-001</t>
        </is>
      </c>
      <c r="B72" t="inlineStr">
        <is>
          <t>Imperial Beach</t>
        </is>
      </c>
      <c r="C72" t="inlineStr">
        <is>
          <t>Seacoast Drive</t>
        </is>
      </c>
      <c r="D72" t="inlineStr">
        <is>
          <t>Ebony Avenue</t>
        </is>
      </c>
      <c r="E72" t="inlineStr">
        <is>
          <t>Imperial Beach Boulevard</t>
        </is>
      </c>
      <c r="F72" t="inlineStr">
        <is>
          <t>1349741397</t>
        </is>
      </c>
      <c r="G72" t="n">
        <v>20</v>
      </c>
      <c r="H72" t="inlineStr">
        <is>
          <t>city/county</t>
        </is>
      </c>
      <c r="I72" t="inlineStr">
        <is>
          <t>cart+LSV</t>
        </is>
      </c>
      <c r="J72" t="inlineStr">
        <is>
          <t>https://www.google.com/maps/@?api=1&amp;map_action=pano&amp;viewpoint=32.576645,-117.131737&amp;heading=180</t>
        </is>
      </c>
      <c r="K72" t="inlineStr">
        <is>
          <t>https://www.google.com/maps/search/?api=1&amp;query=32.576645,-117.131737</t>
        </is>
      </c>
      <c r="L72" t="inlineStr"/>
      <c r="M72" t="inlineStr"/>
      <c r="N72" t="inlineStr"/>
      <c r="O72" t="inlineStr"/>
      <c r="P72" t="inlineStr">
        <is>
          <t>pending</t>
        </is>
      </c>
      <c r="Q72" t="inlineStr"/>
      <c r="R72" t="inlineStr"/>
      <c r="S72" t="inlineStr">
        <is>
          <t>20</t>
        </is>
      </c>
      <c r="T72" t="inlineStr">
        <is>
          <t>Seacoast Dr (Palm Ave - Imperial Beach Blvd)</t>
        </is>
      </c>
      <c r="U72" t="inlineStr">
        <is>
          <t>https://pub-imperialbeach.escribemeetings.com/filestream.ashx?DocumentId=973</t>
        </is>
      </c>
      <c r="V72">
        <f>IF(OR(L72="",S72=""),"",IF(VALUE(L72)=VALUE(S72),"Y","N"))</f>
        <v/>
      </c>
      <c r="W72">
        <f>IF(V72="Y",S72,"")</f>
        <v/>
      </c>
      <c r="X72" t="inlineStr">
        <is>
          <t>sources disagree: map uses the official 20 mph (OSM/imagery: osm 25)</t>
        </is>
      </c>
      <c r="Y72" t="n">
        <v>1</v>
      </c>
      <c r="Z72" t="inlineStr">
        <is>
          <t>10</t>
        </is>
      </c>
    </row>
    <row r="73">
      <c r="A73" t="inlineStr">
        <is>
          <t>IMB-B1-002</t>
        </is>
      </c>
      <c r="B73" t="inlineStr">
        <is>
          <t>Imperial Beach</t>
        </is>
      </c>
      <c r="C73" t="inlineStr">
        <is>
          <t>Seacoast Drive</t>
        </is>
      </c>
      <c r="D73" t="inlineStr">
        <is>
          <t>Elkwood Avenue</t>
        </is>
      </c>
      <c r="E73" t="inlineStr">
        <is>
          <t>Imperial Beach Boulevard</t>
        </is>
      </c>
      <c r="F73" t="inlineStr">
        <is>
          <t>1349741538</t>
        </is>
      </c>
      <c r="G73" t="n">
        <v>20</v>
      </c>
      <c r="H73" t="inlineStr">
        <is>
          <t>city/county</t>
        </is>
      </c>
      <c r="I73" t="inlineStr">
        <is>
          <t>cart+LSV</t>
        </is>
      </c>
      <c r="J73" t="inlineStr">
        <is>
          <t>https://www.google.com/maps/@?api=1&amp;map_action=pano&amp;viewpoint=32.577028,-117.131737&amp;heading=180</t>
        </is>
      </c>
      <c r="K73" t="inlineStr">
        <is>
          <t>https://www.google.com/maps/search/?api=1&amp;query=32.577028,-117.131737</t>
        </is>
      </c>
      <c r="L73" t="inlineStr"/>
      <c r="M73" t="inlineStr"/>
      <c r="N73" t="inlineStr"/>
      <c r="O73" t="inlineStr"/>
      <c r="P73" t="inlineStr">
        <is>
          <t>pending</t>
        </is>
      </c>
      <c r="Q73" t="inlineStr"/>
      <c r="R73" t="inlineStr"/>
      <c r="S73" t="inlineStr">
        <is>
          <t>20</t>
        </is>
      </c>
      <c r="T73" t="inlineStr">
        <is>
          <t>Seacoast Dr (Palm Ave - Imperial Beach Blvd)</t>
        </is>
      </c>
      <c r="U73" t="inlineStr">
        <is>
          <t>https://pub-imperialbeach.escribemeetings.com/filestream.ashx?DocumentId=973</t>
        </is>
      </c>
      <c r="V73">
        <f>IF(OR(L73="",S73=""),"",IF(VALUE(L73)=VALUE(S73),"Y","N"))</f>
        <v/>
      </c>
      <c r="W73">
        <f>IF(V73="Y",S73,"")</f>
        <v/>
      </c>
      <c r="X73" t="inlineStr">
        <is>
          <t>sources disagree: map uses the official 20 mph (OSM/imagery: osm 25, mapillary 25)</t>
        </is>
      </c>
      <c r="Y73" t="n">
        <v>1</v>
      </c>
      <c r="Z73" t="inlineStr">
        <is>
          <t>147</t>
        </is>
      </c>
    </row>
    <row r="74">
      <c r="A74" t="inlineStr">
        <is>
          <t>IMB-B1-003</t>
        </is>
      </c>
      <c r="B74" t="inlineStr">
        <is>
          <t>Imperial Beach</t>
        </is>
      </c>
      <c r="C74" t="inlineStr">
        <is>
          <t>Seacoast Drive</t>
        </is>
      </c>
      <c r="D74" t="inlineStr">
        <is>
          <t>Elder Avenue</t>
        </is>
      </c>
      <c r="E74" t="inlineStr">
        <is>
          <t>Ebony Avenue</t>
        </is>
      </c>
      <c r="F74" t="inlineStr">
        <is>
          <t>1349741537</t>
        </is>
      </c>
      <c r="G74" t="n">
        <v>20</v>
      </c>
      <c r="H74" t="inlineStr">
        <is>
          <t>city/county</t>
        </is>
      </c>
      <c r="I74" t="inlineStr">
        <is>
          <t>cart+LSV</t>
        </is>
      </c>
      <c r="J74" t="inlineStr">
        <is>
          <t>https://www.google.com/maps/@?api=1&amp;map_action=pano&amp;viewpoint=32.578121,-117.131732&amp;heading=180</t>
        </is>
      </c>
      <c r="K74" t="inlineStr">
        <is>
          <t>https://www.google.com/maps/search/?api=1&amp;query=32.578121,-117.131732</t>
        </is>
      </c>
      <c r="L74" t="inlineStr"/>
      <c r="M74" t="inlineStr"/>
      <c r="N74" t="inlineStr"/>
      <c r="O74" t="inlineStr"/>
      <c r="P74" t="inlineStr">
        <is>
          <t>pending</t>
        </is>
      </c>
      <c r="Q74" t="inlineStr"/>
      <c r="R74" t="inlineStr"/>
      <c r="S74" t="inlineStr">
        <is>
          <t>20</t>
        </is>
      </c>
      <c r="T74" t="inlineStr">
        <is>
          <t>Seacoast Dr (Palm Ave - Imperial Beach Blvd)</t>
        </is>
      </c>
      <c r="U74" t="inlineStr">
        <is>
          <t>https://pub-imperialbeach.escribemeetings.com/filestream.ashx?DocumentId=973</t>
        </is>
      </c>
      <c r="V74">
        <f>IF(OR(L74="",S74=""),"",IF(VALUE(L74)=VALUE(S74),"Y","N"))</f>
        <v/>
      </c>
      <c r="W74">
        <f>IF(V74="Y",S74,"")</f>
        <v/>
      </c>
      <c r="X74" t="inlineStr">
        <is>
          <t>sources disagree: map uses the official 20 mph (OSM/imagery: osm 25)</t>
        </is>
      </c>
      <c r="Y74" t="n">
        <v>1</v>
      </c>
      <c r="Z74" t="inlineStr">
        <is>
          <t>12</t>
        </is>
      </c>
    </row>
    <row r="75">
      <c r="A75" t="inlineStr">
        <is>
          <t>IMB-B1-004</t>
        </is>
      </c>
      <c r="B75" t="inlineStr">
        <is>
          <t>Imperial Beach</t>
        </is>
      </c>
      <c r="C75" t="inlineStr">
        <is>
          <t>Seacoast Drive</t>
        </is>
      </c>
      <c r="D75" t="inlineStr">
        <is>
          <t>Date Avenue</t>
        </is>
      </c>
      <c r="E75" t="inlineStr">
        <is>
          <t>Elkwood Avenue</t>
        </is>
      </c>
      <c r="F75" t="inlineStr">
        <is>
          <t>1349741828</t>
        </is>
      </c>
      <c r="G75" t="n">
        <v>20</v>
      </c>
      <c r="H75" t="inlineStr">
        <is>
          <t>city/county</t>
        </is>
      </c>
      <c r="I75" t="inlineStr">
        <is>
          <t>cart+LSV</t>
        </is>
      </c>
      <c r="J75" t="inlineStr">
        <is>
          <t>https://www.google.com/maps/@?api=1&amp;map_action=pano&amp;viewpoint=32.579568,-117.131727&amp;heading=180</t>
        </is>
      </c>
      <c r="K75" t="inlineStr">
        <is>
          <t>https://www.google.com/maps/search/?api=1&amp;query=32.579568,-117.131727</t>
        </is>
      </c>
      <c r="L75" t="inlineStr"/>
      <c r="M75" t="inlineStr"/>
      <c r="N75" t="inlineStr"/>
      <c r="O75" t="inlineStr"/>
      <c r="P75" t="inlineStr">
        <is>
          <t>pending</t>
        </is>
      </c>
      <c r="Q75" t="inlineStr"/>
      <c r="R75" t="inlineStr"/>
      <c r="S75" t="inlineStr">
        <is>
          <t>20</t>
        </is>
      </c>
      <c r="T75" t="inlineStr">
        <is>
          <t>Seacoast Dr (Palm Ave - Imperial Beach Blvd)</t>
        </is>
      </c>
      <c r="U75" t="inlineStr">
        <is>
          <t>https://pub-imperialbeach.escribemeetings.com/filestream.ashx?DocumentId=973</t>
        </is>
      </c>
      <c r="V75">
        <f>IF(OR(L75="",S75=""),"",IF(VALUE(L75)=VALUE(S75),"Y","N"))</f>
        <v/>
      </c>
      <c r="W75">
        <f>IF(V75="Y",S75,"")</f>
        <v/>
      </c>
      <c r="X75" t="inlineStr">
        <is>
          <t>sources disagree: map uses the official 20 mph (OSM/imagery: osm 25)</t>
        </is>
      </c>
      <c r="Y75" t="n">
        <v>2</v>
      </c>
      <c r="Z75" t="inlineStr">
        <is>
          <t>307</t>
        </is>
      </c>
    </row>
    <row r="76">
      <c r="A76" t="inlineStr">
        <is>
          <t>IMB-B1-005</t>
        </is>
      </c>
      <c r="B76" t="inlineStr">
        <is>
          <t>Imperial Beach</t>
        </is>
      </c>
      <c r="C76" t="inlineStr">
        <is>
          <t>Seacoast Drive</t>
        </is>
      </c>
      <c r="D76" t="inlineStr">
        <is>
          <t>Daisy Avenue</t>
        </is>
      </c>
      <c r="E76" t="inlineStr">
        <is>
          <t>Elm Avenue</t>
        </is>
      </c>
      <c r="F76" t="inlineStr">
        <is>
          <t>1349741827</t>
        </is>
      </c>
      <c r="G76" t="n">
        <v>20</v>
      </c>
      <c r="H76" t="inlineStr">
        <is>
          <t>city/county</t>
        </is>
      </c>
      <c r="I76" t="inlineStr">
        <is>
          <t>cart+LSV</t>
        </is>
      </c>
      <c r="J76" t="inlineStr">
        <is>
          <t>https://www.google.com/maps/@?api=1&amp;map_action=pano&amp;viewpoint=32.581003,-117.131727&amp;heading=179</t>
        </is>
      </c>
      <c r="K76" t="inlineStr">
        <is>
          <t>https://www.google.com/maps/search/?api=1&amp;query=32.581003,-117.131727</t>
        </is>
      </c>
      <c r="L76" t="inlineStr"/>
      <c r="M76" t="inlineStr"/>
      <c r="N76" t="inlineStr"/>
      <c r="O76" t="inlineStr"/>
      <c r="P76" t="inlineStr">
        <is>
          <t>pending</t>
        </is>
      </c>
      <c r="Q76" t="inlineStr"/>
      <c r="R76" t="inlineStr"/>
      <c r="S76" t="inlineStr">
        <is>
          <t>20</t>
        </is>
      </c>
      <c r="T76" t="inlineStr">
        <is>
          <t>Seacoast Dr (Palm Ave - Imperial Beach Blvd)</t>
        </is>
      </c>
      <c r="U76" t="inlineStr">
        <is>
          <t>https://pub-imperialbeach.escribemeetings.com/filestream.ashx?DocumentId=973</t>
        </is>
      </c>
      <c r="V76">
        <f>IF(OR(L76="",S76=""),"",IF(VALUE(L76)=VALUE(S76),"Y","N"))</f>
        <v/>
      </c>
      <c r="W76">
        <f>IF(V76="Y",S76,"")</f>
        <v/>
      </c>
      <c r="X76" t="inlineStr">
        <is>
          <t>sources disagree: map uses the official 20 mph (OSM/imagery: osm 25)</t>
        </is>
      </c>
      <c r="Y76" t="n">
        <v>1</v>
      </c>
      <c r="Z76" t="inlineStr">
        <is>
          <t>14</t>
        </is>
      </c>
    </row>
    <row r="77">
      <c r="A77" t="inlineStr">
        <is>
          <t>IMB-B1-006</t>
        </is>
      </c>
      <c r="B77" t="inlineStr">
        <is>
          <t>Imperial Beach</t>
        </is>
      </c>
      <c r="C77" t="inlineStr">
        <is>
          <t>Seacoast Drive</t>
        </is>
      </c>
      <c r="D77" t="inlineStr">
        <is>
          <t>Daisy Avenue</t>
        </is>
      </c>
      <c r="E77" t="inlineStr">
        <is>
          <t>Date Avenue</t>
        </is>
      </c>
      <c r="F77" t="inlineStr">
        <is>
          <t>1349741898</t>
        </is>
      </c>
      <c r="G77" t="n">
        <v>20</v>
      </c>
      <c r="H77" t="inlineStr">
        <is>
          <t>city/county</t>
        </is>
      </c>
      <c r="I77" t="inlineStr">
        <is>
          <t>cart+LSV</t>
        </is>
      </c>
      <c r="J77" t="inlineStr">
        <is>
          <t>https://www.google.com/maps/@?api=1&amp;map_action=pano&amp;viewpoint=32.581373,-117.131727&amp;heading=180</t>
        </is>
      </c>
      <c r="K77" t="inlineStr">
        <is>
          <t>https://www.google.com/maps/search/?api=1&amp;query=32.581373,-117.131727</t>
        </is>
      </c>
      <c r="L77" t="inlineStr"/>
      <c r="M77" t="inlineStr"/>
      <c r="N77" t="inlineStr"/>
      <c r="O77" t="inlineStr"/>
      <c r="P77" t="inlineStr">
        <is>
          <t>pending</t>
        </is>
      </c>
      <c r="Q77" t="inlineStr"/>
      <c r="R77" t="inlineStr"/>
      <c r="S77" t="inlineStr">
        <is>
          <t>20</t>
        </is>
      </c>
      <c r="T77" t="inlineStr">
        <is>
          <t>Seacoast Dr (Palm Ave - Imperial Beach Blvd)</t>
        </is>
      </c>
      <c r="U77" t="inlineStr">
        <is>
          <t>https://pub-imperialbeach.escribemeetings.com/filestream.ashx?DocumentId=973</t>
        </is>
      </c>
      <c r="V77">
        <f>IF(OR(L77="",S77=""),"",IF(VALUE(L77)=VALUE(S77),"Y","N"))</f>
        <v/>
      </c>
      <c r="W77">
        <f>IF(V77="Y",S77,"")</f>
        <v/>
      </c>
      <c r="X77" t="inlineStr">
        <is>
          <t>sources disagree: map uses the official 20 mph (OSM/imagery: osm 25)</t>
        </is>
      </c>
      <c r="Y77" t="n">
        <v>1</v>
      </c>
      <c r="Z77" t="inlineStr">
        <is>
          <t>67</t>
        </is>
      </c>
    </row>
    <row r="78">
      <c r="A78" t="inlineStr">
        <is>
          <t>IMB-B1-007</t>
        </is>
      </c>
      <c r="B78" t="inlineStr">
        <is>
          <t>Imperial Beach</t>
        </is>
      </c>
      <c r="C78" t="inlineStr">
        <is>
          <t>Seacoast Drive</t>
        </is>
      </c>
      <c r="D78" t="inlineStr">
        <is>
          <t>Donax Avenue</t>
        </is>
      </c>
      <c r="E78" t="inlineStr">
        <is>
          <t>Date Avenue</t>
        </is>
      </c>
      <c r="F78" t="inlineStr">
        <is>
          <t>1349741897</t>
        </is>
      </c>
      <c r="G78" t="n">
        <v>20</v>
      </c>
      <c r="H78" t="inlineStr">
        <is>
          <t>city/county</t>
        </is>
      </c>
      <c r="I78" t="inlineStr">
        <is>
          <t>cart+LSV</t>
        </is>
      </c>
      <c r="J78" t="inlineStr">
        <is>
          <t>https://www.google.com/maps/@?api=1&amp;map_action=pano&amp;viewpoint=32.581745,-117.131726&amp;heading=180</t>
        </is>
      </c>
      <c r="K78" t="inlineStr">
        <is>
          <t>https://www.google.com/maps/search/?api=1&amp;query=32.581745,-117.131726</t>
        </is>
      </c>
      <c r="L78" t="inlineStr"/>
      <c r="M78" t="inlineStr"/>
      <c r="N78" t="inlineStr"/>
      <c r="O78" t="inlineStr"/>
      <c r="P78" t="inlineStr">
        <is>
          <t>pending</t>
        </is>
      </c>
      <c r="Q78" t="inlineStr"/>
      <c r="R78" t="inlineStr"/>
      <c r="S78" t="inlineStr">
        <is>
          <t>20</t>
        </is>
      </c>
      <c r="T78" t="inlineStr">
        <is>
          <t>Seacoast Dr (Palm Ave - Imperial Beach Blvd)</t>
        </is>
      </c>
      <c r="U78" t="inlineStr">
        <is>
          <t>https://pub-imperialbeach.escribemeetings.com/filestream.ashx?DocumentId=973</t>
        </is>
      </c>
      <c r="V78">
        <f>IF(OR(L78="",S78=""),"",IF(VALUE(L78)=VALUE(S78),"Y","N"))</f>
        <v/>
      </c>
      <c r="W78">
        <f>IF(V78="Y",S78,"")</f>
        <v/>
      </c>
      <c r="X78" t="inlineStr">
        <is>
          <t>sources disagree: map uses the official 20 mph (OSM/imagery: osm 25)</t>
        </is>
      </c>
      <c r="Y78" t="n">
        <v>1</v>
      </c>
      <c r="Z78" t="inlineStr">
        <is>
          <t>14</t>
        </is>
      </c>
    </row>
    <row r="79">
      <c r="A79" t="inlineStr">
        <is>
          <t>IMB-B1-008</t>
        </is>
      </c>
      <c r="B79" t="inlineStr">
        <is>
          <t>Imperial Beach</t>
        </is>
      </c>
      <c r="C79" t="inlineStr">
        <is>
          <t>Seacoast Drive</t>
        </is>
      </c>
      <c r="D79" t="inlineStr">
        <is>
          <t>Palm Avenue</t>
        </is>
      </c>
      <c r="E79" t="inlineStr">
        <is>
          <t>Daisy Avenue</t>
        </is>
      </c>
      <c r="F79" t="inlineStr">
        <is>
          <t>149560905</t>
        </is>
      </c>
      <c r="G79" t="n">
        <v>20</v>
      </c>
      <c r="H79" t="inlineStr">
        <is>
          <t>city/county</t>
        </is>
      </c>
      <c r="I79" t="inlineStr">
        <is>
          <t>cart+LSV</t>
        </is>
      </c>
      <c r="J79" t="inlineStr">
        <is>
          <t>https://www.google.com/maps/@?api=1&amp;map_action=pano&amp;viewpoint=32.582460,-117.131730&amp;heading=179</t>
        </is>
      </c>
      <c r="K79" t="inlineStr">
        <is>
          <t>https://www.google.com/maps/search/?api=1&amp;query=32.582460,-117.131730</t>
        </is>
      </c>
      <c r="L79" t="inlineStr"/>
      <c r="M79" t="inlineStr"/>
      <c r="N79" t="inlineStr"/>
      <c r="O79" t="inlineStr"/>
      <c r="P79" t="inlineStr">
        <is>
          <t>pending</t>
        </is>
      </c>
      <c r="Q79" t="inlineStr"/>
      <c r="R79" t="inlineStr"/>
      <c r="S79" t="inlineStr">
        <is>
          <t>20</t>
        </is>
      </c>
      <c r="T79" t="inlineStr">
        <is>
          <t>Seacoast Dr (Palm Ave - Imperial Beach Blvd)</t>
        </is>
      </c>
      <c r="U79" t="inlineStr">
        <is>
          <t>https://pub-imperialbeach.escribemeetings.com/filestream.ashx?DocumentId=973</t>
        </is>
      </c>
      <c r="V79">
        <f>IF(OR(L79="",S79=""),"",IF(VALUE(L79)=VALUE(S79),"Y","N"))</f>
        <v/>
      </c>
      <c r="W79">
        <f>IF(V79="Y",S79,"")</f>
        <v/>
      </c>
      <c r="X79" t="inlineStr">
        <is>
          <t>sources disagree: map uses the official 20 mph (OSM/imagery: osm 25)</t>
        </is>
      </c>
      <c r="Y79" t="n">
        <v>1</v>
      </c>
      <c r="Z79" t="inlineStr">
        <is>
          <t>226</t>
        </is>
      </c>
    </row>
    <row r="80">
      <c r="A80" t="inlineStr">
        <is>
          <t>OCN-B1-001</t>
        </is>
      </c>
      <c r="B80" t="inlineStr">
        <is>
          <t>Oceanside</t>
        </is>
      </c>
      <c r="C80" t="inlineStr">
        <is>
          <t>South Coast Highway</t>
        </is>
      </c>
      <c r="D80" t="inlineStr">
        <is>
          <t>Cassidy Street</t>
        </is>
      </c>
      <c r="E80" t="inlineStr">
        <is>
          <t>Pacific Coast Highway</t>
        </is>
      </c>
      <c r="F80" t="inlineStr">
        <is>
          <t>436403817</t>
        </is>
      </c>
      <c r="G80" t="n">
        <v>35</v>
      </c>
      <c r="H80" t="inlineStr">
        <is>
          <t>city/county</t>
        </is>
      </c>
      <c r="I80" t="inlineStr">
        <is>
          <t>LSV</t>
        </is>
      </c>
      <c r="J80" t="inlineStr">
        <is>
          <t>https://www.google.com/maps/@?api=1&amp;map_action=pano&amp;viewpoint=33.174986,-117.361986&amp;heading=145</t>
        </is>
      </c>
      <c r="K80" t="inlineStr">
        <is>
          <t>https://www.google.com/maps/search/?api=1&amp;query=33.174986,-117.361986</t>
        </is>
      </c>
      <c r="L80" t="inlineStr"/>
      <c r="M80" t="inlineStr"/>
      <c r="N80" t="inlineStr"/>
      <c r="O80" t="inlineStr"/>
      <c r="P80" t="inlineStr">
        <is>
          <t>pending</t>
        </is>
      </c>
      <c r="Q80" t="inlineStr"/>
      <c r="R80" t="inlineStr"/>
      <c r="S80" t="inlineStr">
        <is>
          <t>35</t>
        </is>
      </c>
      <c r="T80" t="inlineStr">
        <is>
          <t>Coast Highway (Wisconsin Ave - south city limit)</t>
        </is>
      </c>
      <c r="U80" t="inlineStr">
        <is>
          <t>https://gocodebook.com/library/us/ca/oceanside/oceanside-traffic-code-1/article-xiv-special-speed-zones</t>
        </is>
      </c>
      <c r="V80">
        <f>IF(OR(L80="",S80=""),"",IF(VALUE(L80)=VALUE(S80),"Y","N"))</f>
        <v/>
      </c>
      <c r="W80">
        <f>IF(V80="Y",S80,"")</f>
        <v/>
      </c>
      <c r="X80" t="inlineStr">
        <is>
          <t>sources disagree: map uses the official 35 mph (OSM/imagery: osm 30)</t>
        </is>
      </c>
      <c r="Y80" t="n">
        <v>1</v>
      </c>
      <c r="Z80" t="inlineStr">
        <is>
          <t>34</t>
        </is>
      </c>
    </row>
    <row r="81">
      <c r="A81" t="inlineStr">
        <is>
          <t>OCN-B1-002</t>
        </is>
      </c>
      <c r="B81" t="inlineStr">
        <is>
          <t>Oceanside</t>
        </is>
      </c>
      <c r="C81" t="inlineStr">
        <is>
          <t>South Coast Highway</t>
        </is>
      </c>
      <c r="D81" t="inlineStr">
        <is>
          <t>Morse Street</t>
        </is>
      </c>
      <c r="E81" t="inlineStr">
        <is>
          <t>Pacific Coast Highway</t>
        </is>
      </c>
      <c r="F81" t="inlineStr">
        <is>
          <t>436403815</t>
        </is>
      </c>
      <c r="G81" t="n">
        <v>35</v>
      </c>
      <c r="H81" t="inlineStr">
        <is>
          <t>city/county</t>
        </is>
      </c>
      <c r="I81" t="inlineStr">
        <is>
          <t>LSV</t>
        </is>
      </c>
      <c r="J81" t="inlineStr">
        <is>
          <t>https://www.google.com/maps/@?api=1&amp;map_action=pano&amp;viewpoint=33.178201,-117.364689&amp;heading=145</t>
        </is>
      </c>
      <c r="K81" t="inlineStr">
        <is>
          <t>https://www.google.com/maps/search/?api=1&amp;query=33.178201,-117.364689</t>
        </is>
      </c>
      <c r="L81" t="inlineStr"/>
      <c r="M81" t="inlineStr"/>
      <c r="N81" t="inlineStr"/>
      <c r="O81" t="inlineStr"/>
      <c r="P81" t="inlineStr">
        <is>
          <t>pending</t>
        </is>
      </c>
      <c r="Q81" t="inlineStr"/>
      <c r="R81" t="inlineStr"/>
      <c r="S81" t="inlineStr">
        <is>
          <t>35</t>
        </is>
      </c>
      <c r="T81" t="inlineStr">
        <is>
          <t>Coast Highway (Wisconsin Ave - south city limit)</t>
        </is>
      </c>
      <c r="U81" t="inlineStr">
        <is>
          <t>https://gocodebook.com/library/us/ca/oceanside/oceanside-traffic-code-1/article-xiv-special-speed-zones</t>
        </is>
      </c>
      <c r="V81">
        <f>IF(OR(L81="",S81=""),"",IF(VALUE(L81)=VALUE(S81),"Y","N"))</f>
        <v/>
      </c>
      <c r="W81">
        <f>IF(V81="Y",S81,"")</f>
        <v/>
      </c>
      <c r="X81" t="inlineStr">
        <is>
          <t>sources disagree: map uses the official 35 mph (OSM/imagery: osm 30)</t>
        </is>
      </c>
      <c r="Y81" t="n">
        <v>1</v>
      </c>
      <c r="Z81" t="inlineStr">
        <is>
          <t>23</t>
        </is>
      </c>
    </row>
    <row r="82">
      <c r="A82" t="inlineStr">
        <is>
          <t>OCN-B1-003</t>
        </is>
      </c>
      <c r="B82" t="inlineStr">
        <is>
          <t>Oceanside</t>
        </is>
      </c>
      <c r="C82" t="inlineStr">
        <is>
          <t>Wisconsin Avenue</t>
        </is>
      </c>
      <c r="D82" t="inlineStr">
        <is>
          <t>South Pacific Street</t>
        </is>
      </c>
      <c r="E82" t="inlineStr"/>
      <c r="F82" t="inlineStr">
        <is>
          <t>5967620</t>
        </is>
      </c>
      <c r="G82" t="n">
        <v>25</v>
      </c>
      <c r="H82" t="inlineStr">
        <is>
          <t>city/county</t>
        </is>
      </c>
      <c r="I82" t="inlineStr">
        <is>
          <t>cart+LSV</t>
        </is>
      </c>
      <c r="J82" t="inlineStr">
        <is>
          <t>https://www.google.com/maps/@?api=1&amp;map_action=pano&amp;viewpoint=33.186576,-117.376277&amp;heading=55</t>
        </is>
      </c>
      <c r="K82" t="inlineStr">
        <is>
          <t>https://www.google.com/maps/search/?api=1&amp;query=33.186576,-117.376277</t>
        </is>
      </c>
      <c r="L82" t="inlineStr"/>
      <c r="M82" t="inlineStr"/>
      <c r="N82" t="inlineStr"/>
      <c r="O82" t="inlineStr"/>
      <c r="P82" t="inlineStr">
        <is>
          <t>pending</t>
        </is>
      </c>
      <c r="Q82" t="inlineStr"/>
      <c r="R82" t="inlineStr"/>
      <c r="S82" t="inlineStr">
        <is>
          <t>25</t>
        </is>
      </c>
      <c r="T82" t="inlineStr">
        <is>
          <t>Oceanside Traffic Code Art. XIV 18: Wisconsin Avenue (South Coast Highway - South Pacific Street) posted 25</t>
        </is>
      </c>
      <c r="U82" t="inlineStr">
        <is>
          <t>https://gocodebook.com/library/us/ca/oceanside/oceanside-traffic-code-1/article-xiv-special-speed-zones</t>
        </is>
      </c>
      <c r="V82">
        <f>IF(OR(L82="",S82=""),"",IF(VALUE(L82)=VALUE(S82),"Y","N"))</f>
        <v/>
      </c>
      <c r="W82">
        <f>IF(V82="Y",S82,"")</f>
        <v/>
      </c>
      <c r="X82" t="inlineStr">
        <is>
          <t>one official source; most-used arterial</t>
        </is>
      </c>
      <c r="Y82" t="n">
        <v>2</v>
      </c>
      <c r="Z82" t="inlineStr">
        <is>
          <t>106</t>
        </is>
      </c>
    </row>
    <row r="83">
      <c r="A83" t="inlineStr">
        <is>
          <t>OCN-B1-004</t>
        </is>
      </c>
      <c r="B83" t="inlineStr">
        <is>
          <t>Oceanside</t>
        </is>
      </c>
      <c r="C83" t="inlineStr">
        <is>
          <t>Wisconsin Avenue</t>
        </is>
      </c>
      <c r="D83" t="inlineStr">
        <is>
          <t>South Myers Street</t>
        </is>
      </c>
      <c r="E83" t="inlineStr">
        <is>
          <t>South Tait Street</t>
        </is>
      </c>
      <c r="F83" t="inlineStr">
        <is>
          <t>617084571</t>
        </is>
      </c>
      <c r="G83" t="n">
        <v>25</v>
      </c>
      <c r="H83" t="inlineStr">
        <is>
          <t>city/county</t>
        </is>
      </c>
      <c r="I83" t="inlineStr">
        <is>
          <t>cart+LSV</t>
        </is>
      </c>
      <c r="J83" t="inlineStr">
        <is>
          <t>https://www.google.com/maps/@?api=1&amp;map_action=pano&amp;viewpoint=33.187265,-117.375345&amp;heading=37</t>
        </is>
      </c>
      <c r="K83" t="inlineStr">
        <is>
          <t>https://www.google.com/maps/search/?api=1&amp;query=33.187265,-117.375345</t>
        </is>
      </c>
      <c r="L83" t="inlineStr"/>
      <c r="M83" t="inlineStr"/>
      <c r="N83" t="inlineStr"/>
      <c r="O83" t="inlineStr"/>
      <c r="P83" t="inlineStr">
        <is>
          <t>pending</t>
        </is>
      </c>
      <c r="Q83" t="inlineStr"/>
      <c r="R83" t="inlineStr"/>
      <c r="S83" t="inlineStr">
        <is>
          <t>25</t>
        </is>
      </c>
      <c r="T83" t="inlineStr">
        <is>
          <t>Oceanside Traffic Code Art. XIV 18: Wisconsin Avenue (South Coast Highway - South Pacific Street) posted 25</t>
        </is>
      </c>
      <c r="U83" t="inlineStr">
        <is>
          <t>https://gocodebook.com/library/us/ca/oceanside/oceanside-traffic-code-1/article-xiv-special-speed-zones</t>
        </is>
      </c>
      <c r="V83">
        <f>IF(OR(L83="",S83=""),"",IF(VALUE(L83)=VALUE(S83),"Y","N"))</f>
        <v/>
      </c>
      <c r="W83">
        <f>IF(V83="Y",S83,"")</f>
        <v/>
      </c>
      <c r="X83" t="inlineStr">
        <is>
          <t>one official source; most-used arterial</t>
        </is>
      </c>
      <c r="Y83" t="n">
        <v>2</v>
      </c>
      <c r="Z83" t="inlineStr">
        <is>
          <t>113</t>
        </is>
      </c>
    </row>
    <row r="84">
      <c r="A84" t="inlineStr">
        <is>
          <t>OCN-B1-005</t>
        </is>
      </c>
      <c r="B84" t="inlineStr">
        <is>
          <t>Oceanside</t>
        </is>
      </c>
      <c r="C84" t="inlineStr">
        <is>
          <t>Wisconsin Avenue</t>
        </is>
      </c>
      <c r="D84" t="inlineStr">
        <is>
          <t>South Myers Street</t>
        </is>
      </c>
      <c r="E84" t="inlineStr">
        <is>
          <t>Pacific Coast Highway</t>
        </is>
      </c>
      <c r="F84" t="inlineStr">
        <is>
          <t>617084573</t>
        </is>
      </c>
      <c r="G84" t="n">
        <v>25</v>
      </c>
      <c r="H84" t="inlineStr">
        <is>
          <t>city/county</t>
        </is>
      </c>
      <c r="I84" t="inlineStr">
        <is>
          <t>cart+LSV</t>
        </is>
      </c>
      <c r="J84" t="inlineStr">
        <is>
          <t>https://www.google.com/maps/@?api=1&amp;map_action=pano&amp;viewpoint=33.188260,-117.373842&amp;heading=54</t>
        </is>
      </c>
      <c r="K84" t="inlineStr">
        <is>
          <t>https://www.google.com/maps/search/?api=1&amp;query=33.188260,-117.373842</t>
        </is>
      </c>
      <c r="L84" t="inlineStr"/>
      <c r="M84" t="inlineStr"/>
      <c r="N84" t="inlineStr"/>
      <c r="O84" t="inlineStr"/>
      <c r="P84" t="inlineStr">
        <is>
          <t>pending</t>
        </is>
      </c>
      <c r="Q84" t="inlineStr"/>
      <c r="R84" t="inlineStr"/>
      <c r="S84" t="inlineStr">
        <is>
          <t>25</t>
        </is>
      </c>
      <c r="T84" t="inlineStr">
        <is>
          <t>Oceanside Traffic Code Art. XIV 18: Wisconsin Avenue (South Coast Highway - South Pacific Street) posted 25</t>
        </is>
      </c>
      <c r="U84" t="inlineStr">
        <is>
          <t>https://gocodebook.com/library/us/ca/oceanside/oceanside-traffic-code-1/article-xiv-special-speed-zones</t>
        </is>
      </c>
      <c r="V84">
        <f>IF(OR(L84="",S84=""),"",IF(VALUE(L84)=VALUE(S84),"Y","N"))</f>
        <v/>
      </c>
      <c r="W84">
        <f>IF(V84="Y",S84,"")</f>
        <v/>
      </c>
      <c r="X84" t="inlineStr">
        <is>
          <t>one official source; most-used arterial</t>
        </is>
      </c>
      <c r="Y84" t="n">
        <v>2</v>
      </c>
      <c r="Z84" t="inlineStr">
        <is>
          <t>183</t>
        </is>
      </c>
    </row>
    <row r="85">
      <c r="A85" t="inlineStr">
        <is>
          <t>PBC-B1-001</t>
        </is>
      </c>
      <c r="B85" t="inlineStr">
        <is>
          <t>Pacific Beach / Mission Beach</t>
        </is>
      </c>
      <c r="C85" t="inlineStr">
        <is>
          <t>La Jolla Boulevard</t>
        </is>
      </c>
      <c r="D85" t="inlineStr">
        <is>
          <t>Opal Street</t>
        </is>
      </c>
      <c r="E85" t="inlineStr">
        <is>
          <t>Loring Street</t>
        </is>
      </c>
      <c r="F85" t="inlineStr">
        <is>
          <t>436401815</t>
        </is>
      </c>
      <c r="G85" t="n">
        <v>25</v>
      </c>
      <c r="H85" t="inlineStr">
        <is>
          <t>city/county</t>
        </is>
      </c>
      <c r="I85" t="inlineStr">
        <is>
          <t>cart+LSV</t>
        </is>
      </c>
      <c r="J85" t="inlineStr">
        <is>
          <t>https://www.google.com/maps/@?api=1&amp;map_action=pano&amp;viewpoint=32.804989,-117.258585&amp;heading=148</t>
        </is>
      </c>
      <c r="K85" t="inlineStr">
        <is>
          <t>https://www.google.com/maps/search/?api=1&amp;query=32.804989,-117.258585</t>
        </is>
      </c>
      <c r="L85" t="inlineStr"/>
      <c r="M85" t="inlineStr"/>
      <c r="N85" t="inlineStr"/>
      <c r="O85" t="inlineStr"/>
      <c r="P85" t="inlineStr">
        <is>
          <t>pending</t>
        </is>
      </c>
      <c r="Q85" t="inlineStr"/>
      <c r="R85" t="inlineStr"/>
      <c r="S85" t="inlineStr">
        <is>
          <t>25</t>
        </is>
      </c>
      <c r="T85" t="inlineStr">
        <is>
          <t>San Diego R-316675 Table 7, posted: La Jolla Bl (Loring St - Colima St)</t>
        </is>
      </c>
      <c r="U85" t="inlineStr">
        <is>
          <t>https://docs.sandiego.gov/council_reso_ordinance/rao2026/R-316675.pdf</t>
        </is>
      </c>
      <c r="V85">
        <f>IF(OR(L85="",S85=""),"",IF(VALUE(L85)=VALUE(S85),"Y","N"))</f>
        <v/>
      </c>
      <c r="W85">
        <f>IF(V85="Y",S85,"")</f>
        <v/>
      </c>
      <c r="X85" t="inlineStr">
        <is>
          <t>sources disagree: map uses the official 25 mph (OSM/imagery: mapillary 35)</t>
        </is>
      </c>
      <c r="Y85" t="n">
        <v>1</v>
      </c>
      <c r="Z85" t="inlineStr">
        <is>
          <t>31</t>
        </is>
      </c>
    </row>
    <row r="86">
      <c r="A86" t="inlineStr">
        <is>
          <t>PBC-B1-002</t>
        </is>
      </c>
      <c r="B86" t="inlineStr">
        <is>
          <t>Pacific Beach / Mission Beach</t>
        </is>
      </c>
      <c r="C86" t="inlineStr">
        <is>
          <t>Mission Boulevard</t>
        </is>
      </c>
      <c r="D86" t="inlineStr">
        <is>
          <t>Ventura Place</t>
        </is>
      </c>
      <c r="E86" t="inlineStr">
        <is>
          <t>San Fernando Place</t>
        </is>
      </c>
      <c r="F86" t="inlineStr">
        <is>
          <t>436400933</t>
        </is>
      </c>
      <c r="G86" t="n">
        <v>25</v>
      </c>
      <c r="H86" t="inlineStr">
        <is>
          <t>city/county</t>
        </is>
      </c>
      <c r="I86" t="inlineStr">
        <is>
          <t>cart+LSV</t>
        </is>
      </c>
      <c r="J86" t="inlineStr">
        <is>
          <t>https://www.google.com/maps/@?api=1&amp;map_action=pano&amp;viewpoint=32.769886,-117.251031&amp;heading=178</t>
        </is>
      </c>
      <c r="K86" t="inlineStr">
        <is>
          <t>https://www.google.com/maps/search/?api=1&amp;query=32.769886,-117.251031</t>
        </is>
      </c>
      <c r="L86" t="inlineStr"/>
      <c r="M86" t="inlineStr"/>
      <c r="N86" t="inlineStr"/>
      <c r="O86" t="inlineStr"/>
      <c r="P86" t="inlineStr">
        <is>
          <t>pending</t>
        </is>
      </c>
      <c r="Q86" t="inlineStr"/>
      <c r="R86" t="inlineStr"/>
      <c r="S86" t="inlineStr">
        <is>
          <t>25</t>
        </is>
      </c>
      <c r="T86" t="inlineStr">
        <is>
          <t>San Diego R-316675 Table 7, posted: Mission Bl (San Fernando Pl - Santa Clara Pl)</t>
        </is>
      </c>
      <c r="U86" t="inlineStr">
        <is>
          <t>https://docs.sandiego.gov/council_reso_ordinance/rao2026/R-316675.pdf</t>
        </is>
      </c>
      <c r="V86">
        <f>IF(OR(L86="",S86=""),"",IF(VALUE(L86)=VALUE(S86),"Y","N"))</f>
        <v/>
      </c>
      <c r="W86">
        <f>IF(V86="Y",S86,"")</f>
        <v/>
      </c>
      <c r="X86" t="inlineStr">
        <is>
          <t>one official source; most-used arterial</t>
        </is>
      </c>
      <c r="Y86" t="n">
        <v>1</v>
      </c>
      <c r="Z86" t="inlineStr">
        <is>
          <t>70</t>
        </is>
      </c>
    </row>
    <row r="87">
      <c r="A87" t="inlineStr">
        <is>
          <t>PBC-B1-003</t>
        </is>
      </c>
      <c r="B87" t="inlineStr">
        <is>
          <t>Pacific Beach / Mission Beach</t>
        </is>
      </c>
      <c r="C87" t="inlineStr">
        <is>
          <t>Mission Boulevard</t>
        </is>
      </c>
      <c r="D87" t="inlineStr">
        <is>
          <t>San Fernando Place</t>
        </is>
      </c>
      <c r="E87" t="inlineStr">
        <is>
          <t>West Mission Bay Drive</t>
        </is>
      </c>
      <c r="F87" t="inlineStr">
        <is>
          <t>436400936</t>
        </is>
      </c>
      <c r="G87" t="n">
        <v>25</v>
      </c>
      <c r="H87" t="inlineStr">
        <is>
          <t>city/county</t>
        </is>
      </c>
      <c r="I87" t="inlineStr">
        <is>
          <t>cart+LSV</t>
        </is>
      </c>
      <c r="J87" t="inlineStr">
        <is>
          <t>https://www.google.com/maps/@?api=1&amp;map_action=pano&amp;viewpoint=32.770753,-117.250884&amp;heading=355</t>
        </is>
      </c>
      <c r="K87" t="inlineStr">
        <is>
          <t>https://www.google.com/maps/search/?api=1&amp;query=32.770753,-117.250884</t>
        </is>
      </c>
      <c r="L87" t="inlineStr"/>
      <c r="M87" t="inlineStr"/>
      <c r="N87" t="inlineStr"/>
      <c r="O87" t="inlineStr"/>
      <c r="P87" t="inlineStr">
        <is>
          <t>pending</t>
        </is>
      </c>
      <c r="Q87" t="inlineStr"/>
      <c r="R87" t="inlineStr"/>
      <c r="S87" t="inlineStr">
        <is>
          <t>25</t>
        </is>
      </c>
      <c r="T87" t="inlineStr">
        <is>
          <t>San Diego R-316675 Table 7, posted: Mission Bl (San Fernando Pl - Santa Clara Pl)</t>
        </is>
      </c>
      <c r="U87" t="inlineStr">
        <is>
          <t>https://docs.sandiego.gov/council_reso_ordinance/rao2026/R-316675.pdf</t>
        </is>
      </c>
      <c r="V87">
        <f>IF(OR(L87="",S87=""),"",IF(VALUE(L87)=VALUE(S87),"Y","N"))</f>
        <v/>
      </c>
      <c r="W87">
        <f>IF(V87="Y",S87,"")</f>
        <v/>
      </c>
      <c r="X87" t="inlineStr">
        <is>
          <t>one official source; most-used arterial</t>
        </is>
      </c>
      <c r="Y87" t="n">
        <v>1</v>
      </c>
      <c r="Z87" t="inlineStr">
        <is>
          <t>135</t>
        </is>
      </c>
    </row>
    <row r="88">
      <c r="A88" t="inlineStr">
        <is>
          <t>PBC-B1-004</t>
        </is>
      </c>
      <c r="B88" t="inlineStr">
        <is>
          <t>Pacific Beach / Mission Beach</t>
        </is>
      </c>
      <c r="C88" t="inlineStr">
        <is>
          <t>Mission Boulevard</t>
        </is>
      </c>
      <c r="D88" t="inlineStr">
        <is>
          <t>Ventura Place</t>
        </is>
      </c>
      <c r="E88" t="inlineStr">
        <is>
          <t>San Fernando Place</t>
        </is>
      </c>
      <c r="F88" t="inlineStr">
        <is>
          <t>436400938</t>
        </is>
      </c>
      <c r="G88" t="n">
        <v>25</v>
      </c>
      <c r="H88" t="inlineStr">
        <is>
          <t>city/county</t>
        </is>
      </c>
      <c r="I88" t="inlineStr">
        <is>
          <t>cart+LSV</t>
        </is>
      </c>
      <c r="J88" t="inlineStr">
        <is>
          <t>https://www.google.com/maps/@?api=1&amp;map_action=pano&amp;viewpoint=32.771256,-117.251118&amp;heading=172</t>
        </is>
      </c>
      <c r="K88" t="inlineStr">
        <is>
          <t>https://www.google.com/maps/search/?api=1&amp;query=32.771256,-117.251118</t>
        </is>
      </c>
      <c r="L88" t="inlineStr"/>
      <c r="M88" t="inlineStr"/>
      <c r="N88" t="inlineStr"/>
      <c r="O88" t="inlineStr"/>
      <c r="P88" t="inlineStr">
        <is>
          <t>pending</t>
        </is>
      </c>
      <c r="Q88" t="inlineStr"/>
      <c r="R88" t="inlineStr"/>
      <c r="S88" t="inlineStr">
        <is>
          <t>25</t>
        </is>
      </c>
      <c r="T88" t="inlineStr">
        <is>
          <t>San Diego R-316675 Table 7, posted: Mission Bl (San Fernando Pl - Santa Clara Pl)</t>
        </is>
      </c>
      <c r="U88" t="inlineStr">
        <is>
          <t>https://docs.sandiego.gov/council_reso_ordinance/rao2026/R-316675.pdf</t>
        </is>
      </c>
      <c r="V88">
        <f>IF(OR(L88="",S88=""),"",IF(VALUE(L88)=VALUE(S88),"Y","N"))</f>
        <v/>
      </c>
      <c r="W88">
        <f>IF(V88="Y",S88,"")</f>
        <v/>
      </c>
      <c r="X88" t="inlineStr">
        <is>
          <t>sources disagree: map uses the official 25 mph (OSM/imagery: mapillary 30)</t>
        </is>
      </c>
      <c r="Y88" t="n">
        <v>1</v>
      </c>
      <c r="Z88" t="inlineStr">
        <is>
          <t>149</t>
        </is>
      </c>
    </row>
    <row r="89">
      <c r="A89" t="inlineStr">
        <is>
          <t>PBC-B1-005</t>
        </is>
      </c>
      <c r="B89" t="inlineStr">
        <is>
          <t>Pacific Beach / Mission Beach</t>
        </is>
      </c>
      <c r="C89" t="inlineStr">
        <is>
          <t>Mission Boulevard</t>
        </is>
      </c>
      <c r="D89" t="inlineStr">
        <is>
          <t>San Fernando Place</t>
        </is>
      </c>
      <c r="E89" t="inlineStr">
        <is>
          <t>West Mission Bay Drive</t>
        </is>
      </c>
      <c r="F89" t="inlineStr">
        <is>
          <t>436400932</t>
        </is>
      </c>
      <c r="G89" t="n">
        <v>25</v>
      </c>
      <c r="H89" t="inlineStr">
        <is>
          <t>city/county</t>
        </is>
      </c>
      <c r="I89" t="inlineStr">
        <is>
          <t>cart+LSV</t>
        </is>
      </c>
      <c r="J89" t="inlineStr">
        <is>
          <t>https://www.google.com/maps/@?api=1&amp;map_action=pano&amp;viewpoint=32.771870,-117.251098&amp;heading=351</t>
        </is>
      </c>
      <c r="K89" t="inlineStr">
        <is>
          <t>https://www.google.com/maps/search/?api=1&amp;query=32.771870,-117.251098</t>
        </is>
      </c>
      <c r="L89" t="inlineStr"/>
      <c r="M89" t="inlineStr"/>
      <c r="N89" t="inlineStr"/>
      <c r="O89" t="inlineStr"/>
      <c r="P89" t="inlineStr">
        <is>
          <t>pending</t>
        </is>
      </c>
      <c r="Q89" t="inlineStr"/>
      <c r="R89" t="inlineStr"/>
      <c r="S89" t="inlineStr">
        <is>
          <t>25</t>
        </is>
      </c>
      <c r="T89" t="inlineStr">
        <is>
          <t>San Diego R-316675 Table 7, posted: Mission Bl (San Fernando Pl - Santa Clara Pl)</t>
        </is>
      </c>
      <c r="U89" t="inlineStr">
        <is>
          <t>https://docs.sandiego.gov/council_reso_ordinance/rao2026/R-316675.pdf</t>
        </is>
      </c>
      <c r="V89">
        <f>IF(OR(L89="",S89=""),"",IF(VALUE(L89)=VALUE(S89),"Y","N"))</f>
        <v/>
      </c>
      <c r="W89">
        <f>IF(V89="Y",S89,"")</f>
        <v/>
      </c>
      <c r="X89" t="inlineStr">
        <is>
          <t>one official source; most-used arterial</t>
        </is>
      </c>
      <c r="Y89" t="n">
        <v>1</v>
      </c>
      <c r="Z89" t="inlineStr">
        <is>
          <t>74</t>
        </is>
      </c>
    </row>
    <row r="90">
      <c r="A90" t="inlineStr">
        <is>
          <t>PBC-B1-006</t>
        </is>
      </c>
      <c r="B90" t="inlineStr">
        <is>
          <t>Pacific Beach / Mission Beach</t>
        </is>
      </c>
      <c r="C90" t="inlineStr">
        <is>
          <t>Mission Boulevard</t>
        </is>
      </c>
      <c r="D90" t="inlineStr">
        <is>
          <t>West Mission Bay Drive</t>
        </is>
      </c>
      <c r="E90" t="inlineStr">
        <is>
          <t>Santa Barbara Place</t>
        </is>
      </c>
      <c r="F90" t="inlineStr">
        <is>
          <t>1019974701</t>
        </is>
      </c>
      <c r="G90" t="n">
        <v>25</v>
      </c>
      <c r="H90" t="inlineStr">
        <is>
          <t>city/county</t>
        </is>
      </c>
      <c r="I90" t="inlineStr">
        <is>
          <t>cart+LSV</t>
        </is>
      </c>
      <c r="J90" t="inlineStr">
        <is>
          <t>https://www.google.com/maps/@?api=1&amp;map_action=pano&amp;viewpoint=32.773130,-117.251355&amp;heading=350</t>
        </is>
      </c>
      <c r="K90" t="inlineStr">
        <is>
          <t>https://www.google.com/maps/search/?api=1&amp;query=32.773130,-117.251355</t>
        </is>
      </c>
      <c r="L90" t="inlineStr"/>
      <c r="M90" t="inlineStr"/>
      <c r="N90" t="inlineStr"/>
      <c r="O90" t="inlineStr"/>
      <c r="P90" t="inlineStr">
        <is>
          <t>pending</t>
        </is>
      </c>
      <c r="Q90" t="inlineStr"/>
      <c r="R90" t="inlineStr"/>
      <c r="S90" t="inlineStr">
        <is>
          <t>25</t>
        </is>
      </c>
      <c r="T90" t="inlineStr">
        <is>
          <t>San Diego R-316675 Table 7, posted: Mission Bl (San Fernando Pl - Santa Clara Pl)</t>
        </is>
      </c>
      <c r="U90" t="inlineStr">
        <is>
          <t>https://docs.sandiego.gov/council_reso_ordinance/rao2026/R-316675.pdf</t>
        </is>
      </c>
      <c r="V90">
        <f>IF(OR(L90="",S90=""),"",IF(VALUE(L90)=VALUE(S90),"Y","N"))</f>
        <v/>
      </c>
      <c r="W90">
        <f>IF(V90="Y",S90,"")</f>
        <v/>
      </c>
      <c r="X90" t="inlineStr">
        <is>
          <t>sources disagree: map uses the official 25 mph (OSM/imagery: mapillary 30)</t>
        </is>
      </c>
      <c r="Y90" t="n">
        <v>1</v>
      </c>
      <c r="Z90" t="inlineStr">
        <is>
          <t>184</t>
        </is>
      </c>
    </row>
    <row r="91">
      <c r="A91" t="inlineStr">
        <is>
          <t>PBC-B1-007</t>
        </is>
      </c>
      <c r="B91" t="inlineStr">
        <is>
          <t>Pacific Beach / Mission Beach</t>
        </is>
      </c>
      <c r="C91" t="inlineStr">
        <is>
          <t>Mission Boulevard</t>
        </is>
      </c>
      <c r="D91" t="inlineStr">
        <is>
          <t>Santa Barbara Place</t>
        </is>
      </c>
      <c r="E91" t="inlineStr">
        <is>
          <t>Ventura Place</t>
        </is>
      </c>
      <c r="F91" t="inlineStr">
        <is>
          <t>436400724</t>
        </is>
      </c>
      <c r="G91" t="n">
        <v>25</v>
      </c>
      <c r="H91" t="inlineStr">
        <is>
          <t>city/county</t>
        </is>
      </c>
      <c r="I91" t="inlineStr">
        <is>
          <t>cart+LSV</t>
        </is>
      </c>
      <c r="J91" t="inlineStr">
        <is>
          <t>https://www.google.com/maps/@?api=1&amp;map_action=pano&amp;viewpoint=32.773380,-117.251493&amp;heading=168</t>
        </is>
      </c>
      <c r="K91" t="inlineStr">
        <is>
          <t>https://www.google.com/maps/search/?api=1&amp;query=32.773380,-117.251493</t>
        </is>
      </c>
      <c r="L91" t="inlineStr"/>
      <c r="M91" t="inlineStr"/>
      <c r="N91" t="inlineStr"/>
      <c r="O91" t="inlineStr"/>
      <c r="P91" t="inlineStr">
        <is>
          <t>pending</t>
        </is>
      </c>
      <c r="Q91" t="inlineStr"/>
      <c r="R91" t="inlineStr"/>
      <c r="S91" t="inlineStr">
        <is>
          <t>25</t>
        </is>
      </c>
      <c r="T91" t="inlineStr">
        <is>
          <t>San Diego R-316675 Table 7, posted: Mission Bl (San Fernando Pl - Santa Clara Pl)</t>
        </is>
      </c>
      <c r="U91" t="inlineStr">
        <is>
          <t>https://docs.sandiego.gov/council_reso_ordinance/rao2026/R-316675.pdf</t>
        </is>
      </c>
      <c r="V91">
        <f>IF(OR(L91="",S91=""),"",IF(VALUE(L91)=VALUE(S91),"Y","N"))</f>
        <v/>
      </c>
      <c r="W91">
        <f>IF(V91="Y",S91,"")</f>
        <v/>
      </c>
      <c r="X91" t="inlineStr">
        <is>
          <t>one official source; most-used arterial</t>
        </is>
      </c>
      <c r="Y91" t="n">
        <v>1</v>
      </c>
      <c r="Z91" t="inlineStr">
        <is>
          <t>163</t>
        </is>
      </c>
    </row>
    <row r="92">
      <c r="A92" t="inlineStr">
        <is>
          <t>PBC-B1-008</t>
        </is>
      </c>
      <c r="B92" t="inlineStr">
        <is>
          <t>Pacific Beach / Mission Beach</t>
        </is>
      </c>
      <c r="C92" t="inlineStr">
        <is>
          <t>Mission Boulevard</t>
        </is>
      </c>
      <c r="D92" t="inlineStr">
        <is>
          <t>San Luis Obispo Place</t>
        </is>
      </c>
      <c r="E92" t="inlineStr">
        <is>
          <t>Santa Barbara Place</t>
        </is>
      </c>
      <c r="F92" t="inlineStr">
        <is>
          <t>436400725</t>
        </is>
      </c>
      <c r="G92" t="n">
        <v>25</v>
      </c>
      <c r="H92" t="inlineStr">
        <is>
          <t>city/county</t>
        </is>
      </c>
      <c r="I92" t="inlineStr">
        <is>
          <t>cart+LSV</t>
        </is>
      </c>
      <c r="J92" t="inlineStr">
        <is>
          <t>https://www.google.com/maps/@?api=1&amp;map_action=pano&amp;viewpoint=32.775441,-117.252172&amp;heading=164</t>
        </is>
      </c>
      <c r="K92" t="inlineStr">
        <is>
          <t>https://www.google.com/maps/search/?api=1&amp;query=32.775441,-117.252172</t>
        </is>
      </c>
      <c r="L92" t="inlineStr"/>
      <c r="M92" t="inlineStr"/>
      <c r="N92" t="inlineStr"/>
      <c r="O92" t="inlineStr"/>
      <c r="P92" t="inlineStr">
        <is>
          <t>pending</t>
        </is>
      </c>
      <c r="Q92" t="inlineStr"/>
      <c r="R92" t="inlineStr"/>
      <c r="S92" t="inlineStr">
        <is>
          <t>25</t>
        </is>
      </c>
      <c r="T92" t="inlineStr">
        <is>
          <t>San Diego R-316675 Table 7, posted: Mission Bl (San Fernando Pl - Santa Clara Pl)</t>
        </is>
      </c>
      <c r="U92" t="inlineStr">
        <is>
          <t>https://docs.sandiego.gov/council_reso_ordinance/rao2026/R-316675.pdf</t>
        </is>
      </c>
      <c r="V92">
        <f>IF(OR(L92="",S92=""),"",IF(VALUE(L92)=VALUE(S92),"Y","N"))</f>
        <v/>
      </c>
      <c r="W92">
        <f>IF(V92="Y",S92,"")</f>
        <v/>
      </c>
      <c r="X92" t="inlineStr">
        <is>
          <t>one official source; most-used arterial</t>
        </is>
      </c>
      <c r="Y92" t="n">
        <v>1</v>
      </c>
      <c r="Z92" t="inlineStr">
        <is>
          <t>168</t>
        </is>
      </c>
    </row>
    <row r="93">
      <c r="A93" t="inlineStr">
        <is>
          <t>PBC-B1-009</t>
        </is>
      </c>
      <c r="B93" t="inlineStr">
        <is>
          <t>Pacific Beach / Mission Beach</t>
        </is>
      </c>
      <c r="C93" t="inlineStr">
        <is>
          <t>Mission Boulevard</t>
        </is>
      </c>
      <c r="D93" t="inlineStr">
        <is>
          <t>San Luis Obispo Place</t>
        </is>
      </c>
      <c r="E93" t="inlineStr">
        <is>
          <t>Tom Lane</t>
        </is>
      </c>
      <c r="F93" t="inlineStr">
        <is>
          <t>1025161103</t>
        </is>
      </c>
      <c r="G93" t="n">
        <v>25</v>
      </c>
      <c r="H93" t="inlineStr">
        <is>
          <t>city/county</t>
        </is>
      </c>
      <c r="I93" t="inlineStr">
        <is>
          <t>cart+LSV</t>
        </is>
      </c>
      <c r="J93" t="inlineStr">
        <is>
          <t>https://www.google.com/maps/@?api=1&amp;map_action=pano&amp;viewpoint=32.777001,-117.252478&amp;heading=351</t>
        </is>
      </c>
      <c r="K93" t="inlineStr">
        <is>
          <t>https://www.google.com/maps/search/?api=1&amp;query=32.777001,-117.252478</t>
        </is>
      </c>
      <c r="L93" t="inlineStr"/>
      <c r="M93" t="inlineStr"/>
      <c r="N93" t="inlineStr"/>
      <c r="O93" t="inlineStr"/>
      <c r="P93" t="inlineStr">
        <is>
          <t>pending</t>
        </is>
      </c>
      <c r="Q93" t="inlineStr"/>
      <c r="R93" t="inlineStr"/>
      <c r="S93" t="inlineStr">
        <is>
          <t>25</t>
        </is>
      </c>
      <c r="T93" t="inlineStr">
        <is>
          <t>San Diego R-316675 Table 7, posted: Mission Bl (San Fernando Pl - Santa Clara Pl)</t>
        </is>
      </c>
      <c r="U93" t="inlineStr">
        <is>
          <t>https://docs.sandiego.gov/council_reso_ordinance/rao2026/R-316675.pdf</t>
        </is>
      </c>
      <c r="V93">
        <f>IF(OR(L93="",S93=""),"",IF(VALUE(L93)=VALUE(S93),"Y","N"))</f>
        <v/>
      </c>
      <c r="W93">
        <f>IF(V93="Y",S93,"")</f>
        <v/>
      </c>
      <c r="X93" t="inlineStr">
        <is>
          <t>one official source; most-used arterial</t>
        </is>
      </c>
      <c r="Y93" t="n">
        <v>1</v>
      </c>
      <c r="Z93" t="inlineStr">
        <is>
          <t>199</t>
        </is>
      </c>
    </row>
    <row r="94">
      <c r="A94" t="inlineStr">
        <is>
          <t>PBC-B1-010</t>
        </is>
      </c>
      <c r="B94" t="inlineStr">
        <is>
          <t>Pacific Beach / Mission Beach</t>
        </is>
      </c>
      <c r="C94" t="inlineStr">
        <is>
          <t>Mission Boulevard</t>
        </is>
      </c>
      <c r="D94" t="inlineStr">
        <is>
          <t>El Carmel Place</t>
        </is>
      </c>
      <c r="E94" t="inlineStr">
        <is>
          <t>San Luis Obispo Place</t>
        </is>
      </c>
      <c r="F94" t="inlineStr">
        <is>
          <t>436400713</t>
        </is>
      </c>
      <c r="G94" t="n">
        <v>25</v>
      </c>
      <c r="H94" t="inlineStr">
        <is>
          <t>city/county</t>
        </is>
      </c>
      <c r="I94" t="inlineStr">
        <is>
          <t>cart+LSV</t>
        </is>
      </c>
      <c r="J94" t="inlineStr">
        <is>
          <t>https://www.google.com/maps/@?api=1&amp;map_action=pano&amp;viewpoint=32.777257,-117.252606&amp;heading=174</t>
        </is>
      </c>
      <c r="K94" t="inlineStr">
        <is>
          <t>https://www.google.com/maps/search/?api=1&amp;query=32.777257,-117.252606</t>
        </is>
      </c>
      <c r="L94" t="inlineStr"/>
      <c r="M94" t="inlineStr"/>
      <c r="N94" t="inlineStr"/>
      <c r="O94" t="inlineStr"/>
      <c r="P94" t="inlineStr">
        <is>
          <t>pending</t>
        </is>
      </c>
      <c r="Q94" t="inlineStr"/>
      <c r="R94" t="inlineStr"/>
      <c r="S94" t="inlineStr">
        <is>
          <t>25</t>
        </is>
      </c>
      <c r="T94" t="inlineStr">
        <is>
          <t>San Diego R-316675 Table 7, posted: Mission Bl (San Fernando Pl - Santa Clara Pl)</t>
        </is>
      </c>
      <c r="U94" t="inlineStr">
        <is>
          <t>https://docs.sandiego.gov/council_reso_ordinance/rao2026/R-316675.pdf</t>
        </is>
      </c>
      <c r="V94">
        <f>IF(OR(L94="",S94=""),"",IF(VALUE(L94)=VALUE(S94),"Y","N"))</f>
        <v/>
      </c>
      <c r="W94">
        <f>IF(V94="Y",S94,"")</f>
        <v/>
      </c>
      <c r="X94" t="inlineStr">
        <is>
          <t>one official source; most-used arterial</t>
        </is>
      </c>
      <c r="Y94" t="n">
        <v>1</v>
      </c>
      <c r="Z94" t="inlineStr">
        <is>
          <t>180</t>
        </is>
      </c>
    </row>
    <row r="95">
      <c r="A95" t="inlineStr">
        <is>
          <t>PBC-B1-011</t>
        </is>
      </c>
      <c r="B95" t="inlineStr">
        <is>
          <t>Pacific Beach / Mission Beach</t>
        </is>
      </c>
      <c r="C95" t="inlineStr">
        <is>
          <t>Mission Boulevard</t>
        </is>
      </c>
      <c r="D95" t="inlineStr">
        <is>
          <t>San Juan Place</t>
        </is>
      </c>
      <c r="E95" t="inlineStr">
        <is>
          <t>San Luis Obispo Place</t>
        </is>
      </c>
      <c r="F95" t="inlineStr">
        <is>
          <t>1025161220</t>
        </is>
      </c>
      <c r="G95" t="n">
        <v>25</v>
      </c>
      <c r="H95" t="inlineStr">
        <is>
          <t>city/county</t>
        </is>
      </c>
      <c r="I95" t="inlineStr">
        <is>
          <t>cart+LSV</t>
        </is>
      </c>
      <c r="J95" t="inlineStr">
        <is>
          <t>https://www.google.com/maps/@?api=1&amp;map_action=pano&amp;viewpoint=32.778356,-117.252655&amp;heading=181</t>
        </is>
      </c>
      <c r="K95" t="inlineStr">
        <is>
          <t>https://www.google.com/maps/search/?api=1&amp;query=32.778356,-117.252655</t>
        </is>
      </c>
      <c r="L95" t="inlineStr"/>
      <c r="M95" t="inlineStr"/>
      <c r="N95" t="inlineStr"/>
      <c r="O95" t="inlineStr"/>
      <c r="P95" t="inlineStr">
        <is>
          <t>pending</t>
        </is>
      </c>
      <c r="Q95" t="inlineStr"/>
      <c r="R95" t="inlineStr"/>
      <c r="S95" t="inlineStr">
        <is>
          <t>25</t>
        </is>
      </c>
      <c r="T95" t="inlineStr">
        <is>
          <t>San Diego R-316675 Table 7, posted: Mission Bl (San Fernando Pl - Santa Clara Pl)</t>
        </is>
      </c>
      <c r="U95" t="inlineStr">
        <is>
          <t>https://docs.sandiego.gov/council_reso_ordinance/rao2026/R-316675.pdf</t>
        </is>
      </c>
      <c r="V95">
        <f>IF(OR(L95="",S95=""),"",IF(VALUE(L95)=VALUE(S95),"Y","N"))</f>
        <v/>
      </c>
      <c r="W95">
        <f>IF(V95="Y",S95,"")</f>
        <v/>
      </c>
      <c r="X95" t="inlineStr">
        <is>
          <t>one official source; most-used arterial</t>
        </is>
      </c>
      <c r="Y95" t="n">
        <v>1</v>
      </c>
      <c r="Z95" t="inlineStr">
        <is>
          <t>72</t>
        </is>
      </c>
    </row>
    <row r="96">
      <c r="A96" t="inlineStr">
        <is>
          <t>PBC-B1-012</t>
        </is>
      </c>
      <c r="B96" t="inlineStr">
        <is>
          <t>Pacific Beach / Mission Beach</t>
        </is>
      </c>
      <c r="C96" t="inlineStr">
        <is>
          <t>Mission Boulevard</t>
        </is>
      </c>
      <c r="D96" t="inlineStr">
        <is>
          <t>San Juan Place</t>
        </is>
      </c>
      <c r="E96" t="inlineStr">
        <is>
          <t>El Carmel Place</t>
        </is>
      </c>
      <c r="F96" t="inlineStr">
        <is>
          <t>1025161219</t>
        </is>
      </c>
      <c r="G96" t="n">
        <v>25</v>
      </c>
      <c r="H96" t="inlineStr">
        <is>
          <t>city/county</t>
        </is>
      </c>
      <c r="I96" t="inlineStr">
        <is>
          <t>cart+LSV</t>
        </is>
      </c>
      <c r="J96" t="inlineStr">
        <is>
          <t>https://www.google.com/maps/@?api=1&amp;map_action=pano&amp;viewpoint=32.779334,-117.252623&amp;heading=182</t>
        </is>
      </c>
      <c r="K96" t="inlineStr">
        <is>
          <t>https://www.google.com/maps/search/?api=1&amp;query=32.779334,-117.252623</t>
        </is>
      </c>
      <c r="L96" t="inlineStr"/>
      <c r="M96" t="inlineStr"/>
      <c r="N96" t="inlineStr"/>
      <c r="O96" t="inlineStr"/>
      <c r="P96" t="inlineStr">
        <is>
          <t>pending</t>
        </is>
      </c>
      <c r="Q96" t="inlineStr"/>
      <c r="R96" t="inlineStr"/>
      <c r="S96" t="inlineStr">
        <is>
          <t>25</t>
        </is>
      </c>
      <c r="T96" t="inlineStr">
        <is>
          <t>San Diego R-316675 Table 7, posted: Mission Bl (San Fernando Pl - Santa Clara Pl)</t>
        </is>
      </c>
      <c r="U96" t="inlineStr">
        <is>
          <t>https://docs.sandiego.gov/council_reso_ordinance/rao2026/R-316675.pdf</t>
        </is>
      </c>
      <c r="V96">
        <f>IF(OR(L96="",S96=""),"",IF(VALUE(L96)=VALUE(S96),"Y","N"))</f>
        <v/>
      </c>
      <c r="W96">
        <f>IF(V96="Y",S96,"")</f>
        <v/>
      </c>
      <c r="X96" t="inlineStr">
        <is>
          <t>one official source; most-used arterial</t>
        </is>
      </c>
      <c r="Y96" t="n">
        <v>1</v>
      </c>
      <c r="Z96" t="inlineStr">
        <is>
          <t>187</t>
        </is>
      </c>
    </row>
    <row r="97">
      <c r="A97" t="inlineStr">
        <is>
          <t>PBC-B1-013</t>
        </is>
      </c>
      <c r="B97" t="inlineStr">
        <is>
          <t>Pacific Beach / Mission Beach</t>
        </is>
      </c>
      <c r="C97" t="inlineStr">
        <is>
          <t>Mission Boulevard</t>
        </is>
      </c>
      <c r="D97" t="inlineStr">
        <is>
          <t>Santa Clara Place</t>
        </is>
      </c>
      <c r="E97" t="inlineStr">
        <is>
          <t>San Juan Place</t>
        </is>
      </c>
      <c r="F97" t="inlineStr">
        <is>
          <t>1187547621</t>
        </is>
      </c>
      <c r="G97" t="n">
        <v>25</v>
      </c>
      <c r="H97" t="inlineStr">
        <is>
          <t>city/county</t>
        </is>
      </c>
      <c r="I97" t="inlineStr">
        <is>
          <t>cart+LSV</t>
        </is>
      </c>
      <c r="J97" t="inlineStr">
        <is>
          <t>https://www.google.com/maps/@?api=1&amp;map_action=pano&amp;viewpoint=32.781190,-117.252556&amp;heading=182</t>
        </is>
      </c>
      <c r="K97" t="inlineStr">
        <is>
          <t>https://www.google.com/maps/search/?api=1&amp;query=32.781190,-117.252556</t>
        </is>
      </c>
      <c r="L97" t="inlineStr"/>
      <c r="M97" t="inlineStr"/>
      <c r="N97" t="inlineStr"/>
      <c r="O97" t="inlineStr"/>
      <c r="P97" t="inlineStr">
        <is>
          <t>pending</t>
        </is>
      </c>
      <c r="Q97" t="inlineStr"/>
      <c r="R97" t="inlineStr"/>
      <c r="S97" t="inlineStr">
        <is>
          <t>25</t>
        </is>
      </c>
      <c r="T97" t="inlineStr">
        <is>
          <t>San Diego R-316675 Table 7, posted: Mission Bl (San Fernando Pl - Santa Clara Pl)</t>
        </is>
      </c>
      <c r="U97" t="inlineStr">
        <is>
          <t>https://docs.sandiego.gov/council_reso_ordinance/rao2026/R-316675.pdf</t>
        </is>
      </c>
      <c r="V97">
        <f>IF(OR(L97="",S97=""),"",IF(VALUE(L97)=VALUE(S97),"Y","N"))</f>
        <v/>
      </c>
      <c r="W97">
        <f>IF(V97="Y",S97,"")</f>
        <v/>
      </c>
      <c r="X97" t="inlineStr">
        <is>
          <t>one official source; most-used arterial</t>
        </is>
      </c>
      <c r="Y97" t="n">
        <v>1</v>
      </c>
      <c r="Z97" t="inlineStr">
        <is>
          <t>184</t>
        </is>
      </c>
    </row>
    <row r="98">
      <c r="A98" t="inlineStr">
        <is>
          <t>SOL-B1-001</t>
        </is>
      </c>
      <c r="B98" t="inlineStr">
        <is>
          <t>Solana Beach</t>
        </is>
      </c>
      <c r="C98" t="inlineStr">
        <is>
          <t>Lomas Santa Fe Drive</t>
        </is>
      </c>
      <c r="D98" t="inlineStr">
        <is>
          <t>Plaza Street</t>
        </is>
      </c>
      <c r="E98" t="inlineStr">
        <is>
          <t>South Coast Highway</t>
        </is>
      </c>
      <c r="F98" t="inlineStr">
        <is>
          <t>26328612</t>
        </is>
      </c>
      <c r="G98" t="n">
        <v>35</v>
      </c>
      <c r="H98" t="inlineStr">
        <is>
          <t>city/county</t>
        </is>
      </c>
      <c r="I98" t="inlineStr">
        <is>
          <t>LSV</t>
        </is>
      </c>
      <c r="J98" t="inlineStr">
        <is>
          <t>https://www.google.com/maps/@?api=1&amp;map_action=pano&amp;viewpoint=32.991875,-117.271607&amp;heading=78</t>
        </is>
      </c>
      <c r="K98" t="inlineStr">
        <is>
          <t>https://www.google.com/maps/search/?api=1&amp;query=32.991875,-117.271607</t>
        </is>
      </c>
      <c r="L98" t="inlineStr"/>
      <c r="M98" t="inlineStr"/>
      <c r="N98" t="inlineStr"/>
      <c r="O98" t="inlineStr"/>
      <c r="P98" t="inlineStr">
        <is>
          <t>pending</t>
        </is>
      </c>
      <c r="Q98" t="inlineStr"/>
      <c r="R98" t="inlineStr"/>
      <c r="S98" t="inlineStr">
        <is>
          <t>35</t>
        </is>
      </c>
      <c r="T98" t="inlineStr">
        <is>
          <t>Lomas Santa Fe Dr (Hwy 101 - Stevens Ave)</t>
        </is>
      </c>
      <c r="U98" t="inlineStr">
        <is>
          <t>https://cityofsolanabeach.ca.gov/sites/default/files/Solana%20Beach/Meetings/City%20Council/2023/07-12-23/07-12-23%20Reg/A.3.%20Report%20-%2007-12-23%20-%20O.pdf</t>
        </is>
      </c>
      <c r="V98">
        <f>IF(OR(L98="",S98=""),"",IF(VALUE(L98)=VALUE(S98),"Y","N"))</f>
        <v/>
      </c>
      <c r="W98">
        <f>IF(V98="Y",S98,"")</f>
        <v/>
      </c>
      <c r="X98" t="inlineStr">
        <is>
          <t>sources disagree: map uses the official 35 mph (OSM/imagery: osm 50)</t>
        </is>
      </c>
      <c r="Y98" t="n">
        <v>1</v>
      </c>
      <c r="Z98" t="inlineStr">
        <is>
          <t>13</t>
        </is>
      </c>
    </row>
    <row r="99">
      <c r="A99" t="inlineStr">
        <is>
          <t>SOL-B1-002</t>
        </is>
      </c>
      <c r="B99" t="inlineStr">
        <is>
          <t>Solana Beach</t>
        </is>
      </c>
      <c r="C99" t="inlineStr">
        <is>
          <t>Lomas Santa Fe Drive</t>
        </is>
      </c>
      <c r="D99" t="inlineStr">
        <is>
          <t>South Coast Highway</t>
        </is>
      </c>
      <c r="E99" t="inlineStr">
        <is>
          <t>North Cedros Avenue</t>
        </is>
      </c>
      <c r="F99" t="inlineStr">
        <is>
          <t>436403292</t>
        </is>
      </c>
      <c r="G99" t="n">
        <v>35</v>
      </c>
      <c r="H99" t="inlineStr">
        <is>
          <t>city/county</t>
        </is>
      </c>
      <c r="I99" t="inlineStr">
        <is>
          <t>LSV</t>
        </is>
      </c>
      <c r="J99" t="inlineStr">
        <is>
          <t>https://www.google.com/maps/@?api=1&amp;map_action=pano&amp;viewpoint=32.991894,-117.271507&amp;heading=76</t>
        </is>
      </c>
      <c r="K99" t="inlineStr">
        <is>
          <t>https://www.google.com/maps/search/?api=1&amp;query=32.991894,-117.271507</t>
        </is>
      </c>
      <c r="L99" t="inlineStr"/>
      <c r="M99" t="inlineStr"/>
      <c r="N99" t="inlineStr"/>
      <c r="O99" t="inlineStr"/>
      <c r="P99" t="inlineStr">
        <is>
          <t>pending</t>
        </is>
      </c>
      <c r="Q99" t="inlineStr"/>
      <c r="R99" t="inlineStr"/>
      <c r="S99" t="inlineStr">
        <is>
          <t>35</t>
        </is>
      </c>
      <c r="T99" t="inlineStr">
        <is>
          <t>Lomas Santa Fe Dr (Hwy 101 - Stevens Ave)</t>
        </is>
      </c>
      <c r="U99" t="inlineStr">
        <is>
          <t>https://cityofsolanabeach.ca.gov/sites/default/files/Solana%20Beach/Meetings/City%20Council/2023/07-12-23/07-12-23%20Reg/A.3.%20Report%20-%2007-12-23%20-%20O.pdf</t>
        </is>
      </c>
      <c r="V99">
        <f>IF(OR(L99="",S99=""),"",IF(VALUE(L99)=VALUE(S99),"Y","N"))</f>
        <v/>
      </c>
      <c r="W99">
        <f>IF(V99="Y",S99,"")</f>
        <v/>
      </c>
      <c r="X99" t="inlineStr">
        <is>
          <t>sources disagree: map uses the official 35 mph (OSM/imagery: osm 50)</t>
        </is>
      </c>
      <c r="Y99" t="n">
        <v>1</v>
      </c>
      <c r="Z99" t="inlineStr">
        <is>
          <t>17</t>
        </is>
      </c>
    </row>
    <row r="100">
      <c r="A100" t="inlineStr">
        <is>
          <t>SOL-B1-003</t>
        </is>
      </c>
      <c r="B100" t="inlineStr">
        <is>
          <t>Solana Beach</t>
        </is>
      </c>
      <c r="C100" t="inlineStr">
        <is>
          <t>Lomas Santa Fe Drive</t>
        </is>
      </c>
      <c r="D100" t="inlineStr">
        <is>
          <t>South Coast Highway</t>
        </is>
      </c>
      <c r="E100" t="inlineStr">
        <is>
          <t>North Cedros Avenue</t>
        </is>
      </c>
      <c r="F100" t="inlineStr">
        <is>
          <t>32677195</t>
        </is>
      </c>
      <c r="G100" t="n">
        <v>35</v>
      </c>
      <c r="H100" t="inlineStr">
        <is>
          <t>city/county</t>
        </is>
      </c>
      <c r="I100" t="inlineStr">
        <is>
          <t>LSV</t>
        </is>
      </c>
      <c r="J100" t="inlineStr">
        <is>
          <t>https://www.google.com/maps/@?api=1&amp;map_action=pano&amp;viewpoint=32.991939,-117.271241&amp;heading=80</t>
        </is>
      </c>
      <c r="K100" t="inlineStr">
        <is>
          <t>https://www.google.com/maps/search/?api=1&amp;query=32.991939,-117.271241</t>
        </is>
      </c>
      <c r="L100" t="inlineStr"/>
      <c r="M100" t="inlineStr"/>
      <c r="N100" t="inlineStr"/>
      <c r="O100" t="inlineStr"/>
      <c r="P100" t="inlineStr">
        <is>
          <t>pending</t>
        </is>
      </c>
      <c r="Q100" t="inlineStr"/>
      <c r="R100" t="inlineStr"/>
      <c r="S100" t="inlineStr">
        <is>
          <t>35</t>
        </is>
      </c>
      <c r="T100" t="inlineStr">
        <is>
          <t>Lomas Santa Fe Dr (Hwy 101 - Stevens Ave)</t>
        </is>
      </c>
      <c r="U100" t="inlineStr">
        <is>
          <t>https://cityofsolanabeach.ca.gov/sites/default/files/Solana%20Beach/Meetings/City%20Council/2023/07-12-23/07-12-23%20Reg/A.3.%20Report%20-%2007-12-23%20-%20O.pdf</t>
        </is>
      </c>
      <c r="V100">
        <f>IF(OR(L100="",S100=""),"",IF(VALUE(L100)=VALUE(S100),"Y","N"))</f>
        <v/>
      </c>
      <c r="W100">
        <f>IF(V100="Y",S100,"")</f>
        <v/>
      </c>
      <c r="X100" t="inlineStr">
        <is>
          <t>sources disagree: map uses the official 35 mph (OSM/imagery: osm 50)</t>
        </is>
      </c>
      <c r="Y100" t="n">
        <v>1</v>
      </c>
      <c r="Z100" t="inlineStr">
        <is>
          <t>18</t>
        </is>
      </c>
    </row>
    <row r="101">
      <c r="A101" t="inlineStr">
        <is>
          <t>SOL-B1-004</t>
        </is>
      </c>
      <c r="B101" t="inlineStr">
        <is>
          <t>Solana Beach</t>
        </is>
      </c>
      <c r="C101" t="inlineStr">
        <is>
          <t>Lomas Santa Fe Drive</t>
        </is>
      </c>
      <c r="D101" t="inlineStr">
        <is>
          <t>South Coast Highway</t>
        </is>
      </c>
      <c r="E101" t="inlineStr">
        <is>
          <t>North Cedros Avenue</t>
        </is>
      </c>
      <c r="F101" t="inlineStr">
        <is>
          <t>436403302</t>
        </is>
      </c>
      <c r="G101" t="n">
        <v>35</v>
      </c>
      <c r="H101" t="inlineStr">
        <is>
          <t>city/county</t>
        </is>
      </c>
      <c r="I101" t="inlineStr">
        <is>
          <t>LSV</t>
        </is>
      </c>
      <c r="J101" t="inlineStr">
        <is>
          <t>https://www.google.com/maps/@?api=1&amp;map_action=pano&amp;viewpoint=32.991962,-117.271128&amp;heading=76</t>
        </is>
      </c>
      <c r="K101" t="inlineStr">
        <is>
          <t>https://www.google.com/maps/search/?api=1&amp;query=32.991962,-117.271128</t>
        </is>
      </c>
      <c r="L101" t="inlineStr"/>
      <c r="M101" t="inlineStr"/>
      <c r="N101" t="inlineStr"/>
      <c r="O101" t="inlineStr"/>
      <c r="P101" t="inlineStr">
        <is>
          <t>pending</t>
        </is>
      </c>
      <c r="Q101" t="inlineStr"/>
      <c r="R101" t="inlineStr"/>
      <c r="S101" t="inlineStr">
        <is>
          <t>35</t>
        </is>
      </c>
      <c r="T101" t="inlineStr">
        <is>
          <t>Lomas Santa Fe Dr (Hwy 101 - Stevens Ave)</t>
        </is>
      </c>
      <c r="U101" t="inlineStr">
        <is>
          <t>https://cityofsolanabeach.ca.gov/sites/default/files/Solana%20Beach/Meetings/City%20Council/2023/07-12-23/07-12-23%20Reg/A.3.%20Report%20-%2007-12-23%20-%20O.pdf</t>
        </is>
      </c>
      <c r="V101">
        <f>IF(OR(L101="",S101=""),"",IF(VALUE(L101)=VALUE(S101),"Y","N"))</f>
        <v/>
      </c>
      <c r="W101">
        <f>IF(V101="Y",S101,"")</f>
        <v/>
      </c>
      <c r="X101" t="inlineStr">
        <is>
          <t>sources disagree: map uses the official 35 mph (OSM/imagery: osm 50)</t>
        </is>
      </c>
      <c r="Y101" t="n">
        <v>1</v>
      </c>
      <c r="Z101" t="inlineStr">
        <is>
          <t>11</t>
        </is>
      </c>
    </row>
  </sheetData>
  <dataValidations count="2">
    <dataValidation sqref="P2:P101" showDropDown="0" showInputMessage="0" showErrorMessage="0" allowBlank="0" type="list">
      <formula1>"pending,done,can't tell"</formula1>
    </dataValidation>
    <dataValidation sqref="O2:O101" showDropDown="0" showInputMessage="0" showErrorMessage="0" allowBlank="0"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60" customWidth="1" min="1" max="1"/>
  </cols>
  <sheetData>
    <row r="1">
      <c r="A1" t="inlineStr">
        <is>
          <t>Street View batch 1: the 70 roads where our sources disagree, plus the 30 busiest main roads that have only a city source. Your reading is the deciding second source.</t>
        </is>
      </c>
    </row>
    <row r="2">
      <c r="A2" t="inlineStr">
        <is>
          <t>Fill only the blue columns (posted_speed_seen_mph … notes). The yellow columns are ours: our_gis_survey_mph is what the city code/survey says; agree_YN and resolved_mph fill themselves.</t>
        </is>
      </c>
    </row>
    <row r="3">
      <c r="A3" t="inlineStr"/>
    </row>
    <row r="4">
      <c r="A4" t="inlineStr">
        <is>
          <t># Golf Cart Map — Street View speed-limit checker guide</t>
        </is>
      </c>
    </row>
    <row r="5">
      <c r="A5" t="inlineStr"/>
    </row>
    <row r="6">
      <c r="A6" t="inlineStr">
        <is>
          <t>Purpose: confirm the POSTED speed limit on each road in the sheet using Google Maps Street View. The answer decides whether the road is legal for golf carts (posted 25 mph or less) and LSVs (posted 35 mph or less). A wrong number can send someone onto an illegal road, so record only what you actually see on a sign. Never guess.</t>
        </is>
      </c>
    </row>
    <row r="7">
      <c r="A7" t="inlineStr"/>
    </row>
    <row r="8">
      <c r="A8" t="inlineStr">
        <is>
          <t>Time budget: about 2-3 minutes per road. If a road takes more than 5 minutes, stop, set status to "can't tell", write what you saw in notes, and move on.</t>
        </is>
      </c>
    </row>
    <row r="9">
      <c r="A9" t="inlineStr"/>
    </row>
    <row r="10">
      <c r="A10" t="inlineStr">
        <is>
          <t>## Before you start</t>
        </is>
      </c>
    </row>
    <row r="11">
      <c r="A11" t="inlineStr">
        <is>
          <t>1. Use a computer (laptop/desktop) with Chrome, Firefox, Safari or Edge. A phone works but is much slower.</t>
        </is>
      </c>
    </row>
    <row r="12">
      <c r="A12" t="inlineStr">
        <is>
          <t>2. Open the Google Sheet. Go to the "Roads" tab.</t>
        </is>
      </c>
    </row>
    <row r="13">
      <c r="A13" t="inlineStr">
        <is>
          <t>3. Find the first row where status = "pending" and checker_initials is empty. Type your initials in checker_initials right away so nobody else picks the same row.</t>
        </is>
      </c>
    </row>
    <row r="14">
      <c r="A14" t="inlineStr">
        <is>
          <t>4. Each row is one road segment: road_name, between from_cross_street and to_cross_street, in the given city. "(nearby)" means the cross street is near but not touching that end; "(next block)" means both ends meet the same street; "(see map)" means use map_link to see where it is.</t>
        </is>
      </c>
    </row>
    <row r="15">
      <c r="A15" t="inlineStr"/>
    </row>
    <row r="16">
      <c r="A16" t="inlineStr">
        <is>
          <t>## Step-by-step for each row</t>
        </is>
      </c>
    </row>
    <row r="17">
      <c r="A17" t="inlineStr">
        <is>
          <t>1. Click the street_view_link in that row. It opens Google Maps in Street View at a point in the middle of the segment, facing along the road.</t>
        </is>
      </c>
    </row>
    <row r="18">
      <c r="A18" t="inlineStr">
        <is>
          <t xml:space="preserve">   - If it opens a normal map instead of Street View, click map_link, then drag the yellow Pegman (bottom-right of the map) onto the road at the red pin.</t>
        </is>
      </c>
    </row>
    <row r="19">
      <c r="A19" t="inlineStr">
        <is>
          <t xml:space="preserve">   - If there is no Street View for this road at all (no blue line when you drag Pegman), set status = "can't tell", notes = "no Street View", and go to the next row.</t>
        </is>
      </c>
    </row>
    <row r="20">
      <c r="A20" t="inlineStr">
        <is>
          <t>2. Check that you are on the right road: the road name appears in the box at the top-left of the screen. If it shows a different road, click map_link and drop Pegman onto road_name instead.</t>
        </is>
      </c>
    </row>
    <row r="21">
      <c r="A21" t="inlineStr">
        <is>
          <t>3. Check the imagery date:</t>
        </is>
      </c>
    </row>
    <row r="22">
      <c r="A22" t="inlineStr">
        <is>
          <t xml:space="preserve">   - The date shows in the top-left box ("Image capture: Mon YYYY"). </t>
        </is>
      </c>
    </row>
    <row r="23">
      <c r="A23" t="inlineStr">
        <is>
          <t xml:space="preserve">   - Click the clock icon / "See more dates" (time travel) in that box to see older and newer captures. Pick the NEWEST date. Speed limits change; the newest image wins.</t>
        </is>
      </c>
    </row>
    <row r="24">
      <c r="A24" t="inlineStr">
        <is>
          <t xml:space="preserve">   - Write the date you are using in imagery_date (format YYYY-MM, e.g. 2025-06).</t>
        </is>
      </c>
    </row>
    <row r="25">
      <c r="A25" t="inlineStr">
        <is>
          <t>4. Look around:</t>
        </is>
      </c>
    </row>
    <row r="26">
      <c r="A26" t="inlineStr">
        <is>
          <t xml:space="preserve">   - Drag the picture left/right with the mouse to turn the camera. Or press the left/right arrow keys.</t>
        </is>
      </c>
    </row>
    <row r="27">
      <c r="A27" t="inlineStr">
        <is>
          <t xml:space="preserve">   - Scroll the mouse wheel (or press + / -) to zoom in on a sign so you can read it.</t>
        </is>
      </c>
    </row>
    <row r="28">
      <c r="A28" t="inlineStr">
        <is>
          <t xml:space="preserve">   - To move along the road, click the white arrows painted on the road, or click a spot farther down the road, or press the up arrow key (forward) / down arrow key (back).</t>
        </is>
      </c>
    </row>
    <row r="29">
      <c r="A29" t="inlineStr">
        <is>
          <t>5. Travel the segment in direction 1: turn to face along the road toward to_cross_street and move forward until you reach it (or until you find a speed limit sign for this road).</t>
        </is>
      </c>
    </row>
    <row r="30">
      <c r="A30" t="inlineStr">
        <is>
          <t>6. Travel in direction 2: turn around (drag 180 degrees) and go back toward from_cross_street, past your starting point, until you reach it. Signs for each direction are on that direction's right-hand side, so you must check both ways.</t>
        </is>
      </c>
    </row>
    <row r="31">
      <c r="A31" t="inlineStr">
        <is>
          <t>7. Where to look: speed limit signs are usually just after an intersection, on the RIGHT side of the road, at roughly head-to-roof height of a car. Also check the median on divided roads. Zoom in to read the number.</t>
        </is>
      </c>
    </row>
    <row r="32">
      <c r="A32" t="inlineStr">
        <is>
          <t>8. A valid sign is a white rectangle with black text "SPEED LIMIT" and a number (e.g. "SPEED LIMIT 25"). It must face traffic on road_name (not on a side street).</t>
        </is>
      </c>
    </row>
    <row r="33">
      <c r="A33" t="inlineStr"/>
    </row>
    <row r="34">
      <c r="A34" t="inlineStr">
        <is>
          <t>## What does NOT count</t>
        </is>
      </c>
    </row>
    <row r="35">
      <c r="A35" t="inlineStr">
        <is>
          <t>- School zone signs: "SPEED LIMIT 25 WHEN CHILDREN ARE PRESENT" or with "SCHOOL" on top. Note them in notes, but do not use them as the posted limit.</t>
        </is>
      </c>
    </row>
    <row r="36">
      <c r="A36" t="inlineStr">
        <is>
          <t>- Yellow advisory signs (diamond or yellow square, curve arrows, "25 MPH" under a curve symbol, "SLOW"). These are advisory, not limits.</t>
        </is>
      </c>
    </row>
    <row r="37">
      <c r="A37" t="inlineStr">
        <is>
          <t>- Signs on a different road, including signs on a cross street visible from the intersection, or on a freeway ramp.</t>
        </is>
      </c>
    </row>
    <row r="38">
      <c r="A38" t="inlineStr">
        <is>
          <t>- "Minimum speed", truck speed, construction "work zone" temporary signs, or speed feedback radar displays ("YOUR SPEED").</t>
        </is>
      </c>
    </row>
    <row r="39">
      <c r="A39" t="inlineStr">
        <is>
          <t>- Painted numbers on the pavement alone (note them, but they are not a sign).</t>
        </is>
      </c>
    </row>
    <row r="40">
      <c r="A40" t="inlineStr"/>
    </row>
    <row r="41">
      <c r="A41" t="inlineStr">
        <is>
          <t>## If you find no sign</t>
        </is>
      </c>
    </row>
    <row r="42">
      <c r="A42" t="inlineStr">
        <is>
          <t>- Set posted_speed_seen_mph empty, status = "can't tell".</t>
        </is>
      </c>
    </row>
    <row r="43">
      <c r="A43" t="inlineStr">
        <is>
          <t>- In sign_location_note write the nearest speed limit sign you DID see and where (e.g. "nearest sign: 30 on Coast Hwy at Elm, not on this road" or "none seen between X and Y").</t>
        </is>
      </c>
    </row>
    <row r="44">
      <c r="A44" t="inlineStr">
        <is>
          <t>- Do not assume 25 because it looks residential. Never guess.</t>
        </is>
      </c>
    </row>
    <row r="45">
      <c r="A45" t="inlineStr"/>
    </row>
    <row r="46">
      <c r="A46" t="inlineStr">
        <is>
          <t>## Bonus: golf cart / NEV signs</t>
        </is>
      </c>
    </row>
    <row r="47">
      <c r="A47" t="inlineStr">
        <is>
          <t>If you see signs like "GOLF CART CROSSING", "NEV ROUTE", "LSV", a golf cart symbol, or "No golf carts", write exactly what it says and where in notes. These are very valuable.</t>
        </is>
      </c>
    </row>
    <row r="48">
      <c r="A48" t="inlineStr"/>
    </row>
    <row r="49">
      <c r="A49" t="inlineStr">
        <is>
          <t>## How to fill each column</t>
        </is>
      </c>
    </row>
    <row r="50">
      <c r="A50" t="inlineStr">
        <is>
          <t>- posted_speed_seen_mph: the number on the valid sign, digits only (e.g. 25). If both directions show different numbers, put the lower one here and explain in notes. Empty if no sign.</t>
        </is>
      </c>
    </row>
    <row r="51">
      <c r="A51" t="inlineStr">
        <is>
          <t>- sign_location_note: where the sign is: direction of travel and nearest cross street, e.g. "NB, right side, 50 ft past Elm Ave". If signs seen both directions, note both.</t>
        </is>
      </c>
    </row>
    <row r="52">
      <c r="A52" t="inlineStr">
        <is>
          <t>- imagery_date: date of the Street View image you read the sign in, YYYY-MM.</t>
        </is>
      </c>
    </row>
    <row r="53">
      <c r="A53" t="inlineStr">
        <is>
          <t>- confidence: high = clearly readable sign on this road, recent imagery (within ~3 years); medium = readable but older imagery, or only seen in one direction; low = blurry, partly hidden, or unsure it's for this road.</t>
        </is>
      </c>
    </row>
    <row r="54">
      <c r="A54" t="inlineStr">
        <is>
          <t>- status: done = you recorded a valid sign; can't tell = no valid sign / no imagery / over 5 minutes. Leave "pending" only if you haven't looked yet.</t>
        </is>
      </c>
    </row>
    <row r="55">
      <c r="A55" t="inlineStr">
        <is>
          <t>- checker_initials: your initials.</t>
        </is>
      </c>
    </row>
    <row r="56">
      <c r="A56" t="inlineStr">
        <is>
          <t>- notes: anything else: school zones, conflicting signs, golf cart signs, the map pin being on the wrong road, the road looking closed/private.</t>
        </is>
      </c>
    </row>
    <row r="57">
      <c r="A57" t="inlineStr">
        <is>
          <t>- Do not edit columns check_id through map_link. If one looks wrong (wrong road name, wrong place), say so in notes.</t>
        </is>
      </c>
    </row>
    <row r="58">
      <c r="A58" t="inlineStr"/>
    </row>
    <row r="59">
      <c r="A59" t="inlineStr">
        <is>
          <t>## Checklist per row (quick version)</t>
        </is>
      </c>
    </row>
    <row r="60">
      <c r="A60" t="inlineStr">
        <is>
          <t>1. Initials in. 2. Open street_view_link. 3. Confirm road name. 4. Newest imagery, write date. 5. Drive to_cross_street direction, look right. 6. Turn around, drive to from_cross_street, look right. 7. Zoom, read sign. 8. Skip non-counting signs. 9. Fill posted_speed_seen_mph, sign_location_note, confidence, status, notes. 10. Over 5 min? can't tell + note, move on.</t>
        </is>
      </c>
    </row>
    <row r="61">
      <c r="A61" t="inlineStr"/>
    </row>
    <row r="62">
      <c r="A62" t="inlineStr">
        <is>
          <t>## How this scales to 10,000 roads</t>
        </is>
      </c>
    </row>
    <row r="63">
      <c r="A63" t="inlineStr">
        <is>
          <t>- Same columns, same rules. New roads are added in batches, one batch per city (e.g. 500-1,000 rows), so a checker can stay in one area.</t>
        </is>
      </c>
    </row>
    <row r="64">
      <c r="A64" t="inlineStr">
        <is>
          <t>- check_id prefix is the city code (OCN Oceanside, CBD Carlsbad, ENC Encinitas, SOL Solana Beach, DMR Del Mar, LJA La Jolla, PBC Pacific Beach, MBC Mission Beach, OBP Ocean Beach/Point Loma, COR Coronado, IMB Imperial Beach) plus a number, so IDs never clash.</t>
        </is>
      </c>
    </row>
    <row r="65">
      <c r="A65" t="inlineStr">
        <is>
          <t>- For two-source agreement (the plan requires two agreeing sources before a popular-route segment shows as verified), the sheet gets second_checker_initials and second_posted_speed_mph columns. A different person re-checks a row without looking at the first answer; the row is verified only when both match. The Summary tab tracks done, mismatches against our map, and percent 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s>
  <sheetData>
    <row r="1">
      <c r="A1" s="3" t="inlineStr">
        <is>
          <t>metric</t>
        </is>
      </c>
      <c r="B1" s="3" t="inlineStr">
        <is>
          <t>value</t>
        </is>
      </c>
    </row>
    <row r="2">
      <c r="A2" t="inlineStr">
        <is>
          <t>total roads</t>
        </is>
      </c>
      <c r="B2">
        <f>COUNTA(Roads!A2:A101)</f>
        <v/>
      </c>
    </row>
    <row r="3">
      <c r="A3" t="inlineStr">
        <is>
          <t>done</t>
        </is>
      </c>
      <c r="B3">
        <f>COUNTIF(Roads!P2:P101,"done")</f>
        <v/>
      </c>
    </row>
    <row r="4">
      <c r="A4" t="inlineStr">
        <is>
          <t>can't tell</t>
        </is>
      </c>
      <c r="B4">
        <f>COUNTIF(Roads!P2:P101,"can't tell")</f>
        <v/>
      </c>
    </row>
    <row r="5">
      <c r="A5" t="inlineStr">
        <is>
          <t>pending</t>
        </is>
      </c>
      <c r="B5">
        <f>COUNTIF(Roads!P2:P101,"pending")</f>
        <v/>
      </c>
    </row>
    <row r="6">
      <c r="A6" t="inlineStr">
        <is>
          <t>percent done</t>
        </is>
      </c>
      <c r="B6" s="4">
        <f>IF(B2=0,0,(B3+B4)/B2)</f>
        <v/>
      </c>
    </row>
    <row r="7">
      <c r="A7" t="inlineStr">
        <is>
          <t>compared (sign read and we have a GIS/survey value)</t>
        </is>
      </c>
      <c r="B7">
        <f>COUNTIF(Roads!V2:V101,"Y")+COUNTIF(Roads!V2:V101,"N")</f>
        <v/>
      </c>
    </row>
    <row r="8">
      <c r="A8" t="inlineStr">
        <is>
          <t>agreed (Y)</t>
        </is>
      </c>
      <c r="B8">
        <f>COUNTIF(Roads!V2:V101,"Y")</f>
        <v/>
      </c>
    </row>
    <row r="9">
      <c r="A9" t="inlineStr">
        <is>
          <t>disagreed (N)</t>
        </is>
      </c>
      <c r="B9">
        <f>COUNTIF(Roads!V2:V101,"N")</f>
        <v/>
      </c>
    </row>
    <row r="10">
      <c r="A10" t="inlineStr">
        <is>
          <t>% agreed</t>
        </is>
      </c>
      <c r="B10" s="4">
        <f>IF(B7=0,"",B8/B7)</f>
        <v/>
      </c>
    </row>
    <row r="11">
      <c r="A11" t="inlineStr">
        <is>
          <t>mismatched vs our map (done rows)</t>
        </is>
      </c>
      <c r="B11">
        <f>SUMPRODUCT((Roads!P2:P101="done")*(Roads!L2:L101&lt;&gt;"")*(Roads!L2:L101&lt;&gt;Roads!G2:G101))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2026-10-18T15:29:42Z</dcterms:created>
  <dcterms:modified xmlns:dcterms="http://purl.org/dc/terms/" xmlns:xsi="http://www.w3.org/2001/XMLSchema-instance" xsi:type="dcterms:W3CDTF">2026-10-18T15:29:42Z</dcterms:modified>
</cp:coreProperties>
</file>