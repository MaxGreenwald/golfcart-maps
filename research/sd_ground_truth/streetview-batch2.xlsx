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ads" sheetId="1" state="visible" r:id="rId1"/>
    <sheet xmlns:r="http://schemas.openxmlformats.org/officeDocument/2006/relationships" name="How to check"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4">
    <fill>
      <patternFill/>
    </fill>
    <fill>
      <patternFill patternType="gray125"/>
    </fill>
    <fill>
      <patternFill patternType="solid">
        <fgColor rgb="00FFF4CC"/>
      </patternFill>
    </fill>
    <fill>
      <patternFill patternType="solid">
        <fgColor rgb="00E6FBF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3"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4" customWidth="1" min="3" max="3"/>
    <col width="20" customWidth="1" min="4" max="4"/>
    <col width="20" customWidth="1" min="5" max="5"/>
    <col width="18" customWidth="1" min="10" max="10"/>
    <col width="14" customWidth="1" min="11" max="11"/>
    <col width="30" customWidth="1" min="18" max="18"/>
    <col width="50" customWidth="1" min="24" max="24"/>
  </cols>
  <sheetData>
    <row r="1">
      <c r="A1" s="1" t="inlineStr">
        <is>
          <t>check_id</t>
        </is>
      </c>
      <c r="B1" s="1" t="inlineStr">
        <is>
          <t>city</t>
        </is>
      </c>
      <c r="C1" s="1" t="inlineStr">
        <is>
          <t>road_name</t>
        </is>
      </c>
      <c r="D1" s="1" t="inlineStr">
        <is>
          <t>from_cross_street</t>
        </is>
      </c>
      <c r="E1" s="1" t="inlineStr">
        <is>
          <t>to_cross_street</t>
        </is>
      </c>
      <c r="F1" s="1" t="inlineStr">
        <is>
          <t>osm_way_id</t>
        </is>
      </c>
      <c r="G1" s="1" t="inlineStr">
        <is>
          <t>our_speed_mph</t>
        </is>
      </c>
      <c r="H1" s="1" t="inlineStr">
        <is>
          <t>our_speed_source</t>
        </is>
      </c>
      <c r="I1" s="1" t="inlineStr">
        <is>
          <t>cart_legal_per_map</t>
        </is>
      </c>
      <c r="J1" s="1" t="inlineStr">
        <is>
          <t>street_view_link</t>
        </is>
      </c>
      <c r="K1" s="1" t="inlineStr">
        <is>
          <t>map_link</t>
        </is>
      </c>
      <c r="L1" s="2" t="inlineStr">
        <is>
          <t>posted_speed_seen_mph</t>
        </is>
      </c>
      <c r="M1" s="2" t="inlineStr">
        <is>
          <t>sign_location_note</t>
        </is>
      </c>
      <c r="N1" s="2" t="inlineStr">
        <is>
          <t>imagery_date</t>
        </is>
      </c>
      <c r="O1" s="2" t="inlineStr">
        <is>
          <t>confidence</t>
        </is>
      </c>
      <c r="P1" s="2" t="inlineStr">
        <is>
          <t>status</t>
        </is>
      </c>
      <c r="Q1" s="2" t="inlineStr">
        <is>
          <t>checker_initials</t>
        </is>
      </c>
      <c r="R1" s="2" t="inlineStr">
        <is>
          <t>notes</t>
        </is>
      </c>
      <c r="S1" s="1" t="inlineStr">
        <is>
          <t>our_gis_survey_mph</t>
        </is>
      </c>
      <c r="T1" s="1" t="inlineStr">
        <is>
          <t>gis_survey_source</t>
        </is>
      </c>
      <c r="U1" s="1" t="inlineStr">
        <is>
          <t>source_link</t>
        </is>
      </c>
      <c r="V1" s="1" t="inlineStr">
        <is>
          <t>agree_YN</t>
        </is>
      </c>
      <c r="W1" s="1" t="inlineStr">
        <is>
          <t>resolved_mph</t>
        </is>
      </c>
      <c r="X1" s="1" t="inlineStr">
        <is>
          <t>why_in_batch</t>
        </is>
      </c>
      <c r="Y1" s="1" t="inlineStr">
        <is>
          <t>routes_using</t>
        </is>
      </c>
      <c r="Z1" s="1" t="inlineStr">
        <is>
          <t>length_m</t>
        </is>
      </c>
      <c r="AA1" s="1" t="inlineStr">
        <is>
          <t>region</t>
        </is>
      </c>
      <c r="AB1" s="1" t="inlineStr">
        <is>
          <t>gcm_ref</t>
        </is>
      </c>
    </row>
    <row r="2">
      <c r="A2" t="inlineStr">
        <is>
          <t>SD-B2-001</t>
        </is>
      </c>
      <c r="B2" t="inlineStr">
        <is>
          <t>San Diego area</t>
        </is>
      </c>
      <c r="C2" t="inlineStr">
        <is>
          <t>7th Street</t>
        </is>
      </c>
      <c r="D2" t="inlineStr">
        <is>
          <t>Palm Avenue</t>
        </is>
      </c>
      <c r="E2" t="inlineStr">
        <is>
          <t>Silver Strand Boulevard</t>
        </is>
      </c>
      <c r="F2" t="inlineStr">
        <is>
          <t>1347742299</t>
        </is>
      </c>
      <c r="G2" t="inlineStr"/>
      <c r="H2" t="inlineStr">
        <is>
          <t>inferred</t>
        </is>
      </c>
      <c r="I2" t="inlineStr">
        <is>
          <t>no</t>
        </is>
      </c>
      <c r="J2" t="inlineStr">
        <is>
          <t>https://www.google.com/maps/@?api=1&amp;map_action=pano&amp;viewpoint=32.584135,-117.118030&amp;heading=180</t>
        </is>
      </c>
      <c r="K2" t="inlineStr">
        <is>
          <t>https://www.google.com/maps/search/?api=1&amp;query=32.584135,-117.118030</t>
        </is>
      </c>
      <c r="L2" t="inlineStr"/>
      <c r="M2" t="inlineStr"/>
      <c r="N2" t="inlineStr"/>
      <c r="O2" t="inlineStr"/>
      <c r="P2" t="inlineStr">
        <is>
          <t>pending</t>
        </is>
      </c>
      <c r="Q2" t="inlineStr"/>
      <c r="R2" t="inlineStr"/>
      <c r="S2" t="inlineStr"/>
      <c r="T2" t="inlineStr"/>
      <c r="U2" t="inlineStr"/>
      <c r="V2">
        <f>IF(OR(L2="",S2=""),"",IF(VALUE(L2)=VALUE(S2),"Y","N"))</f>
        <v/>
      </c>
      <c r="W2">
        <f>IF(V2="Y",S2,"")</f>
        <v/>
      </c>
      <c r="X2" t="inlineStr">
        <is>
          <t>RED ISLAND: 77 m of 7th Street at no limit between 25 mph on both sides (gap); is the posted limit really higher here?</t>
        </is>
      </c>
      <c r="Y2" t="inlineStr"/>
      <c r="Z2" t="n">
        <v>77</v>
      </c>
      <c r="AA2" t="inlineStr">
        <is>
          <t>sd</t>
        </is>
      </c>
      <c r="AB2" t="inlineStr">
        <is>
          <t>sd|32.58414,-117.11803</t>
        </is>
      </c>
    </row>
    <row r="3">
      <c r="A3" t="inlineStr">
        <is>
          <t>SD-B2-002</t>
        </is>
      </c>
      <c r="B3" t="inlineStr">
        <is>
          <t>San Diego area</t>
        </is>
      </c>
      <c r="C3" t="inlineStr">
        <is>
          <t>West Plaza Boulevard</t>
        </is>
      </c>
      <c r="D3" t="inlineStr">
        <is>
          <t>(see map link)</t>
        </is>
      </c>
      <c r="E3" t="inlineStr">
        <is>
          <t>Coolidge Avenue</t>
        </is>
      </c>
      <c r="F3" t="inlineStr">
        <is>
          <t>1346159098</t>
        </is>
      </c>
      <c r="G3" t="inlineStr"/>
      <c r="H3" t="inlineStr">
        <is>
          <t>inferred</t>
        </is>
      </c>
      <c r="I3" t="inlineStr">
        <is>
          <t>no</t>
        </is>
      </c>
      <c r="J3" t="inlineStr">
        <is>
          <t>https://www.google.com/maps/@?api=1&amp;map_action=pano&amp;viewpoint=32.673290,-117.109105&amp;heading=71</t>
        </is>
      </c>
      <c r="K3" t="inlineStr">
        <is>
          <t>https://www.google.com/maps/search/?api=1&amp;query=32.673290,-117.109105</t>
        </is>
      </c>
      <c r="L3" t="inlineStr"/>
      <c r="M3" t="inlineStr"/>
      <c r="N3" t="inlineStr"/>
      <c r="O3" t="inlineStr"/>
      <c r="P3" t="inlineStr">
        <is>
          <t>pending</t>
        </is>
      </c>
      <c r="Q3" t="inlineStr"/>
      <c r="R3" t="inlineStr"/>
      <c r="S3" t="inlineStr"/>
      <c r="T3" t="inlineStr"/>
      <c r="U3" t="inlineStr"/>
      <c r="V3">
        <f>IF(OR(L3="",S3=""),"",IF(VALUE(L3)=VALUE(S3),"Y","N"))</f>
        <v/>
      </c>
      <c r="W3">
        <f>IF(V3="Y",S3,"")</f>
        <v/>
      </c>
      <c r="X3" t="inlineStr">
        <is>
          <t>RED ISLAND: 271 m of West Plaza Boulevard at no limit between 25 mph on both sides (gap); is the posted limit really higher here?</t>
        </is>
      </c>
      <c r="Y3" t="inlineStr"/>
      <c r="Z3" t="n">
        <v>271</v>
      </c>
      <c r="AA3" t="inlineStr">
        <is>
          <t>sd</t>
        </is>
      </c>
      <c r="AB3" t="inlineStr">
        <is>
          <t>sd|32.67329,-117.10910</t>
        </is>
      </c>
    </row>
    <row r="4">
      <c r="A4" t="inlineStr">
        <is>
          <t>SD-B2-003</t>
        </is>
      </c>
      <c r="B4" t="inlineStr">
        <is>
          <t>San Diego area</t>
        </is>
      </c>
      <c r="C4" t="inlineStr">
        <is>
          <t>Ocean Boulevard</t>
        </is>
      </c>
      <c r="D4" t="inlineStr">
        <is>
          <t>Alameda Boulevard</t>
        </is>
      </c>
      <c r="E4" t="inlineStr">
        <is>
          <t>R.H. Dana Place</t>
        </is>
      </c>
      <c r="F4" t="inlineStr">
        <is>
          <t>5959682</t>
        </is>
      </c>
      <c r="G4" t="inlineStr"/>
      <c r="H4" t="inlineStr">
        <is>
          <t>inferred</t>
        </is>
      </c>
      <c r="I4" t="inlineStr">
        <is>
          <t>no</t>
        </is>
      </c>
      <c r="J4" t="inlineStr">
        <is>
          <t>https://www.google.com/maps/@?api=1&amp;map_action=pano&amp;viewpoint=32.682930,-117.182105&amp;heading=122</t>
        </is>
      </c>
      <c r="K4" t="inlineStr">
        <is>
          <t>https://www.google.com/maps/search/?api=1&amp;query=32.682930,-117.182105</t>
        </is>
      </c>
      <c r="L4" t="inlineStr"/>
      <c r="M4" t="inlineStr"/>
      <c r="N4" t="inlineStr"/>
      <c r="O4" t="inlineStr"/>
      <c r="P4" t="inlineStr">
        <is>
          <t>pending</t>
        </is>
      </c>
      <c r="Q4" t="inlineStr"/>
      <c r="R4" t="inlineStr"/>
      <c r="S4" t="inlineStr"/>
      <c r="T4" t="inlineStr"/>
      <c r="U4" t="inlineStr"/>
      <c r="V4">
        <f>IF(OR(L4="",S4=""),"",IF(VALUE(L4)=VALUE(S4),"Y","N"))</f>
        <v/>
      </c>
      <c r="W4">
        <f>IF(V4="Y",S4,"")</f>
        <v/>
      </c>
      <c r="X4" t="inlineStr">
        <is>
          <t>RED ISLAND: 465 m of Ocean Boulevard at no limit between 25 mph on both sides (gap); is the posted limit really higher here?</t>
        </is>
      </c>
      <c r="Y4" t="inlineStr"/>
      <c r="Z4" t="n">
        <v>465</v>
      </c>
      <c r="AA4" t="inlineStr">
        <is>
          <t>sd</t>
        </is>
      </c>
      <c r="AB4" t="inlineStr">
        <is>
          <t>sd|32.68293,-117.18211</t>
        </is>
      </c>
    </row>
    <row r="5">
      <c r="A5" t="inlineStr">
        <is>
          <t>SD-B2-004</t>
        </is>
      </c>
      <c r="B5" t="inlineStr">
        <is>
          <t>San Diego area</t>
        </is>
      </c>
      <c r="C5" t="inlineStr">
        <is>
          <t>Osborn Street</t>
        </is>
      </c>
      <c r="D5" t="inlineStr">
        <is>
          <t>Division Street</t>
        </is>
      </c>
      <c r="E5" t="inlineStr">
        <is>
          <t>East 1st Street</t>
        </is>
      </c>
      <c r="F5" t="inlineStr"/>
      <c r="G5" t="inlineStr"/>
      <c r="H5" t="inlineStr">
        <is>
          <t>inferred</t>
        </is>
      </c>
      <c r="I5" t="inlineStr">
        <is>
          <t>no</t>
        </is>
      </c>
      <c r="J5" t="inlineStr">
        <is>
          <t>https://www.google.com/maps/@?api=1&amp;map_action=pano&amp;viewpoint=32.682925,-117.109700&amp;heading=161</t>
        </is>
      </c>
      <c r="K5" t="inlineStr">
        <is>
          <t>https://www.google.com/maps/search/?api=1&amp;query=32.682925,-117.109700</t>
        </is>
      </c>
      <c r="L5" t="inlineStr"/>
      <c r="M5" t="inlineStr"/>
      <c r="N5" t="inlineStr"/>
      <c r="O5" t="inlineStr"/>
      <c r="P5" t="inlineStr">
        <is>
          <t>pending</t>
        </is>
      </c>
      <c r="Q5" t="inlineStr"/>
      <c r="R5" t="inlineStr"/>
      <c r="S5" t="inlineStr"/>
      <c r="T5" t="inlineStr"/>
      <c r="U5" t="inlineStr"/>
      <c r="V5">
        <f>IF(OR(L5="",S5=""),"",IF(VALUE(L5)=VALUE(S5),"Y","N"))</f>
        <v/>
      </c>
      <c r="W5">
        <f>IF(V5="Y",S5,"")</f>
        <v/>
      </c>
      <c r="X5" t="inlineStr">
        <is>
          <t>RED ISLAND: 249 m of Osborn Street at no limit between 25 mph on both sides (gap); is the posted limit really higher here?</t>
        </is>
      </c>
      <c r="Y5" t="inlineStr"/>
      <c r="Z5" t="n">
        <v>249</v>
      </c>
      <c r="AA5" t="inlineStr">
        <is>
          <t>sd</t>
        </is>
      </c>
      <c r="AB5" t="inlineStr">
        <is>
          <t>sd|32.68292,-117.10970</t>
        </is>
      </c>
    </row>
    <row r="6">
      <c r="A6" t="inlineStr">
        <is>
          <t>SD-B2-005</t>
        </is>
      </c>
      <c r="B6" t="inlineStr">
        <is>
          <t>San Diego area</t>
        </is>
      </c>
      <c r="C6" t="inlineStr">
        <is>
          <t>West 18th Street</t>
        </is>
      </c>
      <c r="D6" t="inlineStr">
        <is>
          <t>(see map link)</t>
        </is>
      </c>
      <c r="E6" t="inlineStr">
        <is>
          <t>West 19th Street</t>
        </is>
      </c>
      <c r="F6" t="inlineStr">
        <is>
          <t>136517093</t>
        </is>
      </c>
      <c r="G6" t="inlineStr"/>
      <c r="H6" t="inlineStr">
        <is>
          <t>inferred</t>
        </is>
      </c>
      <c r="I6" t="inlineStr">
        <is>
          <t>no</t>
        </is>
      </c>
      <c r="J6" t="inlineStr">
        <is>
          <t>https://www.google.com/maps/@?api=1&amp;map_action=pano&amp;viewpoint=32.665370,-117.110165&amp;heading=251</t>
        </is>
      </c>
      <c r="K6" t="inlineStr">
        <is>
          <t>https://www.google.com/maps/search/?api=1&amp;query=32.665370,-117.110165</t>
        </is>
      </c>
      <c r="L6" t="inlineStr"/>
      <c r="M6" t="inlineStr"/>
      <c r="N6" t="inlineStr"/>
      <c r="O6" t="inlineStr"/>
      <c r="P6" t="inlineStr">
        <is>
          <t>pending</t>
        </is>
      </c>
      <c r="Q6" t="inlineStr"/>
      <c r="R6" t="inlineStr"/>
      <c r="S6" t="inlineStr"/>
      <c r="T6" t="inlineStr"/>
      <c r="U6" t="inlineStr"/>
      <c r="V6">
        <f>IF(OR(L6="",S6=""),"",IF(VALUE(L6)=VALUE(S6),"Y","N"))</f>
        <v/>
      </c>
      <c r="W6">
        <f>IF(V6="Y",S6,"")</f>
        <v/>
      </c>
      <c r="X6" t="inlineStr">
        <is>
          <t>RED ISLAND: 303 m of West 18th Street at no limit between 25 mph on both sides (gap); is the posted limit really higher here?</t>
        </is>
      </c>
      <c r="Y6" t="inlineStr"/>
      <c r="Z6" t="n">
        <v>303</v>
      </c>
      <c r="AA6" t="inlineStr">
        <is>
          <t>sd</t>
        </is>
      </c>
      <c r="AB6" t="inlineStr">
        <is>
          <t>sd|32.66537,-117.11016</t>
        </is>
      </c>
    </row>
    <row r="7">
      <c r="A7" t="inlineStr">
        <is>
          <t>SD-B2-006</t>
        </is>
      </c>
      <c r="B7" t="inlineStr">
        <is>
          <t>San Diego area</t>
        </is>
      </c>
      <c r="C7" t="inlineStr">
        <is>
          <t>Civic Center Drive</t>
        </is>
      </c>
      <c r="D7" t="inlineStr">
        <is>
          <t>East Harbor Drive</t>
        </is>
      </c>
      <c r="E7" t="inlineStr">
        <is>
          <t>Cleveland Avenue</t>
        </is>
      </c>
      <c r="F7" t="inlineStr">
        <is>
          <t>151692017</t>
        </is>
      </c>
      <c r="G7" t="inlineStr"/>
      <c r="H7" t="inlineStr">
        <is>
          <t>inferred</t>
        </is>
      </c>
      <c r="I7" t="inlineStr">
        <is>
          <t>no</t>
        </is>
      </c>
      <c r="J7" t="inlineStr">
        <is>
          <t>https://www.google.com/maps/@?api=1&amp;map_action=pano&amp;viewpoint=32.669305,-117.113145&amp;heading=253</t>
        </is>
      </c>
      <c r="K7" t="inlineStr">
        <is>
          <t>https://www.google.com/maps/search/?api=1&amp;query=32.669305,-117.113145</t>
        </is>
      </c>
      <c r="L7" t="inlineStr"/>
      <c r="M7" t="inlineStr"/>
      <c r="N7" t="inlineStr"/>
      <c r="O7" t="inlineStr"/>
      <c r="P7" t="inlineStr">
        <is>
          <t>pending</t>
        </is>
      </c>
      <c r="Q7" t="inlineStr"/>
      <c r="R7" t="inlineStr"/>
      <c r="S7" t="inlineStr"/>
      <c r="T7" t="inlineStr"/>
      <c r="U7" t="inlineStr"/>
      <c r="V7">
        <f>IF(OR(L7="",S7=""),"",IF(VALUE(L7)=VALUE(S7),"Y","N"))</f>
        <v/>
      </c>
      <c r="W7">
        <f>IF(V7="Y",S7,"")</f>
        <v/>
      </c>
      <c r="X7" t="inlineStr">
        <is>
          <t>RED ISLAND: 106 m of Civic Center Drive at no limit between 25/30 mph on both sides (gap); is the posted limit really higher here?</t>
        </is>
      </c>
      <c r="Y7" t="inlineStr"/>
      <c r="Z7" t="n">
        <v>106</v>
      </c>
      <c r="AA7" t="inlineStr">
        <is>
          <t>sd</t>
        </is>
      </c>
      <c r="AB7" t="inlineStr">
        <is>
          <t>sd|32.66931,-117.11315</t>
        </is>
      </c>
    </row>
    <row r="8">
      <c r="A8" t="inlineStr">
        <is>
          <t>SD-B2-007</t>
        </is>
      </c>
      <c r="B8" t="inlineStr">
        <is>
          <t>San Diego area</t>
        </is>
      </c>
      <c r="C8" t="inlineStr">
        <is>
          <t>1st Street</t>
        </is>
      </c>
      <c r="D8" t="inlineStr">
        <is>
          <t>Orange Avenue</t>
        </is>
      </c>
      <c r="E8" t="inlineStr">
        <is>
          <t>D Avenue</t>
        </is>
      </c>
      <c r="F8" t="inlineStr">
        <is>
          <t>1346399905</t>
        </is>
      </c>
      <c r="G8" t="inlineStr"/>
      <c r="H8" t="inlineStr">
        <is>
          <t>inferred</t>
        </is>
      </c>
      <c r="I8" t="inlineStr">
        <is>
          <t>no</t>
        </is>
      </c>
      <c r="J8" t="inlineStr">
        <is>
          <t>https://www.google.com/maps/@?api=1&amp;map_action=pano&amp;viewpoint=32.698100,-117.170775&amp;heading=117</t>
        </is>
      </c>
      <c r="K8" t="inlineStr">
        <is>
          <t>https://www.google.com/maps/search/?api=1&amp;query=32.698100,-117.170775</t>
        </is>
      </c>
      <c r="L8" t="inlineStr"/>
      <c r="M8" t="inlineStr"/>
      <c r="N8" t="inlineStr"/>
      <c r="O8" t="inlineStr"/>
      <c r="P8" t="inlineStr">
        <is>
          <t>pending</t>
        </is>
      </c>
      <c r="Q8" t="inlineStr"/>
      <c r="R8" t="inlineStr"/>
      <c r="S8" t="inlineStr"/>
      <c r="T8" t="inlineStr"/>
      <c r="U8" t="inlineStr"/>
      <c r="V8">
        <f>IF(OR(L8="",S8=""),"",IF(VALUE(L8)=VALUE(S8),"Y","N"))</f>
        <v/>
      </c>
      <c r="W8">
        <f>IF(V8="Y",S8,"")</f>
        <v/>
      </c>
      <c r="X8" t="inlineStr">
        <is>
          <t>RED ISLAND: 588 m of 1st Street at no limit between 25 mph on both sides (gap); is the posted limit really higher here?</t>
        </is>
      </c>
      <c r="Y8" t="inlineStr"/>
      <c r="Z8" t="n">
        <v>588</v>
      </c>
      <c r="AA8" t="inlineStr">
        <is>
          <t>sd</t>
        </is>
      </c>
      <c r="AB8" t="inlineStr">
        <is>
          <t>sd|32.69810,-117.17077</t>
        </is>
      </c>
    </row>
    <row r="9">
      <c r="A9" t="inlineStr">
        <is>
          <t>SD-B2-008</t>
        </is>
      </c>
      <c r="B9" t="inlineStr">
        <is>
          <t>San Diego area</t>
        </is>
      </c>
      <c r="C9" t="inlineStr">
        <is>
          <t>Boston Avenue</t>
        </is>
      </c>
      <c r="D9" t="inlineStr">
        <is>
          <t>South 28th Street</t>
        </is>
      </c>
      <c r="E9" t="inlineStr">
        <is>
          <t>South 29th Street</t>
        </is>
      </c>
      <c r="F9" t="inlineStr">
        <is>
          <t>1341614180</t>
        </is>
      </c>
      <c r="G9" t="inlineStr"/>
      <c r="H9" t="inlineStr">
        <is>
          <t>inferred</t>
        </is>
      </c>
      <c r="I9" t="inlineStr">
        <is>
          <t>no</t>
        </is>
      </c>
      <c r="J9" t="inlineStr">
        <is>
          <t>https://www.google.com/maps/@?api=1&amp;map_action=pano&amp;viewpoint=32.693840,-117.132485&amp;heading=90</t>
        </is>
      </c>
      <c r="K9" t="inlineStr">
        <is>
          <t>https://www.google.com/maps/search/?api=1&amp;query=32.693840,-117.132485</t>
        </is>
      </c>
      <c r="L9" t="inlineStr"/>
      <c r="M9" t="inlineStr"/>
      <c r="N9" t="inlineStr"/>
      <c r="O9" t="inlineStr"/>
      <c r="P9" t="inlineStr">
        <is>
          <t>pending</t>
        </is>
      </c>
      <c r="Q9" t="inlineStr"/>
      <c r="R9" t="inlineStr"/>
      <c r="S9" t="inlineStr"/>
      <c r="T9" t="inlineStr"/>
      <c r="U9" t="inlineStr"/>
      <c r="V9">
        <f>IF(OR(L9="",S9=""),"",IF(VALUE(L9)=VALUE(S9),"Y","N"))</f>
        <v/>
      </c>
      <c r="W9">
        <f>IF(V9="Y",S9,"")</f>
        <v/>
      </c>
      <c r="X9" t="inlineStr">
        <is>
          <t>RED ISLAND: 201 m of Boston Avenue at no limit between 25 mph on both sides (gap); is the posted limit really higher here?</t>
        </is>
      </c>
      <c r="Y9" t="inlineStr"/>
      <c r="Z9" t="n">
        <v>201</v>
      </c>
      <c r="AA9" t="inlineStr">
        <is>
          <t>sd</t>
        </is>
      </c>
      <c r="AB9" t="inlineStr">
        <is>
          <t>sd|32.69384,-117.13249</t>
        </is>
      </c>
    </row>
    <row r="10">
      <c r="A10" t="inlineStr">
        <is>
          <t>SD-B2-009</t>
        </is>
      </c>
      <c r="B10" t="inlineStr">
        <is>
          <t>San Diego area</t>
        </is>
      </c>
      <c r="C10" t="inlineStr">
        <is>
          <t>1st Street</t>
        </is>
      </c>
      <c r="D10" t="inlineStr">
        <is>
          <t>(see map link)</t>
        </is>
      </c>
      <c r="E10" t="inlineStr">
        <is>
          <t>I Avenue</t>
        </is>
      </c>
      <c r="F10" t="inlineStr">
        <is>
          <t>1526415634</t>
        </is>
      </c>
      <c r="G10" t="inlineStr"/>
      <c r="H10" t="inlineStr">
        <is>
          <t>inferred</t>
        </is>
      </c>
      <c r="I10" t="inlineStr">
        <is>
          <t>no</t>
        </is>
      </c>
      <c r="J10" t="inlineStr">
        <is>
          <t>https://www.google.com/maps/@?api=1&amp;map_action=pano&amp;viewpoint=32.700540,-117.176560&amp;heading=116</t>
        </is>
      </c>
      <c r="K10" t="inlineStr">
        <is>
          <t>https://www.google.com/maps/search/?api=1&amp;query=32.700540,-117.176560</t>
        </is>
      </c>
      <c r="L10" t="inlineStr"/>
      <c r="M10" t="inlineStr"/>
      <c r="N10" t="inlineStr"/>
      <c r="O10" t="inlineStr"/>
      <c r="P10" t="inlineStr">
        <is>
          <t>pending</t>
        </is>
      </c>
      <c r="Q10" t="inlineStr"/>
      <c r="R10" t="inlineStr"/>
      <c r="S10" t="inlineStr"/>
      <c r="T10" t="inlineStr"/>
      <c r="U10" t="inlineStr"/>
      <c r="V10">
        <f>IF(OR(L10="",S10=""),"",IF(VALUE(L10)=VALUE(S10),"Y","N"))</f>
        <v/>
      </c>
      <c r="W10">
        <f>IF(V10="Y",S10,"")</f>
        <v/>
      </c>
      <c r="X10" t="inlineStr">
        <is>
          <t>RED ISLAND: 692 m of 1st Street at no limit between 25 mph on both sides (gap); is the posted limit really higher here?</t>
        </is>
      </c>
      <c r="Y10" t="inlineStr"/>
      <c r="Z10" t="n">
        <v>692</v>
      </c>
      <c r="AA10" t="inlineStr">
        <is>
          <t>sd</t>
        </is>
      </c>
      <c r="AB10" t="inlineStr">
        <is>
          <t>sd|32.70054,-117.17656</t>
        </is>
      </c>
    </row>
    <row r="11">
      <c r="A11" t="inlineStr">
        <is>
          <t>SD-B2-010</t>
        </is>
      </c>
      <c r="B11" t="inlineStr">
        <is>
          <t>San Diego area</t>
        </is>
      </c>
      <c r="C11" t="inlineStr">
        <is>
          <t>Kettner Boulevard</t>
        </is>
      </c>
      <c r="D11" t="inlineStr">
        <is>
          <t>(see map link)</t>
        </is>
      </c>
      <c r="E11" t="inlineStr">
        <is>
          <t>Market Place</t>
        </is>
      </c>
      <c r="F11" t="inlineStr">
        <is>
          <t>1098930355</t>
        </is>
      </c>
      <c r="G11" t="n">
        <v>40</v>
      </c>
      <c r="H11" t="inlineStr">
        <is>
          <t>tag</t>
        </is>
      </c>
      <c r="I11" t="inlineStr">
        <is>
          <t>no</t>
        </is>
      </c>
      <c r="J11" t="inlineStr">
        <is>
          <t>https://www.google.com/maps/@?api=1&amp;map_action=pano&amp;viewpoint=32.710760,-117.169210&amp;heading=180</t>
        </is>
      </c>
      <c r="K11" t="inlineStr">
        <is>
          <t>https://www.google.com/maps/search/?api=1&amp;query=32.710760,-117.169210</t>
        </is>
      </c>
      <c r="L11" t="inlineStr"/>
      <c r="M11" t="inlineStr"/>
      <c r="N11" t="inlineStr"/>
      <c r="O11" t="inlineStr"/>
      <c r="P11" t="inlineStr">
        <is>
          <t>pending</t>
        </is>
      </c>
      <c r="Q11" t="inlineStr"/>
      <c r="R11" t="inlineStr"/>
      <c r="S11" t="inlineStr"/>
      <c r="T11" t="inlineStr"/>
      <c r="U11" t="inlineStr"/>
      <c r="V11">
        <f>IF(OR(L11="",S11=""),"",IF(VALUE(L11)=VALUE(S11),"Y","N"))</f>
        <v/>
      </c>
      <c r="W11">
        <f>IF(V11="Y",S11,"")</f>
        <v/>
      </c>
      <c r="X11" t="inlineStr">
        <is>
          <t>RED ISLAND: 461 m of Kettner Boulevard at 40 mph between 15/25 mph on both sides (single); is the posted limit really higher here?</t>
        </is>
      </c>
      <c r="Y11" t="inlineStr"/>
      <c r="Z11" t="n">
        <v>461</v>
      </c>
      <c r="AA11" t="inlineStr">
        <is>
          <t>sd</t>
        </is>
      </c>
      <c r="AB11" t="inlineStr">
        <is>
          <t>sd|32.71076,-117.16921</t>
        </is>
      </c>
    </row>
    <row r="12">
      <c r="A12" t="inlineStr">
        <is>
          <t>SD-B2-011</t>
        </is>
      </c>
      <c r="B12" t="inlineStr">
        <is>
          <t>San Diego area</t>
        </is>
      </c>
      <c r="C12" t="inlineStr">
        <is>
          <t>North 19th Street</t>
        </is>
      </c>
      <c r="D12" t="inlineStr">
        <is>
          <t>East Island Avenue</t>
        </is>
      </c>
      <c r="E12" t="inlineStr">
        <is>
          <t>Market Street</t>
        </is>
      </c>
      <c r="F12" t="inlineStr"/>
      <c r="G12" t="inlineStr"/>
      <c r="H12" t="inlineStr">
        <is>
          <t>inferred</t>
        </is>
      </c>
      <c r="I12" t="inlineStr">
        <is>
          <t>no</t>
        </is>
      </c>
      <c r="J12" t="inlineStr">
        <is>
          <t>https://www.google.com/maps/@?api=1&amp;map_action=pano&amp;viewpoint=32.711000,-117.146710&amp;heading=0</t>
        </is>
      </c>
      <c r="K12" t="inlineStr">
        <is>
          <t>https://www.google.com/maps/search/?api=1&amp;query=32.711000,-117.146710</t>
        </is>
      </c>
      <c r="L12" t="inlineStr"/>
      <c r="M12" t="inlineStr"/>
      <c r="N12" t="inlineStr"/>
      <c r="O12" t="inlineStr"/>
      <c r="P12" t="inlineStr">
        <is>
          <t>pending</t>
        </is>
      </c>
      <c r="Q12" t="inlineStr"/>
      <c r="R12" t="inlineStr"/>
      <c r="S12" t="inlineStr"/>
      <c r="T12" t="inlineStr"/>
      <c r="U12" t="inlineStr"/>
      <c r="V12">
        <f>IF(OR(L12="",S12=""),"",IF(VALUE(L12)=VALUE(S12),"Y","N"))</f>
        <v/>
      </c>
      <c r="W12">
        <f>IF(V12="Y",S12,"")</f>
        <v/>
      </c>
      <c r="X12" t="inlineStr">
        <is>
          <t>RED ISLAND: 299 m of North 19th Street at no limit between 25 mph on both sides (gap); is the posted limit really higher here?</t>
        </is>
      </c>
      <c r="Y12" t="inlineStr"/>
      <c r="Z12" t="n">
        <v>299</v>
      </c>
      <c r="AA12" t="inlineStr">
        <is>
          <t>sd</t>
        </is>
      </c>
      <c r="AB12" t="inlineStr">
        <is>
          <t>sd|32.71100,-117.14671</t>
        </is>
      </c>
    </row>
    <row r="13">
      <c r="A13" t="inlineStr">
        <is>
          <t>SD-B2-012</t>
        </is>
      </c>
      <c r="B13" t="inlineStr">
        <is>
          <t>San Diego area</t>
        </is>
      </c>
      <c r="C13" t="inlineStr">
        <is>
          <t>Lincoln Avenue</t>
        </is>
      </c>
      <c r="D13" t="inlineStr">
        <is>
          <t>(see map link)</t>
        </is>
      </c>
      <c r="E13" t="inlineStr">
        <is>
          <t>(see map link)</t>
        </is>
      </c>
      <c r="F13" t="inlineStr">
        <is>
          <t>25298033</t>
        </is>
      </c>
      <c r="G13" t="inlineStr"/>
      <c r="H13" t="inlineStr">
        <is>
          <t>inferred</t>
        </is>
      </c>
      <c r="I13" t="inlineStr">
        <is>
          <t>no</t>
        </is>
      </c>
      <c r="J13" t="inlineStr">
        <is>
          <t>https://www.google.com/maps/@?api=1&amp;map_action=pano&amp;viewpoint=32.750370,-117.123270&amp;heading=90</t>
        </is>
      </c>
      <c r="K13" t="inlineStr">
        <is>
          <t>https://www.google.com/maps/search/?api=1&amp;query=32.750370,-117.123270</t>
        </is>
      </c>
      <c r="L13" t="inlineStr"/>
      <c r="M13" t="inlineStr"/>
      <c r="N13" t="inlineStr"/>
      <c r="O13" t="inlineStr"/>
      <c r="P13" t="inlineStr">
        <is>
          <t>pending</t>
        </is>
      </c>
      <c r="Q13" t="inlineStr"/>
      <c r="R13" t="inlineStr"/>
      <c r="S13" t="inlineStr"/>
      <c r="T13" t="inlineStr"/>
      <c r="U13" t="inlineStr"/>
      <c r="V13">
        <f>IF(OR(L13="",S13=""),"",IF(VALUE(L13)=VALUE(S13),"Y","N"))</f>
        <v/>
      </c>
      <c r="W13">
        <f>IF(V13="Y",S13,"")</f>
        <v/>
      </c>
      <c r="X13" t="inlineStr">
        <is>
          <t>RED ISLAND: 81 m of Lincoln Avenue at no limit between 25/30 mph on both sides (gap); is the posted limit really higher here?</t>
        </is>
      </c>
      <c r="Y13" t="inlineStr"/>
      <c r="Z13" t="n">
        <v>81</v>
      </c>
      <c r="AA13" t="inlineStr">
        <is>
          <t>sd</t>
        </is>
      </c>
      <c r="AB13" t="inlineStr">
        <is>
          <t>sd|32.75037,-117.12327</t>
        </is>
      </c>
    </row>
    <row r="14">
      <c r="A14" t="inlineStr">
        <is>
          <t>SD-B2-013</t>
        </is>
      </c>
      <c r="B14" t="inlineStr">
        <is>
          <t>San Diego area</t>
        </is>
      </c>
      <c r="C14" t="inlineStr">
        <is>
          <t>J Street</t>
        </is>
      </c>
      <c r="D14" t="inlineStr">
        <is>
          <t>(see map link)</t>
        </is>
      </c>
      <c r="E14" t="inlineStr">
        <is>
          <t>North 19th Street</t>
        </is>
      </c>
      <c r="F14" t="inlineStr">
        <is>
          <t>25518446</t>
        </is>
      </c>
      <c r="G14" t="inlineStr"/>
      <c r="H14" t="inlineStr">
        <is>
          <t>inferred</t>
        </is>
      </c>
      <c r="I14" t="inlineStr">
        <is>
          <t>no</t>
        </is>
      </c>
      <c r="J14" t="inlineStr">
        <is>
          <t>https://www.google.com/maps/@?api=1&amp;map_action=pano&amp;viewpoint=32.709415,-117.147590&amp;heading=89</t>
        </is>
      </c>
      <c r="K14" t="inlineStr">
        <is>
          <t>https://www.google.com/maps/search/?api=1&amp;query=32.709415,-117.147590</t>
        </is>
      </c>
      <c r="L14" t="inlineStr"/>
      <c r="M14" t="inlineStr"/>
      <c r="N14" t="inlineStr"/>
      <c r="O14" t="inlineStr"/>
      <c r="P14" t="inlineStr">
        <is>
          <t>pending</t>
        </is>
      </c>
      <c r="Q14" t="inlineStr"/>
      <c r="R14" t="inlineStr"/>
      <c r="S14" t="inlineStr"/>
      <c r="T14" t="inlineStr"/>
      <c r="U14" t="inlineStr"/>
      <c r="V14">
        <f>IF(OR(L14="",S14=""),"",IF(VALUE(L14)=VALUE(S14),"Y","N"))</f>
        <v/>
      </c>
      <c r="W14">
        <f>IF(V14="Y",S14,"")</f>
        <v/>
      </c>
      <c r="X14" t="inlineStr">
        <is>
          <t>RED ISLAND: 124 m of J Street at no limit between 25 mph on both sides (gap); is the posted limit really higher here?</t>
        </is>
      </c>
      <c r="Y14" t="inlineStr"/>
      <c r="Z14" t="n">
        <v>124</v>
      </c>
      <c r="AA14" t="inlineStr">
        <is>
          <t>sd</t>
        </is>
      </c>
      <c r="AB14" t="inlineStr">
        <is>
          <t>sd|32.70941,-117.14759</t>
        </is>
      </c>
    </row>
    <row r="15">
      <c r="A15" t="inlineStr">
        <is>
          <t>SD-B2-014</t>
        </is>
      </c>
      <c r="B15" t="inlineStr">
        <is>
          <t>San Diego area</t>
        </is>
      </c>
      <c r="C15" t="inlineStr">
        <is>
          <t>Mission Avenue</t>
        </is>
      </c>
      <c r="D15" t="inlineStr">
        <is>
          <t>Shirley Ann Place</t>
        </is>
      </c>
      <c r="E15" t="inlineStr">
        <is>
          <t>Madison Avenue</t>
        </is>
      </c>
      <c r="F15" t="inlineStr">
        <is>
          <t>1415679779</t>
        </is>
      </c>
      <c r="G15" t="inlineStr"/>
      <c r="H15" t="inlineStr">
        <is>
          <t>inferred</t>
        </is>
      </c>
      <c r="I15" t="inlineStr">
        <is>
          <t>no</t>
        </is>
      </c>
      <c r="J15" t="inlineStr">
        <is>
          <t>https://www.google.com/maps/@?api=1&amp;map_action=pano&amp;viewpoint=32.761375,-117.139355&amp;heading=28</t>
        </is>
      </c>
      <c r="K15" t="inlineStr">
        <is>
          <t>https://www.google.com/maps/search/?api=1&amp;query=32.761375,-117.139355</t>
        </is>
      </c>
      <c r="L15" t="inlineStr"/>
      <c r="M15" t="inlineStr"/>
      <c r="N15" t="inlineStr"/>
      <c r="O15" t="inlineStr"/>
      <c r="P15" t="inlineStr">
        <is>
          <t>pending</t>
        </is>
      </c>
      <c r="Q15" t="inlineStr"/>
      <c r="R15" t="inlineStr"/>
      <c r="S15" t="inlineStr"/>
      <c r="T15" t="inlineStr"/>
      <c r="U15" t="inlineStr"/>
      <c r="V15">
        <f>IF(OR(L15="",S15=""),"",IF(VALUE(L15)=VALUE(S15),"Y","N"))</f>
        <v/>
      </c>
      <c r="W15">
        <f>IF(V15="Y",S15,"")</f>
        <v/>
      </c>
      <c r="X15" t="inlineStr">
        <is>
          <t>RED ISLAND: 138 m of Mission Avenue at no limit between 25 mph on both sides (gap); is the posted limit really higher here?</t>
        </is>
      </c>
      <c r="Y15" t="inlineStr"/>
      <c r="Z15" t="n">
        <v>138</v>
      </c>
      <c r="AA15" t="inlineStr">
        <is>
          <t>sd</t>
        </is>
      </c>
      <c r="AB15" t="inlineStr">
        <is>
          <t>sd|32.76138,-117.13935</t>
        </is>
      </c>
    </row>
    <row r="16">
      <c r="A16" t="inlineStr">
        <is>
          <t>SD-B2-015</t>
        </is>
      </c>
      <c r="B16" t="inlineStr">
        <is>
          <t>San Diego area</t>
        </is>
      </c>
      <c r="C16" t="inlineStr">
        <is>
          <t>K Street</t>
        </is>
      </c>
      <c r="D16" t="inlineStr">
        <is>
          <t>4th Avenue</t>
        </is>
      </c>
      <c r="E16" t="inlineStr">
        <is>
          <t>5th Avenue</t>
        </is>
      </c>
      <c r="F16" t="inlineStr"/>
      <c r="G16" t="inlineStr"/>
      <c r="H16" t="inlineStr">
        <is>
          <t>inferred</t>
        </is>
      </c>
      <c r="I16" t="inlineStr">
        <is>
          <t>no</t>
        </is>
      </c>
      <c r="J16" t="inlineStr">
        <is>
          <t>https://www.google.com/maps/@?api=1&amp;map_action=pano&amp;viewpoint=32.708320,-117.160580&amp;heading=90</t>
        </is>
      </c>
      <c r="K16" t="inlineStr">
        <is>
          <t>https://www.google.com/maps/search/?api=1&amp;query=32.708320,-117.160580</t>
        </is>
      </c>
      <c r="L16" t="inlineStr"/>
      <c r="M16" t="inlineStr"/>
      <c r="N16" t="inlineStr"/>
      <c r="O16" t="inlineStr"/>
      <c r="P16" t="inlineStr">
        <is>
          <t>pending</t>
        </is>
      </c>
      <c r="Q16" t="inlineStr"/>
      <c r="R16" t="inlineStr"/>
      <c r="S16" t="inlineStr"/>
      <c r="T16" t="inlineStr"/>
      <c r="U16" t="inlineStr"/>
      <c r="V16">
        <f>IF(OR(L16="",S16=""),"",IF(VALUE(L16)=VALUE(S16),"Y","N"))</f>
        <v/>
      </c>
      <c r="W16">
        <f>IF(V16="Y",S16,"")</f>
        <v/>
      </c>
      <c r="X16" t="inlineStr">
        <is>
          <t>RED ISLAND: 88 m of K Street at no limit between 25 mph on both sides (gap); is the posted limit really higher here?</t>
        </is>
      </c>
      <c r="Y16" t="inlineStr"/>
      <c r="Z16" t="n">
        <v>88</v>
      </c>
      <c r="AA16" t="inlineStr">
        <is>
          <t>sd</t>
        </is>
      </c>
      <c r="AB16" t="inlineStr">
        <is>
          <t>sd|32.70832,-117.16058</t>
        </is>
      </c>
    </row>
    <row r="17">
      <c r="A17" t="inlineStr">
        <is>
          <t>SD-B2-016</t>
        </is>
      </c>
      <c r="B17" t="inlineStr">
        <is>
          <t>San Diego area</t>
        </is>
      </c>
      <c r="C17" t="inlineStr">
        <is>
          <t>Boundary Street</t>
        </is>
      </c>
      <c r="D17" t="inlineStr">
        <is>
          <t>(see map link)</t>
        </is>
      </c>
      <c r="E17" t="inlineStr">
        <is>
          <t>University Avenue</t>
        </is>
      </c>
      <c r="F17" t="inlineStr"/>
      <c r="G17" t="inlineStr"/>
      <c r="H17" t="inlineStr">
        <is>
          <t>inferred</t>
        </is>
      </c>
      <c r="I17" t="inlineStr">
        <is>
          <t>no</t>
        </is>
      </c>
      <c r="J17" t="inlineStr">
        <is>
          <t>https://www.google.com/maps/@?api=1&amp;map_action=pano&amp;viewpoint=32.747635,-117.122910&amp;heading=178</t>
        </is>
      </c>
      <c r="K17" t="inlineStr">
        <is>
          <t>https://www.google.com/maps/search/?api=1&amp;query=32.747635,-117.122910</t>
        </is>
      </c>
      <c r="L17" t="inlineStr"/>
      <c r="M17" t="inlineStr"/>
      <c r="N17" t="inlineStr"/>
      <c r="O17" t="inlineStr"/>
      <c r="P17" t="inlineStr">
        <is>
          <t>pending</t>
        </is>
      </c>
      <c r="Q17" t="inlineStr"/>
      <c r="R17" t="inlineStr"/>
      <c r="S17" t="inlineStr"/>
      <c r="T17" t="inlineStr"/>
      <c r="U17" t="inlineStr"/>
      <c r="V17">
        <f>IF(OR(L17="",S17=""),"",IF(VALUE(L17)=VALUE(S17),"Y","N"))</f>
        <v/>
      </c>
      <c r="W17">
        <f>IF(V17="Y",S17,"")</f>
        <v/>
      </c>
      <c r="X17" t="inlineStr">
        <is>
          <t>RED ISLAND: 121 m of Boundary Street at no limit between 25 mph on both sides (gap); is the posted limit really higher here?</t>
        </is>
      </c>
      <c r="Y17" t="inlineStr"/>
      <c r="Z17" t="n">
        <v>121</v>
      </c>
      <c r="AA17" t="inlineStr">
        <is>
          <t>sd</t>
        </is>
      </c>
      <c r="AB17" t="inlineStr">
        <is>
          <t>sd|32.74764,-117.12291</t>
        </is>
      </c>
    </row>
    <row r="18">
      <c r="A18" t="inlineStr">
        <is>
          <t>SD-B2-017</t>
        </is>
      </c>
      <c r="B18" t="inlineStr">
        <is>
          <t>San Diego area</t>
        </is>
      </c>
      <c r="C18" t="inlineStr">
        <is>
          <t>Pacific Highway</t>
        </is>
      </c>
      <c r="D18" t="inlineStr">
        <is>
          <t>Waterfront Place</t>
        </is>
      </c>
      <c r="E18" t="inlineStr">
        <is>
          <t>Midway Place</t>
        </is>
      </c>
      <c r="F18" t="inlineStr">
        <is>
          <t>436287704</t>
        </is>
      </c>
      <c r="G18" t="inlineStr"/>
      <c r="H18" t="inlineStr">
        <is>
          <t>inferred</t>
        </is>
      </c>
      <c r="I18" t="inlineStr">
        <is>
          <t>no</t>
        </is>
      </c>
      <c r="J18" t="inlineStr">
        <is>
          <t>https://www.google.com/maps/@?api=1&amp;map_action=pano&amp;viewpoint=32.714295,-117.171160&amp;heading=178</t>
        </is>
      </c>
      <c r="K18" t="inlineStr">
        <is>
          <t>https://www.google.com/maps/search/?api=1&amp;query=32.714295,-117.171160</t>
        </is>
      </c>
      <c r="L18" t="inlineStr"/>
      <c r="M18" t="inlineStr"/>
      <c r="N18" t="inlineStr"/>
      <c r="O18" t="inlineStr"/>
      <c r="P18" t="inlineStr">
        <is>
          <t>pending</t>
        </is>
      </c>
      <c r="Q18" t="inlineStr"/>
      <c r="R18" t="inlineStr"/>
      <c r="S18" t="inlineStr"/>
      <c r="T18" t="inlineStr"/>
      <c r="U18" t="inlineStr"/>
      <c r="V18">
        <f>IF(OR(L18="",S18=""),"",IF(VALUE(L18)=VALUE(S18),"Y","N"))</f>
        <v/>
      </c>
      <c r="W18">
        <f>IF(V18="Y",S18,"")</f>
        <v/>
      </c>
      <c r="X18" t="inlineStr">
        <is>
          <t>RED ISLAND: 475 m of Pacific Highway at no limit between 25/35 mph on both sides (gap); is the posted limit really higher here?</t>
        </is>
      </c>
      <c r="Y18" t="inlineStr"/>
      <c r="Z18" t="n">
        <v>475</v>
      </c>
      <c r="AA18" t="inlineStr">
        <is>
          <t>sd</t>
        </is>
      </c>
      <c r="AB18" t="inlineStr">
        <is>
          <t>sd|32.71429,-117.17116</t>
        </is>
      </c>
    </row>
    <row r="19">
      <c r="A19" t="inlineStr">
        <is>
          <t>SD-B2-018</t>
        </is>
      </c>
      <c r="B19" t="inlineStr">
        <is>
          <t>San Diego area</t>
        </is>
      </c>
      <c r="C19" t="inlineStr">
        <is>
          <t>Park Boulevard</t>
        </is>
      </c>
      <c r="D19" t="inlineStr">
        <is>
          <t>East Broadway</t>
        </is>
      </c>
      <c r="E19" t="inlineStr">
        <is>
          <t>East B Street</t>
        </is>
      </c>
      <c r="F19" t="inlineStr">
        <is>
          <t>621450949</t>
        </is>
      </c>
      <c r="G19" t="inlineStr"/>
      <c r="H19" t="inlineStr">
        <is>
          <t>inferred</t>
        </is>
      </c>
      <c r="I19" t="inlineStr">
        <is>
          <t>no</t>
        </is>
      </c>
      <c r="J19" t="inlineStr">
        <is>
          <t>https://www.google.com/maps/@?api=1&amp;map_action=pano&amp;viewpoint=32.716890,-117.153700&amp;heading=34</t>
        </is>
      </c>
      <c r="K19" t="inlineStr">
        <is>
          <t>https://www.google.com/maps/search/?api=1&amp;query=32.716890,-117.153700</t>
        </is>
      </c>
      <c r="L19" t="inlineStr"/>
      <c r="M19" t="inlineStr"/>
      <c r="N19" t="inlineStr"/>
      <c r="O19" t="inlineStr"/>
      <c r="P19" t="inlineStr">
        <is>
          <t>pending</t>
        </is>
      </c>
      <c r="Q19" t="inlineStr"/>
      <c r="R19" t="inlineStr"/>
      <c r="S19" t="inlineStr"/>
      <c r="T19" t="inlineStr"/>
      <c r="U19" t="inlineStr"/>
      <c r="V19">
        <f>IF(OR(L19="",S19=""),"",IF(VALUE(L19)=VALUE(S19),"Y","N"))</f>
        <v/>
      </c>
      <c r="W19">
        <f>IF(V19="Y",S19,"")</f>
        <v/>
      </c>
      <c r="X19" t="inlineStr">
        <is>
          <t>RED ISLAND: 701 m of Park Boulevard at no limit between 25 mph on both sides (gap); is the posted limit really higher here?</t>
        </is>
      </c>
      <c r="Y19" t="inlineStr"/>
      <c r="Z19" t="n">
        <v>701</v>
      </c>
      <c r="AA19" t="inlineStr">
        <is>
          <t>sd</t>
        </is>
      </c>
      <c r="AB19" t="inlineStr">
        <is>
          <t>sd|32.71689,-117.15370</t>
        </is>
      </c>
    </row>
    <row r="20">
      <c r="A20" t="inlineStr">
        <is>
          <t>SD-B2-019</t>
        </is>
      </c>
      <c r="B20" t="inlineStr">
        <is>
          <t>San Diego area</t>
        </is>
      </c>
      <c r="C20" t="inlineStr">
        <is>
          <t>Upas Street</t>
        </is>
      </c>
      <c r="D20" t="inlineStr">
        <is>
          <t>30th Street</t>
        </is>
      </c>
      <c r="E20" t="inlineStr">
        <is>
          <t>30th Street</t>
        </is>
      </c>
      <c r="F20" t="inlineStr"/>
      <c r="G20" t="inlineStr"/>
      <c r="H20" t="inlineStr">
        <is>
          <t>inferred</t>
        </is>
      </c>
      <c r="I20" t="inlineStr">
        <is>
          <t>no</t>
        </is>
      </c>
      <c r="J20" t="inlineStr">
        <is>
          <t>https://www.google.com/maps/@?api=1&amp;map_action=pano&amp;viewpoint=32.741095,-117.129500&amp;heading=96</t>
        </is>
      </c>
      <c r="K20" t="inlineStr">
        <is>
          <t>https://www.google.com/maps/search/?api=1&amp;query=32.741095,-117.129500</t>
        </is>
      </c>
      <c r="L20" t="inlineStr"/>
      <c r="M20" t="inlineStr"/>
      <c r="N20" t="inlineStr"/>
      <c r="O20" t="inlineStr"/>
      <c r="P20" t="inlineStr">
        <is>
          <t>pending</t>
        </is>
      </c>
      <c r="Q20" t="inlineStr"/>
      <c r="R20" t="inlineStr"/>
      <c r="S20" t="inlineStr"/>
      <c r="T20" t="inlineStr"/>
      <c r="U20" t="inlineStr"/>
      <c r="V20">
        <f>IF(OR(L20="",S20=""),"",IF(VALUE(L20)=VALUE(S20),"Y","N"))</f>
        <v/>
      </c>
      <c r="W20">
        <f>IF(V20="Y",S20,"")</f>
        <v/>
      </c>
      <c r="X20" t="inlineStr">
        <is>
          <t>RED ISLAND: 94 m of Upas Street at no limit between 25 mph on both sides (gap); is the posted limit really higher here?</t>
        </is>
      </c>
      <c r="Y20" t="inlineStr"/>
      <c r="Z20" t="n">
        <v>94</v>
      </c>
      <c r="AA20" t="inlineStr">
        <is>
          <t>sd</t>
        </is>
      </c>
      <c r="AB20" t="inlineStr">
        <is>
          <t>sd|32.74110,-117.12950</t>
        </is>
      </c>
    </row>
    <row r="21">
      <c r="A21" t="inlineStr">
        <is>
          <t>SD-B2-020</t>
        </is>
      </c>
      <c r="B21" t="inlineStr">
        <is>
          <t>San Diego area</t>
        </is>
      </c>
      <c r="C21" t="inlineStr">
        <is>
          <t>Morena Boulevard</t>
        </is>
      </c>
      <c r="D21" t="inlineStr">
        <is>
          <t>Napa Street</t>
        </is>
      </c>
      <c r="E21" t="inlineStr">
        <is>
          <t>West Morena Boulevard</t>
        </is>
      </c>
      <c r="F21" t="inlineStr">
        <is>
          <t>234852472</t>
        </is>
      </c>
      <c r="G21" t="inlineStr"/>
      <c r="H21" t="inlineStr">
        <is>
          <t>inferred</t>
        </is>
      </c>
      <c r="I21" t="inlineStr">
        <is>
          <t>no</t>
        </is>
      </c>
      <c r="J21" t="inlineStr">
        <is>
          <t>https://www.google.com/maps/@?api=1&amp;map_action=pano&amp;viewpoint=32.765010,-117.198190&amp;heading=158</t>
        </is>
      </c>
      <c r="K21" t="inlineStr">
        <is>
          <t>https://www.google.com/maps/search/?api=1&amp;query=32.765010,-117.198190</t>
        </is>
      </c>
      <c r="L21" t="inlineStr"/>
      <c r="M21" t="inlineStr"/>
      <c r="N21" t="inlineStr"/>
      <c r="O21" t="inlineStr"/>
      <c r="P21" t="inlineStr">
        <is>
          <t>pending</t>
        </is>
      </c>
      <c r="Q21" t="inlineStr"/>
      <c r="R21" t="inlineStr"/>
      <c r="S21" t="inlineStr"/>
      <c r="T21" t="inlineStr"/>
      <c r="U21" t="inlineStr"/>
      <c r="V21">
        <f>IF(OR(L21="",S21=""),"",IF(VALUE(L21)=VALUE(S21),"Y","N"))</f>
        <v/>
      </c>
      <c r="W21">
        <f>IF(V21="Y",S21,"")</f>
        <v/>
      </c>
      <c r="X21" t="inlineStr">
        <is>
          <t>RED ISLAND: 572 m of Morena Boulevard at 40 mph between 30/35 mph on both sides (single); is the posted limit really higher here?</t>
        </is>
      </c>
      <c r="Y21" t="inlineStr"/>
      <c r="Z21" t="n">
        <v>572</v>
      </c>
      <c r="AA21" t="inlineStr">
        <is>
          <t>sd</t>
        </is>
      </c>
      <c r="AB21" t="inlineStr">
        <is>
          <t>sd|32.76501,-117.19819</t>
        </is>
      </c>
    </row>
    <row r="22">
      <c r="A22" t="inlineStr">
        <is>
          <t>SD-B2-021</t>
        </is>
      </c>
      <c r="B22" t="inlineStr">
        <is>
          <t>San Diego area</t>
        </is>
      </c>
      <c r="C22" t="inlineStr">
        <is>
          <t>Morena Boulevard</t>
        </is>
      </c>
      <c r="D22" t="inlineStr">
        <is>
          <t>Napa Street</t>
        </is>
      </c>
      <c r="E22" t="inlineStr">
        <is>
          <t>West Morena Boulevard</t>
        </is>
      </c>
      <c r="F22" t="inlineStr">
        <is>
          <t>1071947302</t>
        </is>
      </c>
      <c r="G22" t="inlineStr"/>
      <c r="H22" t="inlineStr">
        <is>
          <t>inferred</t>
        </is>
      </c>
      <c r="I22" t="inlineStr">
        <is>
          <t>no</t>
        </is>
      </c>
      <c r="J22" t="inlineStr">
        <is>
          <t>https://www.google.com/maps/@?api=1&amp;map_action=pano&amp;viewpoint=32.766685,-117.198810&amp;heading=338</t>
        </is>
      </c>
      <c r="K22" t="inlineStr">
        <is>
          <t>https://www.google.com/maps/search/?api=1&amp;query=32.766685,-117.198810</t>
        </is>
      </c>
      <c r="L22" t="inlineStr"/>
      <c r="M22" t="inlineStr"/>
      <c r="N22" t="inlineStr"/>
      <c r="O22" t="inlineStr"/>
      <c r="P22" t="inlineStr">
        <is>
          <t>pending</t>
        </is>
      </c>
      <c r="Q22" t="inlineStr"/>
      <c r="R22" t="inlineStr"/>
      <c r="S22" t="inlineStr"/>
      <c r="T22" t="inlineStr"/>
      <c r="U22" t="inlineStr"/>
      <c r="V22">
        <f>IF(OR(L22="",S22=""),"",IF(VALUE(L22)=VALUE(S22),"Y","N"))</f>
        <v/>
      </c>
      <c r="W22">
        <f>IF(V22="Y",S22,"")</f>
        <v/>
      </c>
      <c r="X22" t="inlineStr">
        <is>
          <t>RED ISLAND: 162 m of Morena Boulevard at no limit between 30/35 mph on both sides (gap); is the posted limit really higher here?</t>
        </is>
      </c>
      <c r="Y22" t="inlineStr"/>
      <c r="Z22" t="n">
        <v>162</v>
      </c>
      <c r="AA22" t="inlineStr">
        <is>
          <t>sd</t>
        </is>
      </c>
      <c r="AB22" t="inlineStr">
        <is>
          <t>sd|32.76668,-117.19881</t>
        </is>
      </c>
    </row>
    <row r="23">
      <c r="A23" t="inlineStr">
        <is>
          <t>SD-B2-022</t>
        </is>
      </c>
      <c r="B23" t="inlineStr">
        <is>
          <t>San Diego area</t>
        </is>
      </c>
      <c r="C23" t="inlineStr">
        <is>
          <t>Camino del Este</t>
        </is>
      </c>
      <c r="D23" t="inlineStr">
        <is>
          <t>Camino del Rio North</t>
        </is>
      </c>
      <c r="E23" t="inlineStr">
        <is>
          <t>Station Village Lane</t>
        </is>
      </c>
      <c r="F23" t="inlineStr">
        <is>
          <t>159135343</t>
        </is>
      </c>
      <c r="G23" t="inlineStr"/>
      <c r="H23" t="inlineStr">
        <is>
          <t>inferred</t>
        </is>
      </c>
      <c r="I23" t="inlineStr">
        <is>
          <t>no</t>
        </is>
      </c>
      <c r="J23" t="inlineStr">
        <is>
          <t>https://www.google.com/maps/@?api=1&amp;map_action=pano&amp;viewpoint=32.772575,-117.144730&amp;heading=345</t>
        </is>
      </c>
      <c r="K23" t="inlineStr">
        <is>
          <t>https://www.google.com/maps/search/?api=1&amp;query=32.772575,-117.144730</t>
        </is>
      </c>
      <c r="L23" t="inlineStr"/>
      <c r="M23" t="inlineStr"/>
      <c r="N23" t="inlineStr"/>
      <c r="O23" t="inlineStr"/>
      <c r="P23" t="inlineStr">
        <is>
          <t>pending</t>
        </is>
      </c>
      <c r="Q23" t="inlineStr"/>
      <c r="R23" t="inlineStr"/>
      <c r="S23" t="inlineStr"/>
      <c r="T23" t="inlineStr"/>
      <c r="U23" t="inlineStr"/>
      <c r="V23">
        <f>IF(OR(L23="",S23=""),"",IF(VALUE(L23)=VALUE(S23),"Y","N"))</f>
        <v/>
      </c>
      <c r="W23">
        <f>IF(V23="Y",S23,"")</f>
        <v/>
      </c>
      <c r="X23" t="inlineStr">
        <is>
          <t>RED ISLAND: 742 m of Camino del Este at no limit between 25 mph on both sides (gap); is the posted limit really higher here?</t>
        </is>
      </c>
      <c r="Y23" t="inlineStr"/>
      <c r="Z23" t="n">
        <v>742</v>
      </c>
      <c r="AA23" t="inlineStr">
        <is>
          <t>sd</t>
        </is>
      </c>
      <c r="AB23" t="inlineStr">
        <is>
          <t>sd|32.77258,-117.14473</t>
        </is>
      </c>
    </row>
    <row r="24">
      <c r="A24" t="inlineStr">
        <is>
          <t>SD-B2-023</t>
        </is>
      </c>
      <c r="B24" t="inlineStr">
        <is>
          <t>San Diego area</t>
        </is>
      </c>
      <c r="C24" t="inlineStr">
        <is>
          <t>Wabash Avenue</t>
        </is>
      </c>
      <c r="D24" t="inlineStr">
        <is>
          <t>(see map link)</t>
        </is>
      </c>
      <c r="E24" t="inlineStr">
        <is>
          <t>University Avenue</t>
        </is>
      </c>
      <c r="F24" t="inlineStr">
        <is>
          <t>182002455</t>
        </is>
      </c>
      <c r="G24" t="inlineStr"/>
      <c r="H24" t="inlineStr">
        <is>
          <t>inferred</t>
        </is>
      </c>
      <c r="I24" t="inlineStr">
        <is>
          <t>no</t>
        </is>
      </c>
      <c r="J24" t="inlineStr">
        <is>
          <t>https://www.google.com/maps/@?api=1&amp;map_action=pano&amp;viewpoint=32.748870,-117.120700&amp;heading=344</t>
        </is>
      </c>
      <c r="K24" t="inlineStr">
        <is>
          <t>https://www.google.com/maps/search/?api=1&amp;query=32.748870,-117.120700</t>
        </is>
      </c>
      <c r="L24" t="inlineStr"/>
      <c r="M24" t="inlineStr"/>
      <c r="N24" t="inlineStr"/>
      <c r="O24" t="inlineStr"/>
      <c r="P24" t="inlineStr">
        <is>
          <t>pending</t>
        </is>
      </c>
      <c r="Q24" t="inlineStr"/>
      <c r="R24" t="inlineStr"/>
      <c r="S24" t="inlineStr"/>
      <c r="T24" t="inlineStr"/>
      <c r="U24" t="inlineStr"/>
      <c r="V24">
        <f>IF(OR(L24="",S24=""),"",IF(VALUE(L24)=VALUE(S24),"Y","N"))</f>
        <v/>
      </c>
      <c r="W24">
        <f>IF(V24="Y",S24,"")</f>
        <v/>
      </c>
      <c r="X24" t="inlineStr">
        <is>
          <t>RED ISLAND: 49 m of Wabash Avenue at no limit between 25 mph on both sides (gap); is the posted limit really higher here?</t>
        </is>
      </c>
      <c r="Y24" t="inlineStr"/>
      <c r="Z24" t="n">
        <v>49</v>
      </c>
      <c r="AA24" t="inlineStr">
        <is>
          <t>sd</t>
        </is>
      </c>
      <c r="AB24" t="inlineStr">
        <is>
          <t>sd|32.74887,-117.12070</t>
        </is>
      </c>
    </row>
    <row r="25">
      <c r="A25" t="inlineStr">
        <is>
          <t>SD-B2-024</t>
        </is>
      </c>
      <c r="B25" t="inlineStr">
        <is>
          <t>San Diego area</t>
        </is>
      </c>
      <c r="C25" t="inlineStr">
        <is>
          <t>Mission Valley Road</t>
        </is>
      </c>
      <c r="D25" t="inlineStr">
        <is>
          <t>Mission Center Road</t>
        </is>
      </c>
      <c r="E25" t="inlineStr">
        <is>
          <t>Metropolitan Drive</t>
        </is>
      </c>
      <c r="F25" t="inlineStr">
        <is>
          <t>641733672</t>
        </is>
      </c>
      <c r="G25" t="inlineStr"/>
      <c r="H25" t="inlineStr">
        <is>
          <t>inferred</t>
        </is>
      </c>
      <c r="I25" t="inlineStr">
        <is>
          <t>no</t>
        </is>
      </c>
      <c r="J25" t="inlineStr">
        <is>
          <t>https://www.google.com/maps/@?api=1&amp;map_action=pano&amp;viewpoint=32.777920,-117.156060&amp;heading=276</t>
        </is>
      </c>
      <c r="K25" t="inlineStr">
        <is>
          <t>https://www.google.com/maps/search/?api=1&amp;query=32.777920,-117.156060</t>
        </is>
      </c>
      <c r="L25" t="inlineStr"/>
      <c r="M25" t="inlineStr"/>
      <c r="N25" t="inlineStr"/>
      <c r="O25" t="inlineStr"/>
      <c r="P25" t="inlineStr">
        <is>
          <t>pending</t>
        </is>
      </c>
      <c r="Q25" t="inlineStr"/>
      <c r="R25" t="inlineStr"/>
      <c r="S25" t="inlineStr"/>
      <c r="T25" t="inlineStr"/>
      <c r="U25" t="inlineStr"/>
      <c r="V25">
        <f>IF(OR(L25="",S25=""),"",IF(VALUE(L25)=VALUE(S25),"Y","N"))</f>
        <v/>
      </c>
      <c r="W25">
        <f>IF(V25="Y",S25,"")</f>
        <v/>
      </c>
      <c r="X25" t="inlineStr">
        <is>
          <t>RED ISLAND: 461 m of Mission Valley Road at no limit between 25/35 mph on both sides (gap); is the posted limit really higher here?</t>
        </is>
      </c>
      <c r="Y25" t="inlineStr"/>
      <c r="Z25" t="n">
        <v>461</v>
      </c>
      <c r="AA25" t="inlineStr">
        <is>
          <t>sd</t>
        </is>
      </c>
      <c r="AB25" t="inlineStr">
        <is>
          <t>sd|32.77792,-117.15606</t>
        </is>
      </c>
    </row>
    <row r="26">
      <c r="A26" t="inlineStr">
        <is>
          <t>SD-B2-025</t>
        </is>
      </c>
      <c r="B26" t="inlineStr">
        <is>
          <t>San Diego area</t>
        </is>
      </c>
      <c r="C26" t="inlineStr">
        <is>
          <t>Fort Stockton Drive</t>
        </is>
      </c>
      <c r="D26" t="inlineStr">
        <is>
          <t>Sunset Boulevard</t>
        </is>
      </c>
      <c r="E26" t="inlineStr">
        <is>
          <t>Stephens Street</t>
        </is>
      </c>
      <c r="F26" t="inlineStr">
        <is>
          <t>225763786</t>
        </is>
      </c>
      <c r="G26" t="inlineStr"/>
      <c r="H26" t="inlineStr">
        <is>
          <t>inferred</t>
        </is>
      </c>
      <c r="I26" t="inlineStr">
        <is>
          <t>no</t>
        </is>
      </c>
      <c r="J26" t="inlineStr">
        <is>
          <t>https://www.google.com/maps/@?api=1&amp;map_action=pano&amp;viewpoint=32.750880,-117.179240&amp;heading=138</t>
        </is>
      </c>
      <c r="K26" t="inlineStr">
        <is>
          <t>https://www.google.com/maps/search/?api=1&amp;query=32.750880,-117.179240</t>
        </is>
      </c>
      <c r="L26" t="inlineStr"/>
      <c r="M26" t="inlineStr"/>
      <c r="N26" t="inlineStr"/>
      <c r="O26" t="inlineStr"/>
      <c r="P26" t="inlineStr">
        <is>
          <t>pending</t>
        </is>
      </c>
      <c r="Q26" t="inlineStr"/>
      <c r="R26" t="inlineStr"/>
      <c r="S26" t="inlineStr"/>
      <c r="T26" t="inlineStr"/>
      <c r="U26" t="inlineStr"/>
      <c r="V26">
        <f>IF(OR(L26="",S26=""),"",IF(VALUE(L26)=VALUE(S26),"Y","N"))</f>
        <v/>
      </c>
      <c r="W26">
        <f>IF(V26="Y",S26,"")</f>
        <v/>
      </c>
      <c r="X26" t="inlineStr">
        <is>
          <t>RED ISLAND: 123 m of Fort Stockton Drive at no limit between 25 mph on both sides (gap); is the posted limit really higher here?</t>
        </is>
      </c>
      <c r="Y26" t="inlineStr"/>
      <c r="Z26" t="n">
        <v>123</v>
      </c>
      <c r="AA26" t="inlineStr">
        <is>
          <t>sd</t>
        </is>
      </c>
      <c r="AB26" t="inlineStr">
        <is>
          <t>sd|32.75088,-117.17924</t>
        </is>
      </c>
    </row>
    <row r="27">
      <c r="A27" t="inlineStr">
        <is>
          <t>SD-B2-026</t>
        </is>
      </c>
      <c r="B27" t="inlineStr">
        <is>
          <t>San Diego area</t>
        </is>
      </c>
      <c r="C27" t="inlineStr">
        <is>
          <t>Market Street</t>
        </is>
      </c>
      <c r="D27" t="inlineStr">
        <is>
          <t>(see map link)</t>
        </is>
      </c>
      <c r="E27" t="inlineStr">
        <is>
          <t>24th Street</t>
        </is>
      </c>
      <c r="F27" t="inlineStr">
        <is>
          <t>436305535</t>
        </is>
      </c>
      <c r="G27" t="inlineStr"/>
      <c r="H27" t="inlineStr">
        <is>
          <t>inferred</t>
        </is>
      </c>
      <c r="I27" t="inlineStr">
        <is>
          <t>no</t>
        </is>
      </c>
      <c r="J27" t="inlineStr">
        <is>
          <t>https://www.google.com/maps/@?api=1&amp;map_action=pano&amp;viewpoint=32.711540,-117.144445&amp;heading=90</t>
        </is>
      </c>
      <c r="K27" t="inlineStr">
        <is>
          <t>https://www.google.com/maps/search/?api=1&amp;query=32.711540,-117.144445</t>
        </is>
      </c>
      <c r="L27" t="inlineStr"/>
      <c r="M27" t="inlineStr"/>
      <c r="N27" t="inlineStr"/>
      <c r="O27" t="inlineStr"/>
      <c r="P27" t="inlineStr">
        <is>
          <t>pending</t>
        </is>
      </c>
      <c r="Q27" t="inlineStr"/>
      <c r="R27" t="inlineStr"/>
      <c r="S27" t="inlineStr"/>
      <c r="T27" t="inlineStr"/>
      <c r="U27" t="inlineStr"/>
      <c r="V27">
        <f>IF(OR(L27="",S27=""),"",IF(VALUE(L27)=VALUE(S27),"Y","N"))</f>
        <v/>
      </c>
      <c r="W27">
        <f>IF(V27="Y",S27,"")</f>
        <v/>
      </c>
      <c r="X27" t="inlineStr">
        <is>
          <t>RED ISLAND: 283 m of Market Street at no limit between 25/30 mph on both sides (gap); is the posted limit really higher here?</t>
        </is>
      </c>
      <c r="Y27" t="inlineStr"/>
      <c r="Z27" t="n">
        <v>283</v>
      </c>
      <c r="AA27" t="inlineStr">
        <is>
          <t>sd</t>
        </is>
      </c>
      <c r="AB27" t="inlineStr">
        <is>
          <t>sd|32.71154,-117.14445</t>
        </is>
      </c>
    </row>
    <row r="28">
      <c r="A28" t="inlineStr">
        <is>
          <t>SD-B2-027</t>
        </is>
      </c>
      <c r="B28" t="inlineStr">
        <is>
          <t>San Diego area</t>
        </is>
      </c>
      <c r="C28" t="inlineStr">
        <is>
          <t>6th Avenue</t>
        </is>
      </c>
      <c r="D28" t="inlineStr">
        <is>
          <t>Upas Street</t>
        </is>
      </c>
      <c r="E28" t="inlineStr">
        <is>
          <t>Balboa Drive</t>
        </is>
      </c>
      <c r="F28" t="inlineStr">
        <is>
          <t>436407058</t>
        </is>
      </c>
      <c r="G28" t="inlineStr"/>
      <c r="H28" t="inlineStr">
        <is>
          <t>inferred</t>
        </is>
      </c>
      <c r="I28" t="inlineStr">
        <is>
          <t>no</t>
        </is>
      </c>
      <c r="J28" t="inlineStr">
        <is>
          <t>https://www.google.com/maps/@?api=1&amp;map_action=pano&amp;viewpoint=32.740965,-117.159425&amp;heading=350</t>
        </is>
      </c>
      <c r="K28" t="inlineStr">
        <is>
          <t>https://www.google.com/maps/search/?api=1&amp;query=32.740965,-117.159425</t>
        </is>
      </c>
      <c r="L28" t="inlineStr"/>
      <c r="M28" t="inlineStr"/>
      <c r="N28" t="inlineStr"/>
      <c r="O28" t="inlineStr"/>
      <c r="P28" t="inlineStr">
        <is>
          <t>pending</t>
        </is>
      </c>
      <c r="Q28" t="inlineStr"/>
      <c r="R28" t="inlineStr"/>
      <c r="S28" t="inlineStr"/>
      <c r="T28" t="inlineStr"/>
      <c r="U28" t="inlineStr"/>
      <c r="V28">
        <f>IF(OR(L28="",S28=""),"",IF(VALUE(L28)=VALUE(S28),"Y","N"))</f>
        <v/>
      </c>
      <c r="W28">
        <f>IF(V28="Y",S28,"")</f>
        <v/>
      </c>
      <c r="X28" t="inlineStr">
        <is>
          <t>RED ISLAND: 25 m of 6th Avenue at no limit between 30 mph on both sides (gap); is the posted limit really higher here?</t>
        </is>
      </c>
      <c r="Y28" t="inlineStr"/>
      <c r="Z28" t="n">
        <v>25</v>
      </c>
      <c r="AA28" t="inlineStr">
        <is>
          <t>sd</t>
        </is>
      </c>
      <c r="AB28" t="inlineStr">
        <is>
          <t>sd|32.74097,-117.15942</t>
        </is>
      </c>
    </row>
    <row r="29">
      <c r="A29" t="inlineStr">
        <is>
          <t>SD-B2-028</t>
        </is>
      </c>
      <c r="B29" t="inlineStr">
        <is>
          <t>San Diego area</t>
        </is>
      </c>
      <c r="C29" t="inlineStr">
        <is>
          <t>Lincoln Avenue</t>
        </is>
      </c>
      <c r="D29" t="inlineStr">
        <is>
          <t>32nd Street</t>
        </is>
      </c>
      <c r="E29" t="inlineStr">
        <is>
          <t>Boundary Street</t>
        </is>
      </c>
      <c r="F29" t="inlineStr">
        <is>
          <t>159273817</t>
        </is>
      </c>
      <c r="G29" t="inlineStr"/>
      <c r="H29" t="inlineStr">
        <is>
          <t>inferred</t>
        </is>
      </c>
      <c r="I29" t="inlineStr">
        <is>
          <t>no</t>
        </is>
      </c>
      <c r="J29" t="inlineStr">
        <is>
          <t>https://www.google.com/maps/@?api=1&amp;map_action=pano&amp;viewpoint=32.750360,-117.124395&amp;heading=90</t>
        </is>
      </c>
      <c r="K29" t="inlineStr">
        <is>
          <t>https://www.google.com/maps/search/?api=1&amp;query=32.750360,-117.124395</t>
        </is>
      </c>
      <c r="L29" t="inlineStr"/>
      <c r="M29" t="inlineStr"/>
      <c r="N29" t="inlineStr"/>
      <c r="O29" t="inlineStr"/>
      <c r="P29" t="inlineStr">
        <is>
          <t>pending</t>
        </is>
      </c>
      <c r="Q29" t="inlineStr"/>
      <c r="R29" t="inlineStr"/>
      <c r="S29" t="inlineStr"/>
      <c r="T29" t="inlineStr"/>
      <c r="U29" t="inlineStr"/>
      <c r="V29">
        <f>IF(OR(L29="",S29=""),"",IF(VALUE(L29)=VALUE(S29),"Y","N"))</f>
        <v/>
      </c>
      <c r="W29">
        <f>IF(V29="Y",S29,"")</f>
        <v/>
      </c>
      <c r="X29" t="inlineStr">
        <is>
          <t>RED ISLAND: 145 m of Lincoln Avenue at no limit between 25 mph on both sides (gap); is the posted limit really higher here?</t>
        </is>
      </c>
      <c r="Y29" t="inlineStr"/>
      <c r="Z29" t="n">
        <v>145</v>
      </c>
      <c r="AA29" t="inlineStr">
        <is>
          <t>sd</t>
        </is>
      </c>
      <c r="AB29" t="inlineStr">
        <is>
          <t>sd|32.75036,-117.12439</t>
        </is>
      </c>
    </row>
    <row r="30">
      <c r="A30" t="inlineStr">
        <is>
          <t>SD-B2-029</t>
        </is>
      </c>
      <c r="B30" t="inlineStr">
        <is>
          <t>San Diego area</t>
        </is>
      </c>
      <c r="C30" t="inlineStr">
        <is>
          <t>East C Street</t>
        </is>
      </c>
      <c r="D30" t="inlineStr">
        <is>
          <t>North 16th Street</t>
        </is>
      </c>
      <c r="E30" t="inlineStr">
        <is>
          <t>North 17th Street</t>
        </is>
      </c>
      <c r="F30" t="inlineStr">
        <is>
          <t>1026612446</t>
        </is>
      </c>
      <c r="G30" t="inlineStr"/>
      <c r="H30" t="inlineStr">
        <is>
          <t>inferred</t>
        </is>
      </c>
      <c r="I30" t="inlineStr">
        <is>
          <t>no</t>
        </is>
      </c>
      <c r="J30" t="inlineStr">
        <is>
          <t>https://www.google.com/maps/@?api=1&amp;map_action=pano&amp;viewpoint=32.716805,-117.149005&amp;heading=89</t>
        </is>
      </c>
      <c r="K30" t="inlineStr">
        <is>
          <t>https://www.google.com/maps/search/?api=1&amp;query=32.716805,-117.149005</t>
        </is>
      </c>
      <c r="L30" t="inlineStr"/>
      <c r="M30" t="inlineStr"/>
      <c r="N30" t="inlineStr"/>
      <c r="O30" t="inlineStr"/>
      <c r="P30" t="inlineStr">
        <is>
          <t>pending</t>
        </is>
      </c>
      <c r="Q30" t="inlineStr"/>
      <c r="R30" t="inlineStr"/>
      <c r="S30" t="inlineStr"/>
      <c r="T30" t="inlineStr"/>
      <c r="U30" t="inlineStr"/>
      <c r="V30">
        <f>IF(OR(L30="",S30=""),"",IF(VALUE(L30)=VALUE(S30),"Y","N"))</f>
        <v/>
      </c>
      <c r="W30">
        <f>IF(V30="Y",S30,"")</f>
        <v/>
      </c>
      <c r="X30" t="inlineStr">
        <is>
          <t>RED ISLAND: 84 m of East C Street at no limit between 25 mph on both sides (gap); is the posted limit really higher here?</t>
        </is>
      </c>
      <c r="Y30" t="inlineStr"/>
      <c r="Z30" t="n">
        <v>84</v>
      </c>
      <c r="AA30" t="inlineStr">
        <is>
          <t>sd</t>
        </is>
      </c>
      <c r="AB30" t="inlineStr">
        <is>
          <t>sd|32.71681,-117.14901</t>
        </is>
      </c>
    </row>
    <row r="31">
      <c r="A31" t="inlineStr">
        <is>
          <t>SD-B2-030</t>
        </is>
      </c>
      <c r="B31" t="inlineStr">
        <is>
          <t>San Diego area</t>
        </is>
      </c>
      <c r="C31" t="inlineStr">
        <is>
          <t>Wightman Street</t>
        </is>
      </c>
      <c r="D31" t="inlineStr">
        <is>
          <t>Swift Avenue</t>
        </is>
      </c>
      <c r="E31" t="inlineStr">
        <is>
          <t>(see map link)</t>
        </is>
      </c>
      <c r="F31" t="inlineStr"/>
      <c r="G31" t="inlineStr"/>
      <c r="H31" t="inlineStr">
        <is>
          <t>inferred</t>
        </is>
      </c>
      <c r="I31" t="inlineStr">
        <is>
          <t>no</t>
        </is>
      </c>
      <c r="J31" t="inlineStr">
        <is>
          <t>https://www.google.com/maps/@?api=1&amp;map_action=pano&amp;viewpoint=32.747905,-117.118845&amp;heading=89</t>
        </is>
      </c>
      <c r="K31" t="inlineStr">
        <is>
          <t>https://www.google.com/maps/search/?api=1&amp;query=32.747905,-117.118845</t>
        </is>
      </c>
      <c r="L31" t="inlineStr"/>
      <c r="M31" t="inlineStr"/>
      <c r="N31" t="inlineStr"/>
      <c r="O31" t="inlineStr"/>
      <c r="P31" t="inlineStr">
        <is>
          <t>pending</t>
        </is>
      </c>
      <c r="Q31" t="inlineStr"/>
      <c r="R31" t="inlineStr"/>
      <c r="S31" t="inlineStr"/>
      <c r="T31" t="inlineStr"/>
      <c r="U31" t="inlineStr"/>
      <c r="V31">
        <f>IF(OR(L31="",S31=""),"",IF(VALUE(L31)=VALUE(S31),"Y","N"))</f>
        <v/>
      </c>
      <c r="W31">
        <f>IF(V31="Y",S31,"")</f>
        <v/>
      </c>
      <c r="X31" t="inlineStr">
        <is>
          <t>RED ISLAND: 124 m of Wightman Street at no limit between 25 mph on both sides (gap); is the posted limit really higher here?</t>
        </is>
      </c>
      <c r="Y31" t="inlineStr"/>
      <c r="Z31" t="n">
        <v>124</v>
      </c>
      <c r="AA31" t="inlineStr">
        <is>
          <t>sd</t>
        </is>
      </c>
      <c r="AB31" t="inlineStr">
        <is>
          <t>sd|32.74791,-117.11884</t>
        </is>
      </c>
    </row>
    <row r="32">
      <c r="A32" t="inlineStr">
        <is>
          <t>SD-B2-031</t>
        </is>
      </c>
      <c r="B32" t="inlineStr">
        <is>
          <t>San Diego area</t>
        </is>
      </c>
      <c r="C32" t="inlineStr">
        <is>
          <t>India Street</t>
        </is>
      </c>
      <c r="D32" t="inlineStr">
        <is>
          <t>Chalmers Street</t>
        </is>
      </c>
      <c r="E32" t="inlineStr">
        <is>
          <t>San Diego Avenue</t>
        </is>
      </c>
      <c r="F32" t="inlineStr">
        <is>
          <t>1119813420</t>
        </is>
      </c>
      <c r="G32" t="inlineStr"/>
      <c r="H32" t="inlineStr">
        <is>
          <t>inferred</t>
        </is>
      </c>
      <c r="I32" t="inlineStr">
        <is>
          <t>no</t>
        </is>
      </c>
      <c r="J32" t="inlineStr">
        <is>
          <t>https://www.google.com/maps/@?api=1&amp;map_action=pano&amp;viewpoint=32.741720,-117.179850&amp;heading=327</t>
        </is>
      </c>
      <c r="K32" t="inlineStr">
        <is>
          <t>https://www.google.com/maps/search/?api=1&amp;query=32.741720,-117.179850</t>
        </is>
      </c>
      <c r="L32" t="inlineStr"/>
      <c r="M32" t="inlineStr"/>
      <c r="N32" t="inlineStr"/>
      <c r="O32" t="inlineStr"/>
      <c r="P32" t="inlineStr">
        <is>
          <t>pending</t>
        </is>
      </c>
      <c r="Q32" t="inlineStr"/>
      <c r="R32" t="inlineStr"/>
      <c r="S32" t="inlineStr"/>
      <c r="T32" t="inlineStr"/>
      <c r="U32" t="inlineStr"/>
      <c r="V32">
        <f>IF(OR(L32="",S32=""),"",IF(VALUE(L32)=VALUE(S32),"Y","N"))</f>
        <v/>
      </c>
      <c r="W32">
        <f>IF(V32="Y",S32,"")</f>
        <v/>
      </c>
      <c r="X32" t="inlineStr">
        <is>
          <t>RED ISLAND: 36 m of India Street at no limit between 25/35 mph on both sides (gap); is the posted limit really higher here?</t>
        </is>
      </c>
      <c r="Y32" t="inlineStr"/>
      <c r="Z32" t="n">
        <v>36</v>
      </c>
      <c r="AA32" t="inlineStr">
        <is>
          <t>sd</t>
        </is>
      </c>
      <c r="AB32" t="inlineStr">
        <is>
          <t>sd|32.74172,-117.17985</t>
        </is>
      </c>
    </row>
    <row r="33">
      <c r="A33" t="inlineStr">
        <is>
          <t>SD-B2-032</t>
        </is>
      </c>
      <c r="B33" t="inlineStr">
        <is>
          <t>San Diego area</t>
        </is>
      </c>
      <c r="C33" t="inlineStr">
        <is>
          <t>North 16th Street</t>
        </is>
      </c>
      <c r="D33" t="inlineStr">
        <is>
          <t>East B Street</t>
        </is>
      </c>
      <c r="E33" t="inlineStr">
        <is>
          <t>(see map link)</t>
        </is>
      </c>
      <c r="F33" t="inlineStr">
        <is>
          <t>1242731129</t>
        </is>
      </c>
      <c r="G33" t="inlineStr"/>
      <c r="H33" t="inlineStr">
        <is>
          <t>inferred</t>
        </is>
      </c>
      <c r="I33" t="inlineStr">
        <is>
          <t>no</t>
        </is>
      </c>
      <c r="J33" t="inlineStr">
        <is>
          <t>https://www.google.com/maps/@?api=1&amp;map_action=pano&amp;viewpoint=32.717350,-117.149500&amp;heading=358</t>
        </is>
      </c>
      <c r="K33" t="inlineStr">
        <is>
          <t>https://www.google.com/maps/search/?api=1&amp;query=32.717350,-117.149500</t>
        </is>
      </c>
      <c r="L33" t="inlineStr"/>
      <c r="M33" t="inlineStr"/>
      <c r="N33" t="inlineStr"/>
      <c r="O33" t="inlineStr"/>
      <c r="P33" t="inlineStr">
        <is>
          <t>pending</t>
        </is>
      </c>
      <c r="Q33" t="inlineStr"/>
      <c r="R33" t="inlineStr"/>
      <c r="S33" t="inlineStr"/>
      <c r="T33" t="inlineStr"/>
      <c r="U33" t="inlineStr"/>
      <c r="V33">
        <f>IF(OR(L33="",S33=""),"",IF(VALUE(L33)=VALUE(S33),"Y","N"))</f>
        <v/>
      </c>
      <c r="W33">
        <f>IF(V33="Y",S33,"")</f>
        <v/>
      </c>
      <c r="X33" t="inlineStr">
        <is>
          <t>RED ISLAND: 107 m of North 16th Street at no limit between 25 mph on both sides (gap); is the posted limit really higher here?</t>
        </is>
      </c>
      <c r="Y33" t="inlineStr"/>
      <c r="Z33" t="n">
        <v>107</v>
      </c>
      <c r="AA33" t="inlineStr">
        <is>
          <t>sd</t>
        </is>
      </c>
      <c r="AB33" t="inlineStr">
        <is>
          <t>sd|32.71735,-117.14950</t>
        </is>
      </c>
    </row>
    <row r="34">
      <c r="A34" t="inlineStr">
        <is>
          <t>SD-B2-033</t>
        </is>
      </c>
      <c r="B34" t="inlineStr">
        <is>
          <t>San Diego area</t>
        </is>
      </c>
      <c r="C34" t="inlineStr">
        <is>
          <t>Clairemont Drive</t>
        </is>
      </c>
      <c r="D34" t="inlineStr">
        <is>
          <t>(see map link)</t>
        </is>
      </c>
      <c r="E34" t="inlineStr">
        <is>
          <t>Iroquois Avenue</t>
        </is>
      </c>
      <c r="F34" t="inlineStr">
        <is>
          <t>436423866</t>
        </is>
      </c>
      <c r="G34" t="inlineStr"/>
      <c r="H34" t="inlineStr">
        <is>
          <t>inferred</t>
        </is>
      </c>
      <c r="I34" t="inlineStr">
        <is>
          <t>no</t>
        </is>
      </c>
      <c r="J34" t="inlineStr">
        <is>
          <t>https://www.google.com/maps/@?api=1&amp;map_action=pano&amp;viewpoint=32.795800,-117.193380&amp;heading=11</t>
        </is>
      </c>
      <c r="K34" t="inlineStr">
        <is>
          <t>https://www.google.com/maps/search/?api=1&amp;query=32.795800,-117.193380</t>
        </is>
      </c>
      <c r="L34" t="inlineStr"/>
      <c r="M34" t="inlineStr"/>
      <c r="N34" t="inlineStr"/>
      <c r="O34" t="inlineStr"/>
      <c r="P34" t="inlineStr">
        <is>
          <t>pending</t>
        </is>
      </c>
      <c r="Q34" t="inlineStr"/>
      <c r="R34" t="inlineStr"/>
      <c r="S34" t="inlineStr"/>
      <c r="T34" t="inlineStr"/>
      <c r="U34" t="inlineStr"/>
      <c r="V34">
        <f>IF(OR(L34="",S34=""),"",IF(VALUE(L34)=VALUE(S34),"Y","N"))</f>
        <v/>
      </c>
      <c r="W34">
        <f>IF(V34="Y",S34,"")</f>
        <v/>
      </c>
      <c r="X34" t="inlineStr">
        <is>
          <t>RED ISLAND: 347 m of Clairemont Drive at no limit between 35 mph on both sides (gap); is the posted limit really higher here?</t>
        </is>
      </c>
      <c r="Y34" t="inlineStr"/>
      <c r="Z34" t="n">
        <v>347</v>
      </c>
      <c r="AA34" t="inlineStr">
        <is>
          <t>sd</t>
        </is>
      </c>
      <c r="AB34" t="inlineStr">
        <is>
          <t>sd|32.79580,-117.19338</t>
        </is>
      </c>
    </row>
    <row r="35">
      <c r="A35" t="inlineStr">
        <is>
          <t>SD-B2-034</t>
        </is>
      </c>
      <c r="B35" t="inlineStr">
        <is>
          <t>San Diego area</t>
        </is>
      </c>
      <c r="C35" t="inlineStr">
        <is>
          <t>Sandrock Road</t>
        </is>
      </c>
      <c r="D35" t="inlineStr">
        <is>
          <t>Hammond Drive</t>
        </is>
      </c>
      <c r="E35" t="inlineStr">
        <is>
          <t>Gramercy Drive</t>
        </is>
      </c>
      <c r="F35" t="inlineStr">
        <is>
          <t>907920660</t>
        </is>
      </c>
      <c r="G35" t="inlineStr"/>
      <c r="H35" t="inlineStr">
        <is>
          <t>inferred</t>
        </is>
      </c>
      <c r="I35" t="inlineStr">
        <is>
          <t>no</t>
        </is>
      </c>
      <c r="J35" t="inlineStr">
        <is>
          <t>https://www.google.com/maps/@?api=1&amp;map_action=pano&amp;viewpoint=32.803715,-117.139695&amp;heading=147</t>
        </is>
      </c>
      <c r="K35" t="inlineStr">
        <is>
          <t>https://www.google.com/maps/search/?api=1&amp;query=32.803715,-117.139695</t>
        </is>
      </c>
      <c r="L35" t="inlineStr"/>
      <c r="M35" t="inlineStr"/>
      <c r="N35" t="inlineStr"/>
      <c r="O35" t="inlineStr"/>
      <c r="P35" t="inlineStr">
        <is>
          <t>pending</t>
        </is>
      </c>
      <c r="Q35" t="inlineStr"/>
      <c r="R35" t="inlineStr"/>
      <c r="S35" t="inlineStr"/>
      <c r="T35" t="inlineStr"/>
      <c r="U35" t="inlineStr"/>
      <c r="V35">
        <f>IF(OR(L35="",S35=""),"",IF(VALUE(L35)=VALUE(S35),"Y","N"))</f>
        <v/>
      </c>
      <c r="W35">
        <f>IF(V35="Y",S35,"")</f>
        <v/>
      </c>
      <c r="X35" t="inlineStr">
        <is>
          <t>RED ISLAND: 543 m of Sandrock Road at no limit between 25/35 mph on both sides (gap); is the posted limit really higher here?</t>
        </is>
      </c>
      <c r="Y35" t="inlineStr"/>
      <c r="Z35" t="n">
        <v>543</v>
      </c>
      <c r="AA35" t="inlineStr">
        <is>
          <t>sd</t>
        </is>
      </c>
      <c r="AB35" t="inlineStr">
        <is>
          <t>sd|32.80371,-117.13969</t>
        </is>
      </c>
    </row>
    <row r="36">
      <c r="A36" t="inlineStr">
        <is>
          <t>SD-B2-035</t>
        </is>
      </c>
      <c r="B36" t="inlineStr">
        <is>
          <t>San Diego area</t>
        </is>
      </c>
      <c r="C36" t="inlineStr">
        <is>
          <t>Camino del Sur</t>
        </is>
      </c>
      <c r="D36" t="inlineStr">
        <is>
          <t>Park Village Road</t>
        </is>
      </c>
      <c r="E36" t="inlineStr">
        <is>
          <t>Park Village Road</t>
        </is>
      </c>
      <c r="F36" t="inlineStr">
        <is>
          <t>225758759</t>
        </is>
      </c>
      <c r="G36" t="inlineStr"/>
      <c r="H36" t="inlineStr">
        <is>
          <t>inferred</t>
        </is>
      </c>
      <c r="I36" t="inlineStr">
        <is>
          <t>no</t>
        </is>
      </c>
      <c r="J36" t="inlineStr">
        <is>
          <t>https://www.google.com/maps/@?api=1&amp;map_action=pano&amp;viewpoint=32.940920,-117.151865&amp;heading=15</t>
        </is>
      </c>
      <c r="K36" t="inlineStr">
        <is>
          <t>https://www.google.com/maps/search/?api=1&amp;query=32.940920,-117.151865</t>
        </is>
      </c>
      <c r="L36" t="inlineStr"/>
      <c r="M36" t="inlineStr"/>
      <c r="N36" t="inlineStr"/>
      <c r="O36" t="inlineStr"/>
      <c r="P36" t="inlineStr">
        <is>
          <t>pending</t>
        </is>
      </c>
      <c r="Q36" t="inlineStr"/>
      <c r="R36" t="inlineStr"/>
      <c r="S36" t="inlineStr"/>
      <c r="T36" t="inlineStr"/>
      <c r="U36" t="inlineStr"/>
      <c r="V36">
        <f>IF(OR(L36="",S36=""),"",IF(VALUE(L36)=VALUE(S36),"Y","N"))</f>
        <v/>
      </c>
      <c r="W36">
        <f>IF(V36="Y",S36,"")</f>
        <v/>
      </c>
      <c r="X36" t="inlineStr">
        <is>
          <t>RED ISLAND: 202 m of Camino del Sur at no limit between 25 mph on both sides (gap); is the posted limit really higher here?</t>
        </is>
      </c>
      <c r="Y36" t="inlineStr"/>
      <c r="Z36" t="n">
        <v>202</v>
      </c>
      <c r="AA36" t="inlineStr">
        <is>
          <t>sd</t>
        </is>
      </c>
      <c r="AB36" t="inlineStr">
        <is>
          <t>sd|32.94092,-117.15187</t>
        </is>
      </c>
    </row>
    <row r="37">
      <c r="A37" t="inlineStr">
        <is>
          <t>SD-B2-036</t>
        </is>
      </c>
      <c r="B37" t="inlineStr">
        <is>
          <t>San Diego area</t>
        </is>
      </c>
      <c r="C37" t="inlineStr">
        <is>
          <t>Rancho Santa Fe Farms Road</t>
        </is>
      </c>
      <c r="D37" t="inlineStr">
        <is>
          <t>Carmel Valley Road</t>
        </is>
      </c>
      <c r="E37" t="inlineStr">
        <is>
          <t>(see map link)</t>
        </is>
      </c>
      <c r="F37" t="inlineStr">
        <is>
          <t>178595486</t>
        </is>
      </c>
      <c r="G37" t="n">
        <v>40</v>
      </c>
      <c r="H37" t="inlineStr">
        <is>
          <t>tag</t>
        </is>
      </c>
      <c r="I37" t="inlineStr">
        <is>
          <t>no</t>
        </is>
      </c>
      <c r="J37" t="inlineStr">
        <is>
          <t>https://www.google.com/maps/@?api=1&amp;map_action=pano&amp;viewpoint=32.968410,-117.178470&amp;heading=348</t>
        </is>
      </c>
      <c r="K37" t="inlineStr">
        <is>
          <t>https://www.google.com/maps/search/?api=1&amp;query=32.968410,-117.178470</t>
        </is>
      </c>
      <c r="L37" t="inlineStr"/>
      <c r="M37" t="inlineStr"/>
      <c r="N37" t="inlineStr"/>
      <c r="O37" t="inlineStr"/>
      <c r="P37" t="inlineStr">
        <is>
          <t>pending</t>
        </is>
      </c>
      <c r="Q37" t="inlineStr"/>
      <c r="R37" t="inlineStr"/>
      <c r="S37" t="inlineStr"/>
      <c r="T37" t="inlineStr"/>
      <c r="U37" t="inlineStr"/>
      <c r="V37">
        <f>IF(OR(L37="",S37=""),"",IF(VALUE(L37)=VALUE(S37),"Y","N"))</f>
        <v/>
      </c>
      <c r="W37">
        <f>IF(V37="Y",S37,"")</f>
        <v/>
      </c>
      <c r="X37" t="inlineStr">
        <is>
          <t>RED ISLAND: 52 m of Rancho Santa Fe Farms Road at 40 mph between 25/35 mph on both sides (single); is the posted limit really higher here?</t>
        </is>
      </c>
      <c r="Y37" t="inlineStr"/>
      <c r="Z37" t="n">
        <v>52</v>
      </c>
      <c r="AA37" t="inlineStr">
        <is>
          <t>sd</t>
        </is>
      </c>
      <c r="AB37" t="inlineStr">
        <is>
          <t>sd|32.96841,-117.17847</t>
        </is>
      </c>
    </row>
    <row r="38">
      <c r="A38" t="inlineStr">
        <is>
          <t>SD-B2-037</t>
        </is>
      </c>
      <c r="B38" t="inlineStr">
        <is>
          <t>San Diego area</t>
        </is>
      </c>
      <c r="C38" t="inlineStr">
        <is>
          <t>Point Loma Avenue</t>
        </is>
      </c>
      <c r="D38" t="inlineStr">
        <is>
          <t>Sunset Cliffs Boulevard</t>
        </is>
      </c>
      <c r="E38" t="inlineStr">
        <is>
          <t>Ebers Street</t>
        </is>
      </c>
      <c r="F38" t="inlineStr"/>
      <c r="G38" t="inlineStr"/>
      <c r="H38" t="inlineStr">
        <is>
          <t>inferred</t>
        </is>
      </c>
      <c r="I38" t="inlineStr">
        <is>
          <t>no</t>
        </is>
      </c>
      <c r="J38" t="inlineStr">
        <is>
          <t>https://www.google.com/maps/@?api=1&amp;map_action=pano&amp;viewpoint=32.734810,-117.252415&amp;heading=125</t>
        </is>
      </c>
      <c r="K38" t="inlineStr">
        <is>
          <t>https://www.google.com/maps/search/?api=1&amp;query=32.734810,-117.252415</t>
        </is>
      </c>
      <c r="L38" t="inlineStr"/>
      <c r="M38" t="inlineStr"/>
      <c r="N38" t="inlineStr"/>
      <c r="O38" t="inlineStr"/>
      <c r="P38" t="inlineStr">
        <is>
          <t>pending</t>
        </is>
      </c>
      <c r="Q38" t="inlineStr"/>
      <c r="R38" t="inlineStr"/>
      <c r="S38" t="inlineStr"/>
      <c r="T38" t="inlineStr"/>
      <c r="U38" t="inlineStr"/>
      <c r="V38">
        <f>IF(OR(L38="",S38=""),"",IF(VALUE(L38)=VALUE(S38),"Y","N"))</f>
        <v/>
      </c>
      <c r="W38">
        <f>IF(V38="Y",S38,"")</f>
        <v/>
      </c>
      <c r="X38" t="inlineStr">
        <is>
          <t>RED ISLAND: 400 m of Point Loma Avenue at no limit between 25 mph on both sides (gap); is the posted limit really higher here?</t>
        </is>
      </c>
      <c r="Y38" t="inlineStr"/>
      <c r="Z38" t="n">
        <v>400</v>
      </c>
      <c r="AA38" t="inlineStr">
        <is>
          <t>sd</t>
        </is>
      </c>
      <c r="AB38" t="inlineStr">
        <is>
          <t>sd|32.73481,-117.25241</t>
        </is>
      </c>
    </row>
    <row r="39">
      <c r="A39" t="inlineStr">
        <is>
          <t>SD-B2-038</t>
        </is>
      </c>
      <c r="B39" t="inlineStr">
        <is>
          <t>San Diego area</t>
        </is>
      </c>
      <c r="C39" t="inlineStr">
        <is>
          <t>Nimitz Boulevard</t>
        </is>
      </c>
      <c r="D39" t="inlineStr">
        <is>
          <t>Chatsworth Boulevard</t>
        </is>
      </c>
      <c r="E39" t="inlineStr">
        <is>
          <t>Poe Street</t>
        </is>
      </c>
      <c r="F39" t="inlineStr">
        <is>
          <t>1518707819</t>
        </is>
      </c>
      <c r="G39" t="inlineStr"/>
      <c r="H39" t="inlineStr">
        <is>
          <t>inferred</t>
        </is>
      </c>
      <c r="I39" t="inlineStr">
        <is>
          <t>no</t>
        </is>
      </c>
      <c r="J39" t="inlineStr">
        <is>
          <t>https://www.google.com/maps/@?api=1&amp;map_action=pano&amp;viewpoint=32.736975,-117.230535&amp;heading=163</t>
        </is>
      </c>
      <c r="K39" t="inlineStr">
        <is>
          <t>https://www.google.com/maps/search/?api=1&amp;query=32.736975,-117.230535</t>
        </is>
      </c>
      <c r="L39" t="inlineStr"/>
      <c r="M39" t="inlineStr"/>
      <c r="N39" t="inlineStr"/>
      <c r="O39" t="inlineStr"/>
      <c r="P39" t="inlineStr">
        <is>
          <t>pending</t>
        </is>
      </c>
      <c r="Q39" t="inlineStr"/>
      <c r="R39" t="inlineStr"/>
      <c r="S39" t="inlineStr"/>
      <c r="T39" t="inlineStr"/>
      <c r="U39" t="inlineStr"/>
      <c r="V39">
        <f>IF(OR(L39="",S39=""),"",IF(VALUE(L39)=VALUE(S39),"Y","N"))</f>
        <v/>
      </c>
      <c r="W39">
        <f>IF(V39="Y",S39,"")</f>
        <v/>
      </c>
      <c r="X39" t="inlineStr">
        <is>
          <t>RED ISLAND: 87 m of Nimitz Boulevard at no limit between 35 mph on both sides (gap); is the posted limit really higher here?</t>
        </is>
      </c>
      <c r="Y39" t="inlineStr"/>
      <c r="Z39" t="n">
        <v>87</v>
      </c>
      <c r="AA39" t="inlineStr">
        <is>
          <t>sd</t>
        </is>
      </c>
      <c r="AB39" t="inlineStr">
        <is>
          <t>sd|32.73698,-117.23054</t>
        </is>
      </c>
    </row>
    <row r="40">
      <c r="A40" t="inlineStr">
        <is>
          <t>SD-B2-039</t>
        </is>
      </c>
      <c r="B40" t="inlineStr">
        <is>
          <t>San Diego area</t>
        </is>
      </c>
      <c r="C40" t="inlineStr">
        <is>
          <t>Nimitz Boulevard</t>
        </is>
      </c>
      <c r="D40" t="inlineStr">
        <is>
          <t>Atascadero Drive</t>
        </is>
      </c>
      <c r="E40" t="inlineStr">
        <is>
          <t>Bernice Drive</t>
        </is>
      </c>
      <c r="F40" t="inlineStr"/>
      <c r="G40" t="inlineStr"/>
      <c r="H40" t="inlineStr">
        <is>
          <t>inferred</t>
        </is>
      </c>
      <c r="I40" t="inlineStr">
        <is>
          <t>no</t>
        </is>
      </c>
      <c r="J40" t="inlineStr">
        <is>
          <t>https://www.google.com/maps/@?api=1&amp;map_action=pano&amp;viewpoint=32.738925,-117.231335&amp;heading=159</t>
        </is>
      </c>
      <c r="K40" t="inlineStr">
        <is>
          <t>https://www.google.com/maps/search/?api=1&amp;query=32.738925,-117.231335</t>
        </is>
      </c>
      <c r="L40" t="inlineStr"/>
      <c r="M40" t="inlineStr"/>
      <c r="N40" t="inlineStr"/>
      <c r="O40" t="inlineStr"/>
      <c r="P40" t="inlineStr">
        <is>
          <t>pending</t>
        </is>
      </c>
      <c r="Q40" t="inlineStr"/>
      <c r="R40" t="inlineStr"/>
      <c r="S40" t="inlineStr"/>
      <c r="T40" t="inlineStr"/>
      <c r="U40" t="inlineStr"/>
      <c r="V40">
        <f>IF(OR(L40="",S40=""),"",IF(VALUE(L40)=VALUE(S40),"Y","N"))</f>
        <v/>
      </c>
      <c r="W40">
        <f>IF(V40="Y",S40,"")</f>
        <v/>
      </c>
      <c r="X40" t="inlineStr">
        <is>
          <t>RED ISLAND: 87 m of Nimitz Boulevard at no limit between 25/35 mph on both sides (gap); is the posted limit really higher here?</t>
        </is>
      </c>
      <c r="Y40" t="inlineStr"/>
      <c r="Z40" t="n">
        <v>87</v>
      </c>
      <c r="AA40" t="inlineStr">
        <is>
          <t>sd</t>
        </is>
      </c>
      <c r="AB40" t="inlineStr">
        <is>
          <t>sd|32.73892,-117.23134</t>
        </is>
      </c>
    </row>
    <row r="41">
      <c r="A41" t="inlineStr">
        <is>
          <t>SD-B2-040</t>
        </is>
      </c>
      <c r="B41" t="inlineStr">
        <is>
          <t>San Diego area</t>
        </is>
      </c>
      <c r="C41" t="inlineStr">
        <is>
          <t>Scott Street</t>
        </is>
      </c>
      <c r="D41" t="inlineStr">
        <is>
          <t>Avenida de Portugal</t>
        </is>
      </c>
      <c r="E41" t="inlineStr">
        <is>
          <t>Fishermans Landing</t>
        </is>
      </c>
      <c r="F41" t="inlineStr">
        <is>
          <t>1123847067</t>
        </is>
      </c>
      <c r="G41" t="inlineStr"/>
      <c r="H41" t="inlineStr">
        <is>
          <t>inferred</t>
        </is>
      </c>
      <c r="I41" t="inlineStr">
        <is>
          <t>no</t>
        </is>
      </c>
      <c r="J41" t="inlineStr">
        <is>
          <t>https://www.google.com/maps/@?api=1&amp;map_action=pano&amp;viewpoint=32.724075,-117.228150&amp;heading=216</t>
        </is>
      </c>
      <c r="K41" t="inlineStr">
        <is>
          <t>https://www.google.com/maps/search/?api=1&amp;query=32.724075,-117.228150</t>
        </is>
      </c>
      <c r="L41" t="inlineStr"/>
      <c r="M41" t="inlineStr"/>
      <c r="N41" t="inlineStr"/>
      <c r="O41" t="inlineStr"/>
      <c r="P41" t="inlineStr">
        <is>
          <t>pending</t>
        </is>
      </c>
      <c r="Q41" t="inlineStr"/>
      <c r="R41" t="inlineStr"/>
      <c r="S41" t="inlineStr"/>
      <c r="T41" t="inlineStr"/>
      <c r="U41" t="inlineStr"/>
      <c r="V41">
        <f>IF(OR(L41="",S41=""),"",IF(VALUE(L41)=VALUE(S41),"Y","N"))</f>
        <v/>
      </c>
      <c r="W41">
        <f>IF(V41="Y",S41,"")</f>
        <v/>
      </c>
      <c r="X41" t="inlineStr">
        <is>
          <t>RED ISLAND: 654 m of Scott Street at no limit between 25 mph on both sides (gap); is the posted limit really higher here?</t>
        </is>
      </c>
      <c r="Y41" t="inlineStr"/>
      <c r="Z41" t="n">
        <v>654</v>
      </c>
      <c r="AA41" t="inlineStr">
        <is>
          <t>sd</t>
        </is>
      </c>
      <c r="AB41" t="inlineStr">
        <is>
          <t>sd|32.72407,-117.22815</t>
        </is>
      </c>
    </row>
    <row r="42">
      <c r="A42" t="inlineStr">
        <is>
          <t>SD-B2-041</t>
        </is>
      </c>
      <c r="B42" t="inlineStr">
        <is>
          <t>San Diego area</t>
        </is>
      </c>
      <c r="C42" t="inlineStr">
        <is>
          <t>North Mission Bay Drive</t>
        </is>
      </c>
      <c r="D42" t="inlineStr">
        <is>
          <t>(see map link)</t>
        </is>
      </c>
      <c r="E42" t="inlineStr">
        <is>
          <t>Mission Bay Drive</t>
        </is>
      </c>
      <c r="F42" t="inlineStr">
        <is>
          <t>234376240</t>
        </is>
      </c>
      <c r="G42" t="inlineStr"/>
      <c r="H42" t="inlineStr">
        <is>
          <t>inferred</t>
        </is>
      </c>
      <c r="I42" t="inlineStr">
        <is>
          <t>no</t>
        </is>
      </c>
      <c r="J42" t="inlineStr">
        <is>
          <t>https://www.google.com/maps/@?api=1&amp;map_action=pano&amp;viewpoint=32.797915,-117.211435&amp;heading=115</t>
        </is>
      </c>
      <c r="K42" t="inlineStr">
        <is>
          <t>https://www.google.com/maps/search/?api=1&amp;query=32.797915,-117.211435</t>
        </is>
      </c>
      <c r="L42" t="inlineStr"/>
      <c r="M42" t="inlineStr"/>
      <c r="N42" t="inlineStr"/>
      <c r="O42" t="inlineStr"/>
      <c r="P42" t="inlineStr">
        <is>
          <t>pending</t>
        </is>
      </c>
      <c r="Q42" t="inlineStr"/>
      <c r="R42" t="inlineStr"/>
      <c r="S42" t="inlineStr"/>
      <c r="T42" t="inlineStr"/>
      <c r="U42" t="inlineStr"/>
      <c r="V42">
        <f>IF(OR(L42="",S42=""),"",IF(VALUE(L42)=VALUE(S42),"Y","N"))</f>
        <v/>
      </c>
      <c r="W42">
        <f>IF(V42="Y",S42,"")</f>
        <v/>
      </c>
      <c r="X42" t="inlineStr">
        <is>
          <t>RED ISLAND: 20 m of North Mission Bay Drive at no limit between 25 mph on both sides (gap); is the posted limit really higher here?</t>
        </is>
      </c>
      <c r="Y42" t="inlineStr"/>
      <c r="Z42" t="n">
        <v>20</v>
      </c>
      <c r="AA42" t="inlineStr">
        <is>
          <t>sd</t>
        </is>
      </c>
      <c r="AB42" t="inlineStr">
        <is>
          <t>sd|32.79792,-117.21143</t>
        </is>
      </c>
    </row>
    <row r="43">
      <c r="A43" t="inlineStr">
        <is>
          <t>SD-B2-042</t>
        </is>
      </c>
      <c r="B43" t="inlineStr">
        <is>
          <t>San Diego area</t>
        </is>
      </c>
      <c r="C43" t="inlineStr">
        <is>
          <t>John Jay Hopkins Drive</t>
        </is>
      </c>
      <c r="D43" t="inlineStr">
        <is>
          <t>(see map link)</t>
        </is>
      </c>
      <c r="E43" t="inlineStr">
        <is>
          <t>Cray Court</t>
        </is>
      </c>
      <c r="F43" t="inlineStr">
        <is>
          <t>5987761</t>
        </is>
      </c>
      <c r="G43" t="n">
        <v>40</v>
      </c>
      <c r="H43" t="inlineStr">
        <is>
          <t>tag</t>
        </is>
      </c>
      <c r="I43" t="inlineStr">
        <is>
          <t>no</t>
        </is>
      </c>
      <c r="J43" t="inlineStr">
        <is>
          <t>https://www.google.com/maps/@?api=1&amp;map_action=pano&amp;viewpoint=32.897230,-117.239590&amp;heading=354</t>
        </is>
      </c>
      <c r="K43" t="inlineStr">
        <is>
          <t>https://www.google.com/maps/search/?api=1&amp;query=32.897230,-117.239590</t>
        </is>
      </c>
      <c r="L43" t="inlineStr"/>
      <c r="M43" t="inlineStr"/>
      <c r="N43" t="inlineStr"/>
      <c r="O43" t="inlineStr"/>
      <c r="P43" t="inlineStr">
        <is>
          <t>pending</t>
        </is>
      </c>
      <c r="Q43" t="inlineStr"/>
      <c r="R43" t="inlineStr"/>
      <c r="S43" t="inlineStr"/>
      <c r="T43" t="inlineStr"/>
      <c r="U43" t="inlineStr"/>
      <c r="V43">
        <f>IF(OR(L43="",S43=""),"",IF(VALUE(L43)=VALUE(S43),"Y","N"))</f>
        <v/>
      </c>
      <c r="W43">
        <f>IF(V43="Y",S43,"")</f>
        <v/>
      </c>
      <c r="X43" t="inlineStr">
        <is>
          <t>RED ISLAND: 659 m of John Jay Hopkins Drive at 40 mph between 25 mph on both sides (single); is the posted limit really higher here?</t>
        </is>
      </c>
      <c r="Y43" t="inlineStr"/>
      <c r="Z43" t="n">
        <v>659</v>
      </c>
      <c r="AA43" t="inlineStr">
        <is>
          <t>sd</t>
        </is>
      </c>
      <c r="AB43" t="inlineStr">
        <is>
          <t>sd|32.89723,-117.23959</t>
        </is>
      </c>
    </row>
    <row r="44">
      <c r="A44" t="inlineStr">
        <is>
          <t>SD-B2-043</t>
        </is>
      </c>
      <c r="B44" t="inlineStr">
        <is>
          <t>San Diego area</t>
        </is>
      </c>
      <c r="C44" t="inlineStr">
        <is>
          <t>Nobel Drive</t>
        </is>
      </c>
      <c r="D44" t="inlineStr">
        <is>
          <t>Lebon Drive</t>
        </is>
      </c>
      <c r="E44" t="inlineStr">
        <is>
          <t>Caminito Plaza Centro</t>
        </is>
      </c>
      <c r="F44" t="inlineStr">
        <is>
          <t>1522801236</t>
        </is>
      </c>
      <c r="G44" t="n">
        <v>40</v>
      </c>
      <c r="H44" t="inlineStr">
        <is>
          <t>tag</t>
        </is>
      </c>
      <c r="I44" t="inlineStr">
        <is>
          <t>no</t>
        </is>
      </c>
      <c r="J44" t="inlineStr">
        <is>
          <t>https://www.google.com/maps/@?api=1&amp;map_action=pano&amp;viewpoint=32.868455,-117.227685&amp;heading=266</t>
        </is>
      </c>
      <c r="K44" t="inlineStr">
        <is>
          <t>https://www.google.com/maps/search/?api=1&amp;query=32.868455,-117.227685</t>
        </is>
      </c>
      <c r="L44" t="inlineStr"/>
      <c r="M44" t="inlineStr"/>
      <c r="N44" t="inlineStr"/>
      <c r="O44" t="inlineStr"/>
      <c r="P44" t="inlineStr">
        <is>
          <t>pending</t>
        </is>
      </c>
      <c r="Q44" t="inlineStr"/>
      <c r="R44" t="inlineStr"/>
      <c r="S44" t="inlineStr"/>
      <c r="T44" t="inlineStr"/>
      <c r="U44" t="inlineStr"/>
      <c r="V44">
        <f>IF(OR(L44="",S44=""),"",IF(VALUE(L44)=VALUE(S44),"Y","N"))</f>
        <v/>
      </c>
      <c r="W44">
        <f>IF(V44="Y",S44,"")</f>
        <v/>
      </c>
      <c r="X44" t="inlineStr">
        <is>
          <t>RED ISLAND: 306 m of Nobel Drive at 40 mph between 35 mph on both sides (single); is the posted limit really higher here?</t>
        </is>
      </c>
      <c r="Y44" t="inlineStr"/>
      <c r="Z44" t="n">
        <v>306</v>
      </c>
      <c r="AA44" t="inlineStr">
        <is>
          <t>sd</t>
        </is>
      </c>
      <c r="AB44" t="inlineStr">
        <is>
          <t>sd|32.86845,-117.22769</t>
        </is>
      </c>
    </row>
    <row r="45">
      <c r="A45" t="inlineStr">
        <is>
          <t>SD-B2-044</t>
        </is>
      </c>
      <c r="B45" t="inlineStr">
        <is>
          <t>San Diego area</t>
        </is>
      </c>
      <c r="C45" t="inlineStr">
        <is>
          <t>Regents Road</t>
        </is>
      </c>
      <c r="D45" t="inlineStr">
        <is>
          <t>Plaza de Palmas</t>
        </is>
      </c>
      <c r="E45" t="inlineStr">
        <is>
          <t>Nobel Drive</t>
        </is>
      </c>
      <c r="F45" t="inlineStr">
        <is>
          <t>5971554</t>
        </is>
      </c>
      <c r="G45" t="inlineStr"/>
      <c r="H45" t="inlineStr">
        <is>
          <t>inferred</t>
        </is>
      </c>
      <c r="I45" t="inlineStr">
        <is>
          <t>no</t>
        </is>
      </c>
      <c r="J45" t="inlineStr">
        <is>
          <t>https://www.google.com/maps/@?api=1&amp;map_action=pano&amp;viewpoint=32.870100,-117.218250&amp;heading=2</t>
        </is>
      </c>
      <c r="K45" t="inlineStr">
        <is>
          <t>https://www.google.com/maps/search/?api=1&amp;query=32.870100,-117.218250</t>
        </is>
      </c>
      <c r="L45" t="inlineStr"/>
      <c r="M45" t="inlineStr"/>
      <c r="N45" t="inlineStr"/>
      <c r="O45" t="inlineStr"/>
      <c r="P45" t="inlineStr">
        <is>
          <t>pending</t>
        </is>
      </c>
      <c r="Q45" t="inlineStr"/>
      <c r="R45" t="inlineStr"/>
      <c r="S45" t="inlineStr"/>
      <c r="T45" t="inlineStr"/>
      <c r="U45" t="inlineStr"/>
      <c r="V45">
        <f>IF(OR(L45="",S45=""),"",IF(VALUE(L45)=VALUE(S45),"Y","N"))</f>
        <v/>
      </c>
      <c r="W45">
        <f>IF(V45="Y",S45,"")</f>
        <v/>
      </c>
      <c r="X45" t="inlineStr">
        <is>
          <t>RED ISLAND: 472 m of Regents Road at no limit between 25/35 mph on both sides (gap); is the posted limit really higher here?</t>
        </is>
      </c>
      <c r="Y45" t="inlineStr"/>
      <c r="Z45" t="n">
        <v>472</v>
      </c>
      <c r="AA45" t="inlineStr">
        <is>
          <t>sd</t>
        </is>
      </c>
      <c r="AB45" t="inlineStr">
        <is>
          <t>sd|32.87010,-117.21825</t>
        </is>
      </c>
    </row>
    <row r="46">
      <c r="A46" t="inlineStr">
        <is>
          <t>SD-B2-045</t>
        </is>
      </c>
      <c r="B46" t="inlineStr">
        <is>
          <t>San Diego area</t>
        </is>
      </c>
      <c r="C46" t="inlineStr">
        <is>
          <t>Nobel Drive</t>
        </is>
      </c>
      <c r="D46" t="inlineStr">
        <is>
          <t>Regents Road</t>
        </is>
      </c>
      <c r="E46" t="inlineStr">
        <is>
          <t>Cargill Avenue</t>
        </is>
      </c>
      <c r="F46" t="inlineStr">
        <is>
          <t>234063215</t>
        </is>
      </c>
      <c r="G46" t="n">
        <v>40</v>
      </c>
      <c r="H46" t="inlineStr">
        <is>
          <t>tag</t>
        </is>
      </c>
      <c r="I46" t="inlineStr">
        <is>
          <t>no</t>
        </is>
      </c>
      <c r="J46" t="inlineStr">
        <is>
          <t>https://www.google.com/maps/@?api=1&amp;map_action=pano&amp;viewpoint=32.866360,-117.215640&amp;heading=95</t>
        </is>
      </c>
      <c r="K46" t="inlineStr">
        <is>
          <t>https://www.google.com/maps/search/?api=1&amp;query=32.866360,-117.215640</t>
        </is>
      </c>
      <c r="L46" t="inlineStr"/>
      <c r="M46" t="inlineStr"/>
      <c r="N46" t="inlineStr"/>
      <c r="O46" t="inlineStr"/>
      <c r="P46" t="inlineStr">
        <is>
          <t>pending</t>
        </is>
      </c>
      <c r="Q46" t="inlineStr"/>
      <c r="R46" t="inlineStr"/>
      <c r="S46" t="inlineStr"/>
      <c r="T46" t="inlineStr"/>
      <c r="U46" t="inlineStr"/>
      <c r="V46">
        <f>IF(OR(L46="",S46=""),"",IF(VALUE(L46)=VALUE(S46),"Y","N"))</f>
        <v/>
      </c>
      <c r="W46">
        <f>IF(V46="Y",S46,"")</f>
        <v/>
      </c>
      <c r="X46" t="inlineStr">
        <is>
          <t>RED ISLAND: 536 m of Nobel Drive at 40 mph between 35 mph on both sides (single); is the posted limit really higher here?</t>
        </is>
      </c>
      <c r="Y46" t="inlineStr"/>
      <c r="Z46" t="n">
        <v>536</v>
      </c>
      <c r="AA46" t="inlineStr">
        <is>
          <t>sd</t>
        </is>
      </c>
      <c r="AB46" t="inlineStr">
        <is>
          <t>sd|32.86636,-117.21564</t>
        </is>
      </c>
    </row>
    <row r="47">
      <c r="A47" t="inlineStr">
        <is>
          <t>SD-B2-046</t>
        </is>
      </c>
      <c r="B47" t="inlineStr">
        <is>
          <t>San Diego area</t>
        </is>
      </c>
      <c r="C47" t="inlineStr">
        <is>
          <t>Clairemont Drive</t>
        </is>
      </c>
      <c r="D47" t="inlineStr">
        <is>
          <t>Clairemont Mesa Boulevard</t>
        </is>
      </c>
      <c r="E47" t="inlineStr">
        <is>
          <t>Indian Way</t>
        </is>
      </c>
      <c r="F47" t="inlineStr">
        <is>
          <t>436408841</t>
        </is>
      </c>
      <c r="G47" t="inlineStr"/>
      <c r="H47" t="inlineStr">
        <is>
          <t>inferred</t>
        </is>
      </c>
      <c r="I47" t="inlineStr">
        <is>
          <t>no</t>
        </is>
      </c>
      <c r="J47" t="inlineStr">
        <is>
          <t>https://www.google.com/maps/@?api=1&amp;map_action=pano&amp;viewpoint=32.823010,-117.205650&amp;heading=338</t>
        </is>
      </c>
      <c r="K47" t="inlineStr">
        <is>
          <t>https://www.google.com/maps/search/?api=1&amp;query=32.823010,-117.205650</t>
        </is>
      </c>
      <c r="L47" t="inlineStr"/>
      <c r="M47" t="inlineStr"/>
      <c r="N47" t="inlineStr"/>
      <c r="O47" t="inlineStr"/>
      <c r="P47" t="inlineStr">
        <is>
          <t>pending</t>
        </is>
      </c>
      <c r="Q47" t="inlineStr"/>
      <c r="R47" t="inlineStr"/>
      <c r="S47" t="inlineStr"/>
      <c r="T47" t="inlineStr"/>
      <c r="U47" t="inlineStr"/>
      <c r="V47">
        <f>IF(OR(L47="",S47=""),"",IF(VALUE(L47)=VALUE(S47),"Y","N"))</f>
        <v/>
      </c>
      <c r="W47">
        <f>IF(V47="Y",S47,"")</f>
        <v/>
      </c>
      <c r="X47" t="inlineStr">
        <is>
          <t>RED ISLAND: 790 m of Clairemont Drive at no limit between 35 mph on both sides (gap); is the posted limit really higher here?</t>
        </is>
      </c>
      <c r="Y47" t="inlineStr"/>
      <c r="Z47" t="n">
        <v>790</v>
      </c>
      <c r="AA47" t="inlineStr">
        <is>
          <t>sd</t>
        </is>
      </c>
      <c r="AB47" t="inlineStr">
        <is>
          <t>sd|32.82301,-117.20565</t>
        </is>
      </c>
    </row>
    <row r="48">
      <c r="A48" t="inlineStr">
        <is>
          <t>SD-B2-047</t>
        </is>
      </c>
      <c r="B48" t="inlineStr">
        <is>
          <t>San Diego area</t>
        </is>
      </c>
      <c r="C48" t="inlineStr">
        <is>
          <t>John Jay Hopkins Drive</t>
        </is>
      </c>
      <c r="D48" t="inlineStr">
        <is>
          <t>(see map link)</t>
        </is>
      </c>
      <c r="E48" t="inlineStr">
        <is>
          <t>John Hopkins Court</t>
        </is>
      </c>
      <c r="F48" t="inlineStr">
        <is>
          <t>6015003</t>
        </is>
      </c>
      <c r="G48" t="n">
        <v>40</v>
      </c>
      <c r="H48" t="inlineStr">
        <is>
          <t>tag</t>
        </is>
      </c>
      <c r="I48" t="inlineStr">
        <is>
          <t>no</t>
        </is>
      </c>
      <c r="J48" t="inlineStr">
        <is>
          <t>https://www.google.com/maps/@?api=1&amp;map_action=pano&amp;viewpoint=32.892445,-117.239130&amp;heading=355</t>
        </is>
      </c>
      <c r="K48" t="inlineStr">
        <is>
          <t>https://www.google.com/maps/search/?api=1&amp;query=32.892445,-117.239130</t>
        </is>
      </c>
      <c r="L48" t="inlineStr"/>
      <c r="M48" t="inlineStr"/>
      <c r="N48" t="inlineStr"/>
      <c r="O48" t="inlineStr"/>
      <c r="P48" t="inlineStr">
        <is>
          <t>pending</t>
        </is>
      </c>
      <c r="Q48" t="inlineStr"/>
      <c r="R48" t="inlineStr"/>
      <c r="S48" t="inlineStr"/>
      <c r="T48" t="inlineStr"/>
      <c r="U48" t="inlineStr"/>
      <c r="V48">
        <f>IF(OR(L48="",S48=""),"",IF(VALUE(L48)=VALUE(S48),"Y","N"))</f>
        <v/>
      </c>
      <c r="W48">
        <f>IF(V48="Y",S48,"")</f>
        <v/>
      </c>
      <c r="X48" t="inlineStr">
        <is>
          <t>RED ISLAND: 97 m of John Jay Hopkins Drive at 40 mph between 25 mph on both sides (single); is the posted limit really higher here?</t>
        </is>
      </c>
      <c r="Y48" t="inlineStr"/>
      <c r="Z48" t="n">
        <v>97</v>
      </c>
      <c r="AA48" t="inlineStr">
        <is>
          <t>sd</t>
        </is>
      </c>
      <c r="AB48" t="inlineStr">
        <is>
          <t>sd|32.89244,-117.23913</t>
        </is>
      </c>
    </row>
    <row r="49">
      <c r="A49" t="inlineStr">
        <is>
          <t>SD-B2-048</t>
        </is>
      </c>
      <c r="B49" t="inlineStr">
        <is>
          <t>San Diego area</t>
        </is>
      </c>
      <c r="C49" t="inlineStr">
        <is>
          <t>La Jolla Scenic Drive South</t>
        </is>
      </c>
      <c r="D49" t="inlineStr">
        <is>
          <t>Cardeno Drive</t>
        </is>
      </c>
      <c r="E49" t="inlineStr">
        <is>
          <t>Soledad Mountain Road</t>
        </is>
      </c>
      <c r="F49" t="inlineStr">
        <is>
          <t>765602613</t>
        </is>
      </c>
      <c r="G49" t="inlineStr"/>
      <c r="H49" t="inlineStr">
        <is>
          <t>inferred</t>
        </is>
      </c>
      <c r="I49" t="inlineStr">
        <is>
          <t>no</t>
        </is>
      </c>
      <c r="J49" t="inlineStr">
        <is>
          <t>https://www.google.com/maps/@?api=1&amp;map_action=pano&amp;viewpoint=32.834580,-117.248910&amp;heading=22</t>
        </is>
      </c>
      <c r="K49" t="inlineStr">
        <is>
          <t>https://www.google.com/maps/search/?api=1&amp;query=32.834580,-117.248910</t>
        </is>
      </c>
      <c r="L49" t="inlineStr"/>
      <c r="M49" t="inlineStr"/>
      <c r="N49" t="inlineStr"/>
      <c r="O49" t="inlineStr"/>
      <c r="P49" t="inlineStr">
        <is>
          <t>pending</t>
        </is>
      </c>
      <c r="Q49" t="inlineStr"/>
      <c r="R49" t="inlineStr"/>
      <c r="S49" t="inlineStr"/>
      <c r="T49" t="inlineStr"/>
      <c r="U49" t="inlineStr"/>
      <c r="V49">
        <f>IF(OR(L49="",S49=""),"",IF(VALUE(L49)=VALUE(S49),"Y","N"))</f>
        <v/>
      </c>
      <c r="W49">
        <f>IF(V49="Y",S49,"")</f>
        <v/>
      </c>
      <c r="X49" t="inlineStr">
        <is>
          <t>RED ISLAND: 321 m of La Jolla Scenic Drive South at no limit between 25 mph on both sides (gap); is the posted limit really higher here?</t>
        </is>
      </c>
      <c r="Y49" t="inlineStr"/>
      <c r="Z49" t="n">
        <v>321</v>
      </c>
      <c r="AA49" t="inlineStr">
        <is>
          <t>sd</t>
        </is>
      </c>
      <c r="AB49" t="inlineStr">
        <is>
          <t>sd|32.83458,-117.24891</t>
        </is>
      </c>
    </row>
    <row r="50">
      <c r="A50" t="inlineStr">
        <is>
          <t>SD-B2-049</t>
        </is>
      </c>
      <c r="B50" t="inlineStr">
        <is>
          <t>San Diego area</t>
        </is>
      </c>
      <c r="C50" t="inlineStr">
        <is>
          <t>Roselle Street</t>
        </is>
      </c>
      <c r="D50" t="inlineStr">
        <is>
          <t>(see map link)</t>
        </is>
      </c>
      <c r="E50" t="inlineStr">
        <is>
          <t>Sorrento Valley Boulevard</t>
        </is>
      </c>
      <c r="F50" t="inlineStr">
        <is>
          <t>894419697</t>
        </is>
      </c>
      <c r="G50" t="inlineStr"/>
      <c r="H50" t="inlineStr">
        <is>
          <t>inferred</t>
        </is>
      </c>
      <c r="I50" t="inlineStr">
        <is>
          <t>no</t>
        </is>
      </c>
      <c r="J50" t="inlineStr">
        <is>
          <t>https://www.google.com/maps/@?api=1&amp;map_action=pano&amp;viewpoint=32.901150,-117.224265&amp;heading=141</t>
        </is>
      </c>
      <c r="K50" t="inlineStr">
        <is>
          <t>https://www.google.com/maps/search/?api=1&amp;query=32.901150,-117.224265</t>
        </is>
      </c>
      <c r="L50" t="inlineStr"/>
      <c r="M50" t="inlineStr"/>
      <c r="N50" t="inlineStr"/>
      <c r="O50" t="inlineStr"/>
      <c r="P50" t="inlineStr">
        <is>
          <t>pending</t>
        </is>
      </c>
      <c r="Q50" t="inlineStr"/>
      <c r="R50" t="inlineStr"/>
      <c r="S50" t="inlineStr"/>
      <c r="T50" t="inlineStr"/>
      <c r="U50" t="inlineStr"/>
      <c r="V50">
        <f>IF(OR(L50="",S50=""),"",IF(VALUE(L50)=VALUE(S50),"Y","N"))</f>
        <v/>
      </c>
      <c r="W50">
        <f>IF(V50="Y",S50,"")</f>
        <v/>
      </c>
      <c r="X50" t="inlineStr">
        <is>
          <t>RED ISLAND: 275 m of Roselle Street at no limit between 25 mph on both sides (gap); is the posted limit really higher here?</t>
        </is>
      </c>
      <c r="Y50" t="inlineStr"/>
      <c r="Z50" t="n">
        <v>275</v>
      </c>
      <c r="AA50" t="inlineStr">
        <is>
          <t>sd</t>
        </is>
      </c>
      <c r="AB50" t="inlineStr">
        <is>
          <t>sd|32.90115,-117.22427</t>
        </is>
      </c>
    </row>
    <row r="51">
      <c r="A51" t="inlineStr">
        <is>
          <t>SD-B2-050</t>
        </is>
      </c>
      <c r="B51" t="inlineStr">
        <is>
          <t>San Diego area</t>
        </is>
      </c>
      <c r="C51" t="inlineStr">
        <is>
          <t>Carmel Creek Road</t>
        </is>
      </c>
      <c r="D51" t="inlineStr">
        <is>
          <t>(see map link)</t>
        </is>
      </c>
      <c r="E51" t="inlineStr">
        <is>
          <t>Valley Centre Drive</t>
        </is>
      </c>
      <c r="F51" t="inlineStr">
        <is>
          <t>43440732</t>
        </is>
      </c>
      <c r="G51" t="inlineStr"/>
      <c r="H51" t="inlineStr">
        <is>
          <t>inferred</t>
        </is>
      </c>
      <c r="I51" t="inlineStr">
        <is>
          <t>no</t>
        </is>
      </c>
      <c r="J51" t="inlineStr">
        <is>
          <t>https://www.google.com/maps/@?api=1&amp;map_action=pano&amp;viewpoint=32.937295,-117.229225&amp;heading=154</t>
        </is>
      </c>
      <c r="K51" t="inlineStr">
        <is>
          <t>https://www.google.com/maps/search/?api=1&amp;query=32.937295,-117.229225</t>
        </is>
      </c>
      <c r="L51" t="inlineStr"/>
      <c r="M51" t="inlineStr"/>
      <c r="N51" t="inlineStr"/>
      <c r="O51" t="inlineStr"/>
      <c r="P51" t="inlineStr">
        <is>
          <t>pending</t>
        </is>
      </c>
      <c r="Q51" t="inlineStr"/>
      <c r="R51" t="inlineStr"/>
      <c r="S51" t="inlineStr"/>
      <c r="T51" t="inlineStr"/>
      <c r="U51" t="inlineStr"/>
      <c r="V51">
        <f>IF(OR(L51="",S51=""),"",IF(VALUE(L51)=VALUE(S51),"Y","N"))</f>
        <v/>
      </c>
      <c r="W51">
        <f>IF(V51="Y",S51,"")</f>
        <v/>
      </c>
      <c r="X51" t="inlineStr">
        <is>
          <t>RED ISLAND: 193 m of Carmel Creek Road at no limit between 25/35 mph on both sides (gap); is the posted limit really higher here?</t>
        </is>
      </c>
      <c r="Y51" t="inlineStr"/>
      <c r="Z51" t="n">
        <v>193</v>
      </c>
      <c r="AA51" t="inlineStr">
        <is>
          <t>sd</t>
        </is>
      </c>
      <c r="AB51" t="inlineStr">
        <is>
          <t>sd|32.93729,-117.22922</t>
        </is>
      </c>
    </row>
    <row r="52">
      <c r="A52" t="inlineStr">
        <is>
          <t>SD-B2-051</t>
        </is>
      </c>
      <c r="B52" t="inlineStr">
        <is>
          <t>San Diego area</t>
        </is>
      </c>
      <c r="C52" t="inlineStr">
        <is>
          <t>Carmel Creek Road</t>
        </is>
      </c>
      <c r="D52" t="inlineStr">
        <is>
          <t>Valley Centre Drive</t>
        </is>
      </c>
      <c r="E52" t="inlineStr">
        <is>
          <t>Valley Centre Drive</t>
        </is>
      </c>
      <c r="F52" t="inlineStr">
        <is>
          <t>360654279</t>
        </is>
      </c>
      <c r="G52" t="inlineStr"/>
      <c r="H52" t="inlineStr">
        <is>
          <t>inferred</t>
        </is>
      </c>
      <c r="I52" t="inlineStr">
        <is>
          <t>no</t>
        </is>
      </c>
      <c r="J52" t="inlineStr">
        <is>
          <t>https://www.google.com/maps/@?api=1&amp;map_action=pano&amp;viewpoint=32.937360,-117.229040&amp;heading=333</t>
        </is>
      </c>
      <c r="K52" t="inlineStr">
        <is>
          <t>https://www.google.com/maps/search/?api=1&amp;query=32.937360,-117.229040</t>
        </is>
      </c>
      <c r="L52" t="inlineStr"/>
      <c r="M52" t="inlineStr"/>
      <c r="N52" t="inlineStr"/>
      <c r="O52" t="inlineStr"/>
      <c r="P52" t="inlineStr">
        <is>
          <t>pending</t>
        </is>
      </c>
      <c r="Q52" t="inlineStr"/>
      <c r="R52" t="inlineStr"/>
      <c r="S52" t="inlineStr"/>
      <c r="T52" t="inlineStr"/>
      <c r="U52" t="inlineStr"/>
      <c r="V52">
        <f>IF(OR(L52="",S52=""),"",IF(VALUE(L52)=VALUE(S52),"Y","N"))</f>
        <v/>
      </c>
      <c r="W52">
        <f>IF(V52="Y",S52,"")</f>
        <v/>
      </c>
      <c r="X52" t="inlineStr">
        <is>
          <t>RED ISLAND: 195 m of Carmel Creek Road at no limit between 25/35 mph on both sides (gap); is the posted limit really higher here?</t>
        </is>
      </c>
      <c r="Y52" t="inlineStr"/>
      <c r="Z52" t="n">
        <v>195</v>
      </c>
      <c r="AA52" t="inlineStr">
        <is>
          <t>sd</t>
        </is>
      </c>
      <c r="AB52" t="inlineStr">
        <is>
          <t>sd|32.93736,-117.22904</t>
        </is>
      </c>
    </row>
    <row r="53">
      <c r="A53" t="inlineStr">
        <is>
          <t>SD-B2-052</t>
        </is>
      </c>
      <c r="B53" t="inlineStr">
        <is>
          <t>San Diego area</t>
        </is>
      </c>
      <c r="C53" t="inlineStr">
        <is>
          <t>Paseo Delicias</t>
        </is>
      </c>
      <c r="D53" t="inlineStr">
        <is>
          <t>La Granada</t>
        </is>
      </c>
      <c r="E53" t="inlineStr">
        <is>
          <t>El Tordo</t>
        </is>
      </c>
      <c r="F53" t="inlineStr">
        <is>
          <t>134545427</t>
        </is>
      </c>
      <c r="G53" t="inlineStr"/>
      <c r="H53" t="inlineStr">
        <is>
          <t>inferred</t>
        </is>
      </c>
      <c r="I53" t="inlineStr">
        <is>
          <t>no</t>
        </is>
      </c>
      <c r="J53" t="inlineStr">
        <is>
          <t>https://www.google.com/maps/@?api=1&amp;map_action=pano&amp;viewpoint=33.020615,-117.202370&amp;heading=47</t>
        </is>
      </c>
      <c r="K53" t="inlineStr">
        <is>
          <t>https://www.google.com/maps/search/?api=1&amp;query=33.020615,-117.202370</t>
        </is>
      </c>
      <c r="L53" t="inlineStr"/>
      <c r="M53" t="inlineStr"/>
      <c r="N53" t="inlineStr"/>
      <c r="O53" t="inlineStr"/>
      <c r="P53" t="inlineStr">
        <is>
          <t>pending</t>
        </is>
      </c>
      <c r="Q53" t="inlineStr"/>
      <c r="R53" t="inlineStr"/>
      <c r="S53" t="inlineStr"/>
      <c r="T53" t="inlineStr"/>
      <c r="U53" t="inlineStr"/>
      <c r="V53">
        <f>IF(OR(L53="",S53=""),"",IF(VALUE(L53)=VALUE(S53),"Y","N"))</f>
        <v/>
      </c>
      <c r="W53">
        <f>IF(V53="Y",S53,"")</f>
        <v/>
      </c>
      <c r="X53" t="inlineStr">
        <is>
          <t>RED ISLAND: 334 m of Paseo Delicias at no limit between 25 mph on both sides (gap); is the posted limit really higher here?</t>
        </is>
      </c>
      <c r="Y53" t="inlineStr"/>
      <c r="Z53" t="n">
        <v>334</v>
      </c>
      <c r="AA53" t="inlineStr">
        <is>
          <t>sd</t>
        </is>
      </c>
      <c r="AB53" t="inlineStr">
        <is>
          <t>sd|33.02061,-117.20237</t>
        </is>
      </c>
    </row>
    <row r="54">
      <c r="A54" t="inlineStr">
        <is>
          <t>SD-B2-053</t>
        </is>
      </c>
      <c r="B54" t="inlineStr">
        <is>
          <t>San Diego area</t>
        </is>
      </c>
      <c r="C54" t="inlineStr">
        <is>
          <t>Town Center Place</t>
        </is>
      </c>
      <c r="D54" t="inlineStr">
        <is>
          <t>(see map link)</t>
        </is>
      </c>
      <c r="E54" t="inlineStr">
        <is>
          <t>Leucadia Boulevard</t>
        </is>
      </c>
      <c r="F54" t="inlineStr">
        <is>
          <t>32678424</t>
        </is>
      </c>
      <c r="G54" t="n">
        <v>40</v>
      </c>
      <c r="H54" t="inlineStr">
        <is>
          <t>tag</t>
        </is>
      </c>
      <c r="I54" t="inlineStr">
        <is>
          <t>no</t>
        </is>
      </c>
      <c r="J54" t="inlineStr">
        <is>
          <t>https://www.google.com/maps/@?api=1&amp;map_action=pano&amp;viewpoint=33.069330,-117.264440&amp;heading=178</t>
        </is>
      </c>
      <c r="K54" t="inlineStr">
        <is>
          <t>https://www.google.com/maps/search/?api=1&amp;query=33.069330,-117.264440</t>
        </is>
      </c>
      <c r="L54" t="inlineStr"/>
      <c r="M54" t="inlineStr"/>
      <c r="N54" t="inlineStr"/>
      <c r="O54" t="inlineStr"/>
      <c r="P54" t="inlineStr">
        <is>
          <t>pending</t>
        </is>
      </c>
      <c r="Q54" t="inlineStr"/>
      <c r="R54" t="inlineStr"/>
      <c r="S54" t="inlineStr"/>
      <c r="T54" t="inlineStr"/>
      <c r="U54" t="inlineStr"/>
      <c r="V54">
        <f>IF(OR(L54="",S54=""),"",IF(VALUE(L54)=VALUE(S54),"Y","N"))</f>
        <v/>
      </c>
      <c r="W54">
        <f>IF(V54="Y",S54,"")</f>
        <v/>
      </c>
      <c r="X54" t="inlineStr">
        <is>
          <t>RED ISLAND: 612 m of Town Center Place at 40 mph between 25 mph on both sides (single); is the posted limit really higher here?</t>
        </is>
      </c>
      <c r="Y54" t="inlineStr"/>
      <c r="Z54" t="n">
        <v>612</v>
      </c>
      <c r="AA54" t="inlineStr">
        <is>
          <t>sd</t>
        </is>
      </c>
      <c r="AB54" t="inlineStr">
        <is>
          <t>sd|33.06933,-117.26444</t>
        </is>
      </c>
    </row>
    <row r="55">
      <c r="A55" t="inlineStr">
        <is>
          <t>SD-B2-054</t>
        </is>
      </c>
      <c r="B55" t="inlineStr">
        <is>
          <t>San Diego area</t>
        </is>
      </c>
      <c r="C55" t="inlineStr">
        <is>
          <t>Roosevelt Street</t>
        </is>
      </c>
      <c r="D55" t="inlineStr">
        <is>
          <t>Carlsbad Village Drive</t>
        </is>
      </c>
      <c r="E55" t="inlineStr">
        <is>
          <t>Oak Avenue</t>
        </is>
      </c>
      <c r="F55" t="inlineStr">
        <is>
          <t>1370287447</t>
        </is>
      </c>
      <c r="G55" t="inlineStr"/>
      <c r="H55" t="inlineStr">
        <is>
          <t>inferred</t>
        </is>
      </c>
      <c r="I55" t="inlineStr">
        <is>
          <t>no</t>
        </is>
      </c>
      <c r="J55" t="inlineStr">
        <is>
          <t>https://www.google.com/maps/@?api=1&amp;map_action=pano&amp;viewpoint=33.160830,-117.348290&amp;heading=151</t>
        </is>
      </c>
      <c r="K55" t="inlineStr">
        <is>
          <t>https://www.google.com/maps/search/?api=1&amp;query=33.160830,-117.348290</t>
        </is>
      </c>
      <c r="L55" t="inlineStr"/>
      <c r="M55" t="inlineStr"/>
      <c r="N55" t="inlineStr"/>
      <c r="O55" t="inlineStr"/>
      <c r="P55" t="inlineStr">
        <is>
          <t>pending</t>
        </is>
      </c>
      <c r="Q55" t="inlineStr"/>
      <c r="R55" t="inlineStr"/>
      <c r="S55" t="inlineStr"/>
      <c r="T55" t="inlineStr"/>
      <c r="U55" t="inlineStr"/>
      <c r="V55">
        <f>IF(OR(L55="",S55=""),"",IF(VALUE(L55)=VALUE(S55),"Y","N"))</f>
        <v/>
      </c>
      <c r="W55">
        <f>IF(V55="Y",S55,"")</f>
        <v/>
      </c>
      <c r="X55" t="inlineStr">
        <is>
          <t>RED ISLAND: 294 m of Roosevelt Street at no limit between 25 mph on both sides (gap); is the posted limit really higher here?</t>
        </is>
      </c>
      <c r="Y55" t="inlineStr"/>
      <c r="Z55" t="n">
        <v>294</v>
      </c>
      <c r="AA55" t="inlineStr">
        <is>
          <t>sd</t>
        </is>
      </c>
      <c r="AB55" t="inlineStr">
        <is>
          <t>sd|33.16083,-117.34829</t>
        </is>
      </c>
    </row>
    <row r="56">
      <c r="A56" t="inlineStr">
        <is>
          <t>SD-B2-055</t>
        </is>
      </c>
      <c r="B56" t="inlineStr">
        <is>
          <t>San Diego area</t>
        </is>
      </c>
      <c r="C56" t="inlineStr">
        <is>
          <t>Grandview Street</t>
        </is>
      </c>
      <c r="D56" t="inlineStr">
        <is>
          <t>Hunsaker Street</t>
        </is>
      </c>
      <c r="E56" t="inlineStr">
        <is>
          <t>Crouch Street</t>
        </is>
      </c>
      <c r="F56" t="inlineStr">
        <is>
          <t>5959211</t>
        </is>
      </c>
      <c r="G56" t="inlineStr"/>
      <c r="H56" t="inlineStr">
        <is>
          <t>inferred</t>
        </is>
      </c>
      <c r="I56" t="inlineStr">
        <is>
          <t>no</t>
        </is>
      </c>
      <c r="J56" t="inlineStr">
        <is>
          <t>https://www.google.com/maps/@?api=1&amp;map_action=pano&amp;viewpoint=33.189630,-117.353460&amp;heading=72</t>
        </is>
      </c>
      <c r="K56" t="inlineStr">
        <is>
          <t>https://www.google.com/maps/search/?api=1&amp;query=33.189630,-117.353460</t>
        </is>
      </c>
      <c r="L56" t="inlineStr"/>
      <c r="M56" t="inlineStr"/>
      <c r="N56" t="inlineStr"/>
      <c r="O56" t="inlineStr"/>
      <c r="P56" t="inlineStr">
        <is>
          <t>pending</t>
        </is>
      </c>
      <c r="Q56" t="inlineStr"/>
      <c r="R56" t="inlineStr"/>
      <c r="S56" t="inlineStr"/>
      <c r="T56" t="inlineStr"/>
      <c r="U56" t="inlineStr"/>
      <c r="V56">
        <f>IF(OR(L56="",S56=""),"",IF(VALUE(L56)=VALUE(S56),"Y","N"))</f>
        <v/>
      </c>
      <c r="W56">
        <f>IF(V56="Y",S56,"")</f>
        <v/>
      </c>
      <c r="X56" t="inlineStr">
        <is>
          <t>RED ISLAND: 440 m of Grandview Street at no limit between 25 mph on both sides (gap); is the posted limit really higher here?</t>
        </is>
      </c>
      <c r="Y56" t="inlineStr"/>
      <c r="Z56" t="n">
        <v>440</v>
      </c>
      <c r="AA56" t="inlineStr">
        <is>
          <t>sd</t>
        </is>
      </c>
      <c r="AB56" t="inlineStr">
        <is>
          <t>sd|33.18963,-117.35346</t>
        </is>
      </c>
    </row>
    <row r="57">
      <c r="A57" t="inlineStr">
        <is>
          <t>SD-B2-056</t>
        </is>
      </c>
      <c r="B57" t="inlineStr">
        <is>
          <t>San Diego area</t>
        </is>
      </c>
      <c r="C57" t="inlineStr">
        <is>
          <t>Cassidy Street</t>
        </is>
      </c>
      <c r="D57" t="inlineStr">
        <is>
          <t>(see map link)</t>
        </is>
      </c>
      <c r="E57" t="inlineStr">
        <is>
          <t>Hunsaker Street</t>
        </is>
      </c>
      <c r="F57" t="inlineStr">
        <is>
          <t>600951301</t>
        </is>
      </c>
      <c r="G57" t="inlineStr"/>
      <c r="H57" t="inlineStr">
        <is>
          <t>inferred</t>
        </is>
      </c>
      <c r="I57" t="inlineStr">
        <is>
          <t>no</t>
        </is>
      </c>
      <c r="J57" t="inlineStr">
        <is>
          <t>https://www.google.com/maps/@?api=1&amp;map_action=pano&amp;viewpoint=33.181130,-117.352285&amp;heading=55</t>
        </is>
      </c>
      <c r="K57" t="inlineStr">
        <is>
          <t>https://www.google.com/maps/search/?api=1&amp;query=33.181130,-117.352285</t>
        </is>
      </c>
      <c r="L57" t="inlineStr"/>
      <c r="M57" t="inlineStr"/>
      <c r="N57" t="inlineStr"/>
      <c r="O57" t="inlineStr"/>
      <c r="P57" t="inlineStr">
        <is>
          <t>pending</t>
        </is>
      </c>
      <c r="Q57" t="inlineStr"/>
      <c r="R57" t="inlineStr"/>
      <c r="S57" t="inlineStr"/>
      <c r="T57" t="inlineStr"/>
      <c r="U57" t="inlineStr"/>
      <c r="V57">
        <f>IF(OR(L57="",S57=""),"",IF(VALUE(L57)=VALUE(S57),"Y","N"))</f>
        <v/>
      </c>
      <c r="W57">
        <f>IF(V57="Y",S57,"")</f>
        <v/>
      </c>
      <c r="X57" t="inlineStr">
        <is>
          <t>RED ISLAND: 550 m of Cassidy Street at no limit between 25 mph on both sides (gap); is the posted limit really higher here?</t>
        </is>
      </c>
      <c r="Y57" t="inlineStr"/>
      <c r="Z57" t="n">
        <v>550</v>
      </c>
      <c r="AA57" t="inlineStr">
        <is>
          <t>sd</t>
        </is>
      </c>
      <c r="AB57" t="inlineStr">
        <is>
          <t>sd|33.18113,-117.35228</t>
        </is>
      </c>
    </row>
    <row r="58">
      <c r="A58" t="inlineStr">
        <is>
          <t>SD-B2-057</t>
        </is>
      </c>
      <c r="B58" t="inlineStr">
        <is>
          <t>San Diego area</t>
        </is>
      </c>
      <c r="C58" t="inlineStr">
        <is>
          <t>Avocado Road</t>
        </is>
      </c>
      <c r="D58" t="inlineStr">
        <is>
          <t>Ivy Road</t>
        </is>
      </c>
      <c r="E58" t="inlineStr">
        <is>
          <t>Vista Way</t>
        </is>
      </c>
      <c r="F58" t="inlineStr">
        <is>
          <t>32685083</t>
        </is>
      </c>
      <c r="G58" t="inlineStr"/>
      <c r="H58" t="inlineStr">
        <is>
          <t>inferred</t>
        </is>
      </c>
      <c r="I58" t="inlineStr">
        <is>
          <t>no</t>
        </is>
      </c>
      <c r="J58" t="inlineStr">
        <is>
          <t>https://www.google.com/maps/@?api=1&amp;map_action=pano&amp;viewpoint=33.183695,-117.341360&amp;heading=145</t>
        </is>
      </c>
      <c r="K58" t="inlineStr">
        <is>
          <t>https://www.google.com/maps/search/?api=1&amp;query=33.183695,-117.341360</t>
        </is>
      </c>
      <c r="L58" t="inlineStr"/>
      <c r="M58" t="inlineStr"/>
      <c r="N58" t="inlineStr"/>
      <c r="O58" t="inlineStr"/>
      <c r="P58" t="inlineStr">
        <is>
          <t>pending</t>
        </is>
      </c>
      <c r="Q58" t="inlineStr"/>
      <c r="R58" t="inlineStr"/>
      <c r="S58" t="inlineStr"/>
      <c r="T58" t="inlineStr"/>
      <c r="U58" t="inlineStr"/>
      <c r="V58">
        <f>IF(OR(L58="",S58=""),"",IF(VALUE(L58)=VALUE(S58),"Y","N"))</f>
        <v/>
      </c>
      <c r="W58">
        <f>IF(V58="Y",S58,"")</f>
        <v/>
      </c>
      <c r="X58" t="inlineStr">
        <is>
          <t>RED ISLAND: 121 m of Avocado Road at no limit between 25 mph on both sides (gap); is the posted limit really higher here?</t>
        </is>
      </c>
      <c r="Y58" t="inlineStr"/>
      <c r="Z58" t="n">
        <v>121</v>
      </c>
      <c r="AA58" t="inlineStr">
        <is>
          <t>sd</t>
        </is>
      </c>
      <c r="AB58" t="inlineStr">
        <is>
          <t>sd|33.18370,-117.34136</t>
        </is>
      </c>
    </row>
    <row r="59">
      <c r="A59" t="inlineStr">
        <is>
          <t>SD-B2-058</t>
        </is>
      </c>
      <c r="B59" t="inlineStr">
        <is>
          <t>San Diego area</t>
        </is>
      </c>
      <c r="C59" t="inlineStr">
        <is>
          <t>Seagaze Drive</t>
        </is>
      </c>
      <c r="D59" t="inlineStr">
        <is>
          <t>Pacific Coast Highway</t>
        </is>
      </c>
      <c r="E59" t="inlineStr">
        <is>
          <t>North Freeman Street</t>
        </is>
      </c>
      <c r="F59" t="inlineStr">
        <is>
          <t>499190658</t>
        </is>
      </c>
      <c r="G59" t="inlineStr"/>
      <c r="H59" t="inlineStr">
        <is>
          <t>inferred</t>
        </is>
      </c>
      <c r="I59" t="inlineStr">
        <is>
          <t>no</t>
        </is>
      </c>
      <c r="J59" t="inlineStr">
        <is>
          <t>https://www.google.com/maps/@?api=1&amp;map_action=pano&amp;viewpoint=33.194700,-117.379415&amp;heading=235</t>
        </is>
      </c>
      <c r="K59" t="inlineStr">
        <is>
          <t>https://www.google.com/maps/search/?api=1&amp;query=33.194700,-117.379415</t>
        </is>
      </c>
      <c r="L59" t="inlineStr"/>
      <c r="M59" t="inlineStr"/>
      <c r="N59" t="inlineStr"/>
      <c r="O59" t="inlineStr"/>
      <c r="P59" t="inlineStr">
        <is>
          <t>pending</t>
        </is>
      </c>
      <c r="Q59" t="inlineStr"/>
      <c r="R59" t="inlineStr"/>
      <c r="S59" t="inlineStr"/>
      <c r="T59" t="inlineStr"/>
      <c r="U59" t="inlineStr"/>
      <c r="V59">
        <f>IF(OR(L59="",S59=""),"",IF(VALUE(L59)=VALUE(S59),"Y","N"))</f>
        <v/>
      </c>
      <c r="W59">
        <f>IF(V59="Y",S59,"")</f>
        <v/>
      </c>
      <c r="X59" t="inlineStr">
        <is>
          <t>RED ISLAND: 545 m of Seagaze Drive at no limit between 25 mph on both sides (gap); is the posted limit really higher here?</t>
        </is>
      </c>
      <c r="Y59" t="inlineStr"/>
      <c r="Z59" t="n">
        <v>545</v>
      </c>
      <c r="AA59" t="inlineStr">
        <is>
          <t>sd</t>
        </is>
      </c>
      <c r="AB59" t="inlineStr">
        <is>
          <t>sd|33.19470,-117.37941</t>
        </is>
      </c>
    </row>
    <row r="60">
      <c r="A60" t="inlineStr">
        <is>
          <t>SD-B2-059</t>
        </is>
      </c>
      <c r="B60" t="inlineStr">
        <is>
          <t>San Diego area</t>
        </is>
      </c>
      <c r="C60" t="inlineStr">
        <is>
          <t>South Pacific Street</t>
        </is>
      </c>
      <c r="D60" t="inlineStr">
        <is>
          <t>Morse Street</t>
        </is>
      </c>
      <c r="E60" t="inlineStr">
        <is>
          <t>Cassidy Street</t>
        </is>
      </c>
      <c r="F60" t="inlineStr">
        <is>
          <t>367573677</t>
        </is>
      </c>
      <c r="G60" t="inlineStr"/>
      <c r="H60" t="inlineStr">
        <is>
          <t>inferred</t>
        </is>
      </c>
      <c r="I60" t="inlineStr">
        <is>
          <t>no</t>
        </is>
      </c>
      <c r="J60" t="inlineStr">
        <is>
          <t>https://www.google.com/maps/@?api=1&amp;map_action=pano&amp;viewpoint=33.174870,-117.366795&amp;heading=145</t>
        </is>
      </c>
      <c r="K60" t="inlineStr">
        <is>
          <t>https://www.google.com/maps/search/?api=1&amp;query=33.174870,-117.366795</t>
        </is>
      </c>
      <c r="L60" t="inlineStr"/>
      <c r="M60" t="inlineStr"/>
      <c r="N60" t="inlineStr"/>
      <c r="O60" t="inlineStr"/>
      <c r="P60" t="inlineStr">
        <is>
          <t>pending</t>
        </is>
      </c>
      <c r="Q60" t="inlineStr"/>
      <c r="R60" t="inlineStr"/>
      <c r="S60" t="inlineStr"/>
      <c r="T60" t="inlineStr"/>
      <c r="U60" t="inlineStr"/>
      <c r="V60">
        <f>IF(OR(L60="",S60=""),"",IF(VALUE(L60)=VALUE(S60),"Y","N"))</f>
        <v/>
      </c>
      <c r="W60">
        <f>IF(V60="Y",S60,"")</f>
        <v/>
      </c>
      <c r="X60" t="inlineStr">
        <is>
          <t>RED ISLAND: 536 m of South Pacific Street at no limit between 25 mph on both sides (gap); is the posted limit really higher here?</t>
        </is>
      </c>
      <c r="Y60" t="inlineStr"/>
      <c r="Z60" t="n">
        <v>536</v>
      </c>
      <c r="AA60" t="inlineStr">
        <is>
          <t>sd</t>
        </is>
      </c>
      <c r="AB60" t="inlineStr">
        <is>
          <t>sd|33.17487,-117.36679</t>
        </is>
      </c>
    </row>
    <row r="61">
      <c r="A61" t="inlineStr">
        <is>
          <t>SD-B2-060</t>
        </is>
      </c>
      <c r="B61" t="inlineStr">
        <is>
          <t>San Diego area</t>
        </is>
      </c>
      <c r="C61" t="inlineStr">
        <is>
          <t>Surfrider Way</t>
        </is>
      </c>
      <c r="D61" t="inlineStr">
        <is>
          <t>North Pacific Street</t>
        </is>
      </c>
      <c r="E61" t="inlineStr">
        <is>
          <t>North Cleveland Street</t>
        </is>
      </c>
      <c r="F61" t="inlineStr">
        <is>
          <t>6054637</t>
        </is>
      </c>
      <c r="G61" t="inlineStr"/>
      <c r="H61" t="inlineStr">
        <is>
          <t>inferred</t>
        </is>
      </c>
      <c r="I61" t="inlineStr">
        <is>
          <t>no</t>
        </is>
      </c>
      <c r="J61" t="inlineStr">
        <is>
          <t>https://www.google.com/maps/@?api=1&amp;map_action=pano&amp;viewpoint=33.198250,-117.384180&amp;heading=56</t>
        </is>
      </c>
      <c r="K61" t="inlineStr">
        <is>
          <t>https://www.google.com/maps/search/?api=1&amp;query=33.198250,-117.384180</t>
        </is>
      </c>
      <c r="L61" t="inlineStr"/>
      <c r="M61" t="inlineStr"/>
      <c r="N61" t="inlineStr"/>
      <c r="O61" t="inlineStr"/>
      <c r="P61" t="inlineStr">
        <is>
          <t>pending</t>
        </is>
      </c>
      <c r="Q61" t="inlineStr"/>
      <c r="R61" t="inlineStr"/>
      <c r="S61" t="inlineStr"/>
      <c r="T61" t="inlineStr"/>
      <c r="U61" t="inlineStr"/>
      <c r="V61">
        <f>IF(OR(L61="",S61=""),"",IF(VALUE(L61)=VALUE(S61),"Y","N"))</f>
        <v/>
      </c>
      <c r="W61">
        <f>IF(V61="Y",S61,"")</f>
        <v/>
      </c>
      <c r="X61" t="inlineStr">
        <is>
          <t>RED ISLAND: 647 m of Surfrider Way at no limit between 25 mph on both sides (gap); is the posted limit really higher here?</t>
        </is>
      </c>
      <c r="Y61" t="inlineStr"/>
      <c r="Z61" t="n">
        <v>647</v>
      </c>
      <c r="AA61" t="inlineStr">
        <is>
          <t>sd</t>
        </is>
      </c>
      <c r="AB61" t="inlineStr">
        <is>
          <t>sd|33.19825,-117.38418</t>
        </is>
      </c>
    </row>
    <row r="62">
      <c r="A62" t="inlineStr">
        <is>
          <t>SD-B2-061</t>
        </is>
      </c>
      <c r="B62" t="inlineStr">
        <is>
          <t>San Diego area</t>
        </is>
      </c>
      <c r="C62" t="inlineStr">
        <is>
          <t>Cassidy Street</t>
        </is>
      </c>
      <c r="D62" t="inlineStr">
        <is>
          <t>South Pacific Street</t>
        </is>
      </c>
      <c r="E62" t="inlineStr">
        <is>
          <t>South Myers Street</t>
        </is>
      </c>
      <c r="F62" t="inlineStr">
        <is>
          <t>30076691</t>
        </is>
      </c>
      <c r="G62" t="inlineStr"/>
      <c r="H62" t="inlineStr">
        <is>
          <t>inferred</t>
        </is>
      </c>
      <c r="I62" t="inlineStr">
        <is>
          <t>no</t>
        </is>
      </c>
      <c r="J62" t="inlineStr">
        <is>
          <t>https://www.google.com/maps/@?api=1&amp;map_action=pano&amp;viewpoint=33.173525,-117.365085&amp;heading=55</t>
        </is>
      </c>
      <c r="K62" t="inlineStr">
        <is>
          <t>https://www.google.com/maps/search/?api=1&amp;query=33.173525,-117.365085</t>
        </is>
      </c>
      <c r="L62" t="inlineStr"/>
      <c r="M62" t="inlineStr"/>
      <c r="N62" t="inlineStr"/>
      <c r="O62" t="inlineStr"/>
      <c r="P62" t="inlineStr">
        <is>
          <t>pending</t>
        </is>
      </c>
      <c r="Q62" t="inlineStr"/>
      <c r="R62" t="inlineStr"/>
      <c r="S62" t="inlineStr"/>
      <c r="T62" t="inlineStr"/>
      <c r="U62" t="inlineStr"/>
      <c r="V62">
        <f>IF(OR(L62="",S62=""),"",IF(VALUE(L62)=VALUE(S62),"Y","N"))</f>
        <v/>
      </c>
      <c r="W62">
        <f>IF(V62="Y",S62,"")</f>
        <v/>
      </c>
      <c r="X62" t="inlineStr">
        <is>
          <t>RED ISLAND: 162 m of Cassidy Street at no limit between 25 mph on both sides (gap); is the posted limit really higher here?</t>
        </is>
      </c>
      <c r="Y62" t="inlineStr"/>
      <c r="Z62" t="n">
        <v>162</v>
      </c>
      <c r="AA62" t="inlineStr">
        <is>
          <t>sd</t>
        </is>
      </c>
      <c r="AB62" t="inlineStr">
        <is>
          <t>sd|33.17352,-117.36508</t>
        </is>
      </c>
    </row>
    <row r="63">
      <c r="A63" t="inlineStr">
        <is>
          <t>SD-B2-062</t>
        </is>
      </c>
      <c r="B63" t="inlineStr">
        <is>
          <t>San Diego area</t>
        </is>
      </c>
      <c r="C63" t="inlineStr">
        <is>
          <t>Cassidy Street</t>
        </is>
      </c>
      <c r="D63" t="inlineStr">
        <is>
          <t>Broadway Street</t>
        </is>
      </c>
      <c r="E63" t="inlineStr">
        <is>
          <t>Pacific Coast Highway</t>
        </is>
      </c>
      <c r="F63" t="inlineStr">
        <is>
          <t>6022565</t>
        </is>
      </c>
      <c r="G63" t="inlineStr"/>
      <c r="H63" t="inlineStr">
        <is>
          <t>inferred</t>
        </is>
      </c>
      <c r="I63" t="inlineStr">
        <is>
          <t>no</t>
        </is>
      </c>
      <c r="J63" t="inlineStr">
        <is>
          <t>https://www.google.com/maps/@?api=1&amp;map_action=pano&amp;viewpoint=33.174345,-117.363695&amp;heading=54</t>
        </is>
      </c>
      <c r="K63" t="inlineStr">
        <is>
          <t>https://www.google.com/maps/search/?api=1&amp;query=33.174345,-117.363695</t>
        </is>
      </c>
      <c r="L63" t="inlineStr"/>
      <c r="M63" t="inlineStr"/>
      <c r="N63" t="inlineStr"/>
      <c r="O63" t="inlineStr"/>
      <c r="P63" t="inlineStr">
        <is>
          <t>pending</t>
        </is>
      </c>
      <c r="Q63" t="inlineStr"/>
      <c r="R63" t="inlineStr"/>
      <c r="S63" t="inlineStr"/>
      <c r="T63" t="inlineStr"/>
      <c r="U63" t="inlineStr"/>
      <c r="V63">
        <f>IF(OR(L63="",S63=""),"",IF(VALUE(L63)=VALUE(S63),"Y","N"))</f>
        <v/>
      </c>
      <c r="W63">
        <f>IF(V63="Y",S63,"")</f>
        <v/>
      </c>
      <c r="X63" t="inlineStr">
        <is>
          <t>RED ISLAND: 285 m of Cassidy Street at no limit between 25 mph on both sides (gap); is the posted limit really higher here?</t>
        </is>
      </c>
      <c r="Y63" t="inlineStr"/>
      <c r="Z63" t="n">
        <v>285</v>
      </c>
      <c r="AA63" t="inlineStr">
        <is>
          <t>sd</t>
        </is>
      </c>
      <c r="AB63" t="inlineStr">
        <is>
          <t>sd|33.17435,-117.36370</t>
        </is>
      </c>
    </row>
    <row r="64">
      <c r="A64" t="inlineStr">
        <is>
          <t>SD-B2-063</t>
        </is>
      </c>
      <c r="B64" t="inlineStr">
        <is>
          <t>San Diego area</t>
        </is>
      </c>
      <c r="C64" t="inlineStr">
        <is>
          <t>Park Boulevard</t>
        </is>
      </c>
      <c r="D64" t="inlineStr">
        <is>
          <t>Morley Field Drive</t>
        </is>
      </c>
      <c r="E64" t="inlineStr">
        <is>
          <t>Morley Field Drive</t>
        </is>
      </c>
      <c r="F64" t="inlineStr">
        <is>
          <t>1220547496</t>
        </is>
      </c>
      <c r="G64" t="inlineStr"/>
      <c r="H64" t="inlineStr">
        <is>
          <t>inferred</t>
        </is>
      </c>
      <c r="I64" t="inlineStr">
        <is>
          <t>no</t>
        </is>
      </c>
      <c r="J64" t="inlineStr">
        <is>
          <t>https://www.google.com/maps/@?api=1&amp;map_action=pano&amp;viewpoint=32.740555,-117.147390&amp;heading=353</t>
        </is>
      </c>
      <c r="K64" t="inlineStr">
        <is>
          <t>https://www.google.com/maps/search/?api=1&amp;query=32.740555,-117.147390</t>
        </is>
      </c>
      <c r="L64" t="inlineStr"/>
      <c r="M64" t="inlineStr"/>
      <c r="N64" t="inlineStr"/>
      <c r="O64" t="inlineStr"/>
      <c r="P64" t="inlineStr">
        <is>
          <t>pending</t>
        </is>
      </c>
      <c r="Q64" t="inlineStr"/>
      <c r="R64" t="inlineStr"/>
      <c r="S64" t="inlineStr"/>
      <c r="T64" t="inlineStr"/>
      <c r="U64" t="inlineStr"/>
      <c r="V64">
        <f>IF(OR(L64="",S64=""),"",IF(VALUE(L64)=VALUE(S64),"Y","N"))</f>
        <v/>
      </c>
      <c r="W64">
        <f>IF(V64="Y",S64,"")</f>
        <v/>
      </c>
      <c r="X64" t="inlineStr">
        <is>
          <t>RED ISLAND: 178 m of Park Boulevard at 40 mph between 25/35 mph on both sides (confirmed); is the posted limit really higher here?</t>
        </is>
      </c>
      <c r="Y64" t="inlineStr"/>
      <c r="Z64" t="n">
        <v>178</v>
      </c>
      <c r="AA64" t="inlineStr">
        <is>
          <t>sd</t>
        </is>
      </c>
      <c r="AB64" t="inlineStr">
        <is>
          <t>sd|32.74056,-117.14739</t>
        </is>
      </c>
    </row>
    <row r="65">
      <c r="A65" t="inlineStr">
        <is>
          <t>SD-B2-064</t>
        </is>
      </c>
      <c r="B65" t="inlineStr">
        <is>
          <t>San Diego area</t>
        </is>
      </c>
      <c r="C65" t="inlineStr">
        <is>
          <t>Hotel Circle South</t>
        </is>
      </c>
      <c r="D65" t="inlineStr">
        <is>
          <t>(see map link)</t>
        </is>
      </c>
      <c r="E65" t="inlineStr">
        <is>
          <t>(see map link)</t>
        </is>
      </c>
      <c r="F65" t="inlineStr">
        <is>
          <t>233700529</t>
        </is>
      </c>
      <c r="G65" t="n">
        <v>65</v>
      </c>
      <c r="H65" t="inlineStr">
        <is>
          <t>mapillary</t>
        </is>
      </c>
      <c r="I65" t="inlineStr">
        <is>
          <t>no</t>
        </is>
      </c>
      <c r="J65" t="inlineStr">
        <is>
          <t>https://www.google.com/maps/@?api=1&amp;map_action=pano&amp;viewpoint=32.759090,-117.180765&amp;heading=92</t>
        </is>
      </c>
      <c r="K65" t="inlineStr">
        <is>
          <t>https://www.google.com/maps/search/?api=1&amp;query=32.759090,-117.180765</t>
        </is>
      </c>
      <c r="L65" t="inlineStr"/>
      <c r="M65" t="inlineStr"/>
      <c r="N65" t="inlineStr"/>
      <c r="O65" t="inlineStr"/>
      <c r="P65" t="inlineStr">
        <is>
          <t>pending</t>
        </is>
      </c>
      <c r="Q65" t="inlineStr"/>
      <c r="R65" t="inlineStr"/>
      <c r="S65" t="inlineStr"/>
      <c r="T65" t="inlineStr">
        <is>
          <t>Mapillary: 3 posted 65 mph sign(s) detected</t>
        </is>
      </c>
      <c r="U65" t="inlineStr">
        <is>
          <t>https://www.mapillary.com/app/?lat=32.759180&amp;lng=-117.182076&amp;z=19&amp;focus=map&amp;mapFeatureId=812216806371785</t>
        </is>
      </c>
      <c r="V65">
        <f>IF(OR(L65="",S65=""),"",IF(VALUE(L65)=VALUE(S65),"Y","N"))</f>
        <v/>
      </c>
      <c r="W65">
        <f>IF(V65="Y",S65,"")</f>
        <v/>
      </c>
      <c r="X65" t="inlineStr">
        <is>
          <t>RED ISLAND: 424 m of Hotel Circle South at 65 mph between 35 mph on both sides (confirmed); is the posted limit really higher here?</t>
        </is>
      </c>
      <c r="Y65" t="inlineStr"/>
      <c r="Z65" t="n">
        <v>424</v>
      </c>
      <c r="AA65" t="inlineStr">
        <is>
          <t>sd</t>
        </is>
      </c>
      <c r="AB65" t="inlineStr">
        <is>
          <t>sd|32.75909,-117.18076</t>
        </is>
      </c>
    </row>
    <row r="66">
      <c r="A66" t="inlineStr">
        <is>
          <t>SD-B2-065</t>
        </is>
      </c>
      <c r="B66" t="inlineStr">
        <is>
          <t>San Diego area</t>
        </is>
      </c>
      <c r="C66" t="inlineStr">
        <is>
          <t>Florida Drive</t>
        </is>
      </c>
      <c r="D66" t="inlineStr">
        <is>
          <t>(see map link)</t>
        </is>
      </c>
      <c r="E66" t="inlineStr">
        <is>
          <t>Zoo Place</t>
        </is>
      </c>
      <c r="F66" t="inlineStr">
        <is>
          <t>1334252229</t>
        </is>
      </c>
      <c r="G66" t="n">
        <v>50</v>
      </c>
      <c r="H66" t="inlineStr">
        <is>
          <t>mapillary</t>
        </is>
      </c>
      <c r="I66" t="inlineStr">
        <is>
          <t>no</t>
        </is>
      </c>
      <c r="J66" t="inlineStr">
        <is>
          <t>https://www.google.com/maps/@?api=1&amp;map_action=pano&amp;viewpoint=32.727310,-117.142800&amp;heading=357</t>
        </is>
      </c>
      <c r="K66" t="inlineStr">
        <is>
          <t>https://www.google.com/maps/search/?api=1&amp;query=32.727310,-117.142800</t>
        </is>
      </c>
      <c r="L66" t="inlineStr"/>
      <c r="M66" t="inlineStr"/>
      <c r="N66" t="inlineStr"/>
      <c r="O66" t="inlineStr"/>
      <c r="P66" t="inlineStr">
        <is>
          <t>pending</t>
        </is>
      </c>
      <c r="Q66" t="inlineStr"/>
      <c r="R66" t="inlineStr"/>
      <c r="S66" t="inlineStr"/>
      <c r="T66" t="inlineStr">
        <is>
          <t>Mapillary: 3 posted 50 mph sign(s) detected</t>
        </is>
      </c>
      <c r="U66" t="inlineStr">
        <is>
          <t>https://www.mapillary.com/app/?lat=32.727104&amp;lng=-117.142770&amp;z=19&amp;focus=map&amp;mapFeatureId=217010103308361</t>
        </is>
      </c>
      <c r="V66">
        <f>IF(OR(L66="",S66=""),"",IF(VALUE(L66)=VALUE(S66),"Y","N"))</f>
        <v/>
      </c>
      <c r="W66">
        <f>IF(V66="Y",S66,"")</f>
        <v/>
      </c>
      <c r="X66" t="inlineStr">
        <is>
          <t>RED ISLAND: 540 m of Florida Drive at 50 mph between 25/35 mph on both sides (confirmed); is the posted limit really higher here?</t>
        </is>
      </c>
      <c r="Y66" t="inlineStr"/>
      <c r="Z66" t="n">
        <v>540</v>
      </c>
      <c r="AA66" t="inlineStr">
        <is>
          <t>sd</t>
        </is>
      </c>
      <c r="AB66" t="inlineStr">
        <is>
          <t>sd|32.72731,-117.14280</t>
        </is>
      </c>
    </row>
    <row r="67">
      <c r="A67" t="inlineStr">
        <is>
          <t>SD-B2-066</t>
        </is>
      </c>
      <c r="B67" t="inlineStr">
        <is>
          <t>San Diego area</t>
        </is>
      </c>
      <c r="C67" t="inlineStr">
        <is>
          <t>Aero Drive</t>
        </is>
      </c>
      <c r="D67" t="inlineStr">
        <is>
          <t>Convoy Street</t>
        </is>
      </c>
      <c r="E67" t="inlineStr">
        <is>
          <t>Kearny Villa Road</t>
        </is>
      </c>
      <c r="F67" t="inlineStr">
        <is>
          <t>158308456</t>
        </is>
      </c>
      <c r="G67" t="n">
        <v>40</v>
      </c>
      <c r="H67" t="inlineStr">
        <is>
          <t>tag</t>
        </is>
      </c>
      <c r="I67" t="inlineStr">
        <is>
          <t>no</t>
        </is>
      </c>
      <c r="J67" t="inlineStr">
        <is>
          <t>https://www.google.com/maps/@?api=1&amp;map_action=pano&amp;viewpoint=32.811160,-117.153300&amp;heading=296</t>
        </is>
      </c>
      <c r="K67" t="inlineStr">
        <is>
          <t>https://www.google.com/maps/search/?api=1&amp;query=32.811160,-117.153300</t>
        </is>
      </c>
      <c r="L67" t="inlineStr"/>
      <c r="M67" t="inlineStr"/>
      <c r="N67" t="inlineStr"/>
      <c r="O67" t="inlineStr"/>
      <c r="P67" t="inlineStr">
        <is>
          <t>pending</t>
        </is>
      </c>
      <c r="Q67" t="inlineStr"/>
      <c r="R67" t="inlineStr"/>
      <c r="S67" t="inlineStr"/>
      <c r="T67" t="inlineStr"/>
      <c r="U67" t="inlineStr"/>
      <c r="V67">
        <f>IF(OR(L67="",S67=""),"",IF(VALUE(L67)=VALUE(S67),"Y","N"))</f>
        <v/>
      </c>
      <c r="W67">
        <f>IF(V67="Y",S67,"")</f>
        <v/>
      </c>
      <c r="X67" t="inlineStr">
        <is>
          <t>RED ISLAND: 527 m of Aero Drive at 40 mph between 35 mph on both sides (confirmed); is the posted limit really higher here?</t>
        </is>
      </c>
      <c r="Y67" t="inlineStr"/>
      <c r="Z67" t="n">
        <v>527</v>
      </c>
      <c r="AA67" t="inlineStr">
        <is>
          <t>sd</t>
        </is>
      </c>
      <c r="AB67" t="inlineStr">
        <is>
          <t>sd|32.81116,-117.15330</t>
        </is>
      </c>
    </row>
    <row r="68">
      <c r="A68" t="inlineStr">
        <is>
          <t>SD-B2-067</t>
        </is>
      </c>
      <c r="B68" t="inlineStr">
        <is>
          <t>San Diego area</t>
        </is>
      </c>
      <c r="C68" t="inlineStr">
        <is>
          <t>Dana Landing Road</t>
        </is>
      </c>
      <c r="D68" t="inlineStr">
        <is>
          <t>Quivira Access</t>
        </is>
      </c>
      <c r="E68" t="inlineStr">
        <is>
          <t>(see map link)</t>
        </is>
      </c>
      <c r="F68" t="inlineStr">
        <is>
          <t>289502113</t>
        </is>
      </c>
      <c r="G68" t="n">
        <v>45</v>
      </c>
      <c r="H68" t="inlineStr">
        <is>
          <t>mapillary</t>
        </is>
      </c>
      <c r="I68" t="inlineStr">
        <is>
          <t>no</t>
        </is>
      </c>
      <c r="J68" t="inlineStr">
        <is>
          <t>https://www.google.com/maps/@?api=1&amp;map_action=pano&amp;viewpoint=32.764990,-117.233590&amp;heading=51</t>
        </is>
      </c>
      <c r="K68" t="inlineStr">
        <is>
          <t>https://www.google.com/maps/search/?api=1&amp;query=32.764990,-117.233590</t>
        </is>
      </c>
      <c r="L68" t="inlineStr"/>
      <c r="M68" t="inlineStr"/>
      <c r="N68" t="inlineStr"/>
      <c r="O68" t="inlineStr"/>
      <c r="P68" t="inlineStr">
        <is>
          <t>pending</t>
        </is>
      </c>
      <c r="Q68" t="inlineStr"/>
      <c r="R68" t="inlineStr"/>
      <c r="S68" t="inlineStr"/>
      <c r="T68" t="inlineStr">
        <is>
          <t>Mapillary: 2 posted 45 mph sign(s) detected</t>
        </is>
      </c>
      <c r="U68" t="inlineStr">
        <is>
          <t>https://www.mapillary.com/app/?lat=32.765040&amp;lng=-117.235810&amp;z=19&amp;focus=map&amp;mapFeatureId=963809467721223</t>
        </is>
      </c>
      <c r="V68">
        <f>IF(OR(L68="",S68=""),"",IF(VALUE(L68)=VALUE(S68),"Y","N"))</f>
        <v/>
      </c>
      <c r="W68">
        <f>IF(V68="Y",S68,"")</f>
        <v/>
      </c>
      <c r="X68" t="inlineStr">
        <is>
          <t>RED ISLAND: 736 m of Dana Landing Road at 45 mph between 25 mph on both sides (confirmed); is the posted limit really higher here?</t>
        </is>
      </c>
      <c r="Y68" t="inlineStr"/>
      <c r="Z68" t="n">
        <v>736</v>
      </c>
      <c r="AA68" t="inlineStr">
        <is>
          <t>sd</t>
        </is>
      </c>
      <c r="AB68" t="inlineStr">
        <is>
          <t>sd|32.76499,-117.23359</t>
        </is>
      </c>
    </row>
    <row r="69">
      <c r="A69" t="inlineStr">
        <is>
          <t>SD-B2-068</t>
        </is>
      </c>
      <c r="B69" t="inlineStr">
        <is>
          <t>San Diego area</t>
        </is>
      </c>
      <c r="C69" t="inlineStr">
        <is>
          <t>Campus Point Drive</t>
        </is>
      </c>
      <c r="D69" t="inlineStr">
        <is>
          <t>(see map link)</t>
        </is>
      </c>
      <c r="E69" t="inlineStr">
        <is>
          <t>Genesee Avenue</t>
        </is>
      </c>
      <c r="F69" t="inlineStr">
        <is>
          <t>5983786</t>
        </is>
      </c>
      <c r="G69" t="n">
        <v>40</v>
      </c>
      <c r="H69" t="inlineStr">
        <is>
          <t>tag</t>
        </is>
      </c>
      <c r="I69" t="inlineStr">
        <is>
          <t>no</t>
        </is>
      </c>
      <c r="J69" t="inlineStr">
        <is>
          <t>https://www.google.com/maps/@?api=1&amp;map_action=pano&amp;viewpoint=32.885915,-117.221300&amp;heading=155</t>
        </is>
      </c>
      <c r="K69" t="inlineStr">
        <is>
          <t>https://www.google.com/maps/search/?api=1&amp;query=32.885915,-117.221300</t>
        </is>
      </c>
      <c r="L69" t="inlineStr"/>
      <c r="M69" t="inlineStr"/>
      <c r="N69" t="inlineStr"/>
      <c r="O69" t="inlineStr"/>
      <c r="P69" t="inlineStr">
        <is>
          <t>pending</t>
        </is>
      </c>
      <c r="Q69" t="inlineStr"/>
      <c r="R69" t="inlineStr"/>
      <c r="S69" t="inlineStr"/>
      <c r="T69" t="inlineStr"/>
      <c r="U69" t="inlineStr"/>
      <c r="V69">
        <f>IF(OR(L69="",S69=""),"",IF(VALUE(L69)=VALUE(S69),"Y","N"))</f>
        <v/>
      </c>
      <c r="W69">
        <f>IF(V69="Y",S69,"")</f>
        <v/>
      </c>
      <c r="X69" t="inlineStr">
        <is>
          <t>RED ISLAND: 712 m of Campus Point Drive at 40 mph between 25 mph on both sides (confirmed); is the posted limit really higher here?</t>
        </is>
      </c>
      <c r="Y69" t="inlineStr"/>
      <c r="Z69" t="n">
        <v>712</v>
      </c>
      <c r="AA69" t="inlineStr">
        <is>
          <t>sd</t>
        </is>
      </c>
      <c r="AB69" t="inlineStr">
        <is>
          <t>sd|32.88591,-117.22130</t>
        </is>
      </c>
    </row>
    <row r="70">
      <c r="A70" t="inlineStr">
        <is>
          <t>SD-B2-069</t>
        </is>
      </c>
      <c r="B70" t="inlineStr">
        <is>
          <t>San Diego area</t>
        </is>
      </c>
      <c r="C70" t="inlineStr">
        <is>
          <t>Nobel Drive</t>
        </is>
      </c>
      <c r="D70" t="inlineStr">
        <is>
          <t>University Center Lane</t>
        </is>
      </c>
      <c r="E70" t="inlineStr">
        <is>
          <t>Lebon Drive</t>
        </is>
      </c>
      <c r="F70" t="inlineStr">
        <is>
          <t>224703433</t>
        </is>
      </c>
      <c r="G70" t="n">
        <v>40</v>
      </c>
      <c r="H70" t="inlineStr">
        <is>
          <t>tag</t>
        </is>
      </c>
      <c r="I70" t="inlineStr">
        <is>
          <t>no</t>
        </is>
      </c>
      <c r="J70" t="inlineStr">
        <is>
          <t>https://www.google.com/maps/@?api=1&amp;map_action=pano&amp;viewpoint=32.868410,-117.222600&amp;heading=89</t>
        </is>
      </c>
      <c r="K70" t="inlineStr">
        <is>
          <t>https://www.google.com/maps/search/?api=1&amp;query=32.868410,-117.222600</t>
        </is>
      </c>
      <c r="L70" t="inlineStr"/>
      <c r="M70" t="inlineStr"/>
      <c r="N70" t="inlineStr"/>
      <c r="O70" t="inlineStr"/>
      <c r="P70" t="inlineStr">
        <is>
          <t>pending</t>
        </is>
      </c>
      <c r="Q70" t="inlineStr"/>
      <c r="R70" t="inlineStr"/>
      <c r="S70" t="inlineStr"/>
      <c r="T70" t="inlineStr"/>
      <c r="U70" t="inlineStr"/>
      <c r="V70">
        <f>IF(OR(L70="",S70=""),"",IF(VALUE(L70)=VALUE(S70),"Y","N"))</f>
        <v/>
      </c>
      <c r="W70">
        <f>IF(V70="Y",S70,"")</f>
        <v/>
      </c>
      <c r="X70" t="inlineStr">
        <is>
          <t>RED ISLAND: 706 m of Nobel Drive at 40 mph between 35 mph on both sides (confirmed); is the posted limit really higher here?</t>
        </is>
      </c>
      <c r="Y70" t="inlineStr"/>
      <c r="Z70" t="n">
        <v>706</v>
      </c>
      <c r="AA70" t="inlineStr">
        <is>
          <t>sd</t>
        </is>
      </c>
      <c r="AB70" t="inlineStr">
        <is>
          <t>sd|32.86841,-117.22260</t>
        </is>
      </c>
    </row>
    <row r="71">
      <c r="A71" t="inlineStr">
        <is>
          <t>SD-B2-070</t>
        </is>
      </c>
      <c r="B71" t="inlineStr">
        <is>
          <t>San Diego area</t>
        </is>
      </c>
      <c r="C71" t="inlineStr">
        <is>
          <t>Nobel Drive</t>
        </is>
      </c>
      <c r="D71" t="inlineStr">
        <is>
          <t>(see map link)</t>
        </is>
      </c>
      <c r="E71" t="inlineStr">
        <is>
          <t>Villa La Jolla Drive</t>
        </is>
      </c>
      <c r="F71" t="inlineStr">
        <is>
          <t>227971874</t>
        </is>
      </c>
      <c r="G71" t="n">
        <v>40</v>
      </c>
      <c r="H71" t="inlineStr">
        <is>
          <t>tag</t>
        </is>
      </c>
      <c r="I71" t="inlineStr">
        <is>
          <t>no</t>
        </is>
      </c>
      <c r="J71" t="inlineStr">
        <is>
          <t>https://www.google.com/maps/@?api=1&amp;map_action=pano&amp;viewpoint=32.867980,-117.230710&amp;heading=79</t>
        </is>
      </c>
      <c r="K71" t="inlineStr">
        <is>
          <t>https://www.google.com/maps/search/?api=1&amp;query=32.867980,-117.230710</t>
        </is>
      </c>
      <c r="L71" t="inlineStr"/>
      <c r="M71" t="inlineStr"/>
      <c r="N71" t="inlineStr"/>
      <c r="O71" t="inlineStr"/>
      <c r="P71" t="inlineStr">
        <is>
          <t>pending</t>
        </is>
      </c>
      <c r="Q71" t="inlineStr"/>
      <c r="R71" t="inlineStr"/>
      <c r="S71" t="inlineStr"/>
      <c r="T71" t="inlineStr"/>
      <c r="U71" t="inlineStr"/>
      <c r="V71">
        <f>IF(OR(L71="",S71=""),"",IF(VALUE(L71)=VALUE(S71),"Y","N"))</f>
        <v/>
      </c>
      <c r="W71">
        <f>IF(V71="Y",S71,"")</f>
        <v/>
      </c>
      <c r="X71" t="inlineStr">
        <is>
          <t>RED ISLAND: 392 m of Nobel Drive at 40 mph between 35 mph on both sides (confirmed); is the posted limit really higher here?</t>
        </is>
      </c>
      <c r="Y71" t="inlineStr"/>
      <c r="Z71" t="n">
        <v>392</v>
      </c>
      <c r="AA71" t="inlineStr">
        <is>
          <t>sd</t>
        </is>
      </c>
      <c r="AB71" t="inlineStr">
        <is>
          <t>sd|32.86798,-117.23071</t>
        </is>
      </c>
    </row>
    <row r="72">
      <c r="A72" t="inlineStr">
        <is>
          <t>SD-B2-071</t>
        </is>
      </c>
      <c r="B72" t="inlineStr">
        <is>
          <t>San Diego area</t>
        </is>
      </c>
      <c r="C72" t="inlineStr">
        <is>
          <t>Nobel Drive</t>
        </is>
      </c>
      <c r="D72" t="inlineStr">
        <is>
          <t>Regents Road</t>
        </is>
      </c>
      <c r="E72" t="inlineStr">
        <is>
          <t>Danica Mae Drive</t>
        </is>
      </c>
      <c r="F72" t="inlineStr">
        <is>
          <t>224703490</t>
        </is>
      </c>
      <c r="G72" t="n">
        <v>40</v>
      </c>
      <c r="H72" t="inlineStr">
        <is>
          <t>mapillary</t>
        </is>
      </c>
      <c r="I72" t="inlineStr">
        <is>
          <t>no</t>
        </is>
      </c>
      <c r="J72" t="inlineStr">
        <is>
          <t>https://www.google.com/maps/@?api=1&amp;map_action=pano&amp;viewpoint=32.867930,-117.219855&amp;heading=293</t>
        </is>
      </c>
      <c r="K72" t="inlineStr">
        <is>
          <t>https://www.google.com/maps/search/?api=1&amp;query=32.867930,-117.219855</t>
        </is>
      </c>
      <c r="L72" t="inlineStr"/>
      <c r="M72" t="inlineStr"/>
      <c r="N72" t="inlineStr"/>
      <c r="O72" t="inlineStr"/>
      <c r="P72" t="inlineStr">
        <is>
          <t>pending</t>
        </is>
      </c>
      <c r="Q72" t="inlineStr"/>
      <c r="R72" t="inlineStr"/>
      <c r="S72" t="inlineStr"/>
      <c r="T72" t="inlineStr">
        <is>
          <t>Mapillary: 2 posted 40 mph sign(s) detected</t>
        </is>
      </c>
      <c r="U72" t="inlineStr">
        <is>
          <t>https://www.mapillary.com/app/?lat=32.868010&amp;lng=-117.220215&amp;z=19&amp;focus=map&amp;mapFeatureId=305056241089744</t>
        </is>
      </c>
      <c r="V72">
        <f>IF(OR(L72="",S72=""),"",IF(VALUE(L72)=VALUE(S72),"Y","N"))</f>
        <v/>
      </c>
      <c r="W72">
        <f>IF(V72="Y",S72,"")</f>
        <v/>
      </c>
      <c r="X72" t="inlineStr">
        <is>
          <t>RED ISLAND: 279 m of Nobel Drive at 40 mph between 35 mph on both sides (confirmed); is the posted limit really higher here?</t>
        </is>
      </c>
      <c r="Y72" t="inlineStr"/>
      <c r="Z72" t="n">
        <v>279</v>
      </c>
      <c r="AA72" t="inlineStr">
        <is>
          <t>sd</t>
        </is>
      </c>
      <c r="AB72" t="inlineStr">
        <is>
          <t>sd|32.86793,-117.21985</t>
        </is>
      </c>
    </row>
    <row r="73">
      <c r="A73" t="inlineStr">
        <is>
          <t>SD-B2-072</t>
        </is>
      </c>
      <c r="B73" t="inlineStr">
        <is>
          <t>San Diego area</t>
        </is>
      </c>
      <c r="C73" t="inlineStr">
        <is>
          <t>Villa La Jolla Drive</t>
        </is>
      </c>
      <c r="D73" t="inlineStr">
        <is>
          <t>Nobel Drive</t>
        </is>
      </c>
      <c r="E73" t="inlineStr">
        <is>
          <t>(see map link)</t>
        </is>
      </c>
      <c r="F73" t="inlineStr">
        <is>
          <t>39423585</t>
        </is>
      </c>
      <c r="G73" t="n">
        <v>40</v>
      </c>
      <c r="H73" t="inlineStr">
        <is>
          <t>mapillary</t>
        </is>
      </c>
      <c r="I73" t="inlineStr">
        <is>
          <t>no</t>
        </is>
      </c>
      <c r="J73" t="inlineStr">
        <is>
          <t>https://www.google.com/maps/@?api=1&amp;map_action=pano&amp;viewpoint=32.867340,-117.233400&amp;heading=173</t>
        </is>
      </c>
      <c r="K73" t="inlineStr">
        <is>
          <t>https://www.google.com/maps/search/?api=1&amp;query=32.867340,-117.233400</t>
        </is>
      </c>
      <c r="L73" t="inlineStr"/>
      <c r="M73" t="inlineStr"/>
      <c r="N73" t="inlineStr"/>
      <c r="O73" t="inlineStr"/>
      <c r="P73" t="inlineStr">
        <is>
          <t>pending</t>
        </is>
      </c>
      <c r="Q73" t="inlineStr"/>
      <c r="R73" t="inlineStr"/>
      <c r="S73" t="inlineStr"/>
      <c r="T73" t="inlineStr">
        <is>
          <t>Mapillary: 2 posted 40 mph sign(s) detected</t>
        </is>
      </c>
      <c r="U73" t="inlineStr">
        <is>
          <t>https://www.mapillary.com/app/?lat=32.867280&amp;lng=-117.233430&amp;z=19&amp;focus=map&amp;mapFeatureId=537132808915957</t>
        </is>
      </c>
      <c r="V73">
        <f>IF(OR(L73="",S73=""),"",IF(VALUE(L73)=VALUE(S73),"Y","N"))</f>
        <v/>
      </c>
      <c r="W73">
        <f>IF(V73="Y",S73,"")</f>
        <v/>
      </c>
      <c r="X73" t="inlineStr">
        <is>
          <t>RED ISLAND: 45 m of Villa La Jolla Drive at 40 mph between 30 mph on both sides (confirmed); is the posted limit really higher here?</t>
        </is>
      </c>
      <c r="Y73" t="inlineStr"/>
      <c r="Z73" t="n">
        <v>45</v>
      </c>
      <c r="AA73" t="inlineStr">
        <is>
          <t>sd</t>
        </is>
      </c>
      <c r="AB73" t="inlineStr">
        <is>
          <t>sd|32.86734,-117.23340</t>
        </is>
      </c>
    </row>
    <row r="74">
      <c r="A74" t="inlineStr">
        <is>
          <t>SD-B2-073</t>
        </is>
      </c>
      <c r="B74" t="inlineStr">
        <is>
          <t>San Diego area</t>
        </is>
      </c>
      <c r="C74" t="inlineStr">
        <is>
          <t>Scholars Drive South</t>
        </is>
      </c>
      <c r="D74" t="inlineStr">
        <is>
          <t>(see map link)</t>
        </is>
      </c>
      <c r="E74" t="inlineStr">
        <is>
          <t>Scholars Lane</t>
        </is>
      </c>
      <c r="F74" t="inlineStr">
        <is>
          <t>783441133</t>
        </is>
      </c>
      <c r="G74" t="n">
        <v>45</v>
      </c>
      <c r="H74" t="inlineStr">
        <is>
          <t>mapillary</t>
        </is>
      </c>
      <c r="I74" t="inlineStr">
        <is>
          <t>no</t>
        </is>
      </c>
      <c r="J74" t="inlineStr">
        <is>
          <t>https://www.google.com/maps/@?api=1&amp;map_action=pano&amp;viewpoint=32.877210,-117.243610&amp;heading=353</t>
        </is>
      </c>
      <c r="K74" t="inlineStr">
        <is>
          <t>https://www.google.com/maps/search/?api=1&amp;query=32.877210,-117.243610</t>
        </is>
      </c>
      <c r="L74" t="inlineStr"/>
      <c r="M74" t="inlineStr"/>
      <c r="N74" t="inlineStr"/>
      <c r="O74" t="inlineStr"/>
      <c r="P74" t="inlineStr">
        <is>
          <t>pending</t>
        </is>
      </c>
      <c r="Q74" t="inlineStr"/>
      <c r="R74" t="inlineStr"/>
      <c r="S74" t="inlineStr"/>
      <c r="T74" t="inlineStr">
        <is>
          <t>Mapillary: 2 posted 45 mph sign(s) detected</t>
        </is>
      </c>
      <c r="U74" t="inlineStr">
        <is>
          <t>https://www.mapillary.com/app/?lat=32.876300&amp;lng=-117.243484&amp;z=19&amp;focus=map&amp;mapFeatureId=498930381461751</t>
        </is>
      </c>
      <c r="V74">
        <f>IF(OR(L74="",S74=""),"",IF(VALUE(L74)=VALUE(S74),"Y","N"))</f>
        <v/>
      </c>
      <c r="W74">
        <f>IF(V74="Y",S74,"")</f>
        <v/>
      </c>
      <c r="X74" t="inlineStr">
        <is>
          <t>RED ISLAND: 244 m of Scholars Drive South at 45 mph between 15/25 mph on both sides (confirmed); is the posted limit really higher here?</t>
        </is>
      </c>
      <c r="Y74" t="inlineStr"/>
      <c r="Z74" t="n">
        <v>244</v>
      </c>
      <c r="AA74" t="inlineStr">
        <is>
          <t>sd</t>
        </is>
      </c>
      <c r="AB74" t="inlineStr">
        <is>
          <t>sd|32.87721,-117.24361</t>
        </is>
      </c>
    </row>
    <row r="75">
      <c r="A75" t="inlineStr">
        <is>
          <t>SD-B2-074</t>
        </is>
      </c>
      <c r="B75" t="inlineStr">
        <is>
          <t>San Diego area</t>
        </is>
      </c>
      <c r="C75" t="inlineStr">
        <is>
          <t>John Jay Hopkins Drive</t>
        </is>
      </c>
      <c r="D75" t="inlineStr">
        <is>
          <t>Genesee Avenue</t>
        </is>
      </c>
      <c r="E75" t="inlineStr">
        <is>
          <t>(see map link)</t>
        </is>
      </c>
      <c r="F75" t="inlineStr">
        <is>
          <t>1107522063</t>
        </is>
      </c>
      <c r="G75" t="n">
        <v>40</v>
      </c>
      <c r="H75" t="inlineStr">
        <is>
          <t>mapillary</t>
        </is>
      </c>
      <c r="I75" t="inlineStr">
        <is>
          <t>no</t>
        </is>
      </c>
      <c r="J75" t="inlineStr">
        <is>
          <t>https://www.google.com/maps/@?api=1&amp;map_action=pano&amp;viewpoint=32.891565,-117.239045&amp;heading=356</t>
        </is>
      </c>
      <c r="K75" t="inlineStr">
        <is>
          <t>https://www.google.com/maps/search/?api=1&amp;query=32.891565,-117.239045</t>
        </is>
      </c>
      <c r="L75" t="inlineStr"/>
      <c r="M75" t="inlineStr"/>
      <c r="N75" t="inlineStr"/>
      <c r="O75" t="inlineStr"/>
      <c r="P75" t="inlineStr">
        <is>
          <t>pending</t>
        </is>
      </c>
      <c r="Q75" t="inlineStr"/>
      <c r="R75" t="inlineStr"/>
      <c r="S75" t="inlineStr"/>
      <c r="T75" t="inlineStr">
        <is>
          <t>Mapillary: 1 posted 40 mph sign(s) detected</t>
        </is>
      </c>
      <c r="U75" t="inlineStr">
        <is>
          <t>https://www.mapillary.com/app/?lat=32.891430&amp;lng=-117.239020&amp;z=19&amp;focus=map&amp;mapFeatureId=1168618523581701</t>
        </is>
      </c>
      <c r="V75">
        <f>IF(OR(L75="",S75=""),"",IF(VALUE(L75)=VALUE(S75),"Y","N"))</f>
        <v/>
      </c>
      <c r="W75">
        <f>IF(V75="Y",S75,"")</f>
        <v/>
      </c>
      <c r="X75" t="inlineStr">
        <is>
          <t>RED ISLAND: 77 m of John Jay Hopkins Drive at 40 mph between 25 mph on both sides (confirmed); is the posted limit really higher here?</t>
        </is>
      </c>
      <c r="Y75" t="inlineStr"/>
      <c r="Z75" t="n">
        <v>77</v>
      </c>
      <c r="AA75" t="inlineStr">
        <is>
          <t>sd</t>
        </is>
      </c>
      <c r="AB75" t="inlineStr">
        <is>
          <t>sd|32.89156,-117.23905</t>
        </is>
      </c>
    </row>
    <row r="76">
      <c r="A76" t="inlineStr">
        <is>
          <t>SD-B2-075</t>
        </is>
      </c>
      <c r="B76" t="inlineStr">
        <is>
          <t>San Diego area</t>
        </is>
      </c>
      <c r="C76" t="inlineStr">
        <is>
          <t>Del Mar Heights Road</t>
        </is>
      </c>
      <c r="D76" t="inlineStr">
        <is>
          <t>Nob Avenue</t>
        </is>
      </c>
      <c r="E76" t="inlineStr">
        <is>
          <t>Nogales Drive</t>
        </is>
      </c>
      <c r="F76" t="inlineStr">
        <is>
          <t>436308935</t>
        </is>
      </c>
      <c r="G76" t="n">
        <v>40</v>
      </c>
      <c r="H76" t="inlineStr">
        <is>
          <t>tag</t>
        </is>
      </c>
      <c r="I76" t="inlineStr">
        <is>
          <t>no</t>
        </is>
      </c>
      <c r="J76" t="inlineStr">
        <is>
          <t>https://www.google.com/maps/@?api=1&amp;map_action=pano&amp;viewpoint=32.948695,-117.258850&amp;heading=74</t>
        </is>
      </c>
      <c r="K76" t="inlineStr">
        <is>
          <t>https://www.google.com/maps/search/?api=1&amp;query=32.948695,-117.258850</t>
        </is>
      </c>
      <c r="L76" t="inlineStr"/>
      <c r="M76" t="inlineStr"/>
      <c r="N76" t="inlineStr"/>
      <c r="O76" t="inlineStr"/>
      <c r="P76" t="inlineStr">
        <is>
          <t>pending</t>
        </is>
      </c>
      <c r="Q76" t="inlineStr"/>
      <c r="R76" t="inlineStr"/>
      <c r="S76" t="inlineStr"/>
      <c r="T76" t="inlineStr"/>
      <c r="U76" t="inlineStr"/>
      <c r="V76">
        <f>IF(OR(L76="",S76=""),"",IF(VALUE(L76)=VALUE(S76),"Y","N"))</f>
        <v/>
      </c>
      <c r="W76">
        <f>IF(V76="Y",S76,"")</f>
        <v/>
      </c>
      <c r="X76" t="inlineStr">
        <is>
          <t>RED ISLAND: 517 m of Del Mar Heights Road at 40 mph between 35 mph on both sides (confirmed); is the posted limit really higher here?</t>
        </is>
      </c>
      <c r="Y76" t="inlineStr"/>
      <c r="Z76" t="n">
        <v>517</v>
      </c>
      <c r="AA76" t="inlineStr">
        <is>
          <t>sd</t>
        </is>
      </c>
      <c r="AB76" t="inlineStr">
        <is>
          <t>sd|32.94870,-117.25885</t>
        </is>
      </c>
    </row>
    <row r="77">
      <c r="A77" t="inlineStr">
        <is>
          <t>SD-B2-076</t>
        </is>
      </c>
      <c r="B77" t="inlineStr">
        <is>
          <t>San Diego area</t>
        </is>
      </c>
      <c r="C77" t="inlineStr">
        <is>
          <t>San Andres Drive</t>
        </is>
      </c>
      <c r="D77" t="inlineStr">
        <is>
          <t>Via Campestre</t>
        </is>
      </c>
      <c r="E77" t="inlineStr">
        <is>
          <t>(see map link)</t>
        </is>
      </c>
      <c r="F77" t="inlineStr">
        <is>
          <t>1090303792</t>
        </is>
      </c>
      <c r="G77" t="n">
        <v>40</v>
      </c>
      <c r="H77" t="inlineStr">
        <is>
          <t>mapillary</t>
        </is>
      </c>
      <c r="I77" t="inlineStr">
        <is>
          <t>no</t>
        </is>
      </c>
      <c r="J77" t="inlineStr">
        <is>
          <t>https://www.google.com/maps/@?api=1&amp;map_action=pano&amp;viewpoint=32.986510,-117.245750&amp;heading=359</t>
        </is>
      </c>
      <c r="K77" t="inlineStr">
        <is>
          <t>https://www.google.com/maps/search/?api=1&amp;query=32.986510,-117.245750</t>
        </is>
      </c>
      <c r="L77" t="inlineStr"/>
      <c r="M77" t="inlineStr"/>
      <c r="N77" t="inlineStr"/>
      <c r="O77" t="inlineStr"/>
      <c r="P77" t="inlineStr">
        <is>
          <t>pending</t>
        </is>
      </c>
      <c r="Q77" t="inlineStr"/>
      <c r="R77" t="inlineStr"/>
      <c r="S77" t="inlineStr"/>
      <c r="T77" t="inlineStr">
        <is>
          <t>Mapillary: 2 posted 40 mph sign(s) detected</t>
        </is>
      </c>
      <c r="U77" t="inlineStr">
        <is>
          <t>https://www.mapillary.com/app/?lat=32.986774&amp;lng=-117.245680&amp;z=19&amp;focus=map&amp;mapFeatureId=217051873818678</t>
        </is>
      </c>
      <c r="V77">
        <f>IF(OR(L77="",S77=""),"",IF(VALUE(L77)=VALUE(S77),"Y","N"))</f>
        <v/>
      </c>
      <c r="W77">
        <f>IF(V77="Y",S77,"")</f>
        <v/>
      </c>
      <c r="X77" t="inlineStr">
        <is>
          <t>RED ISLAND: 270 m of San Andres Drive at 40 mph between 25 mph on both sides (confirmed); is the posted limit really higher here?</t>
        </is>
      </c>
      <c r="Y77" t="inlineStr"/>
      <c r="Z77" t="n">
        <v>270</v>
      </c>
      <c r="AA77" t="inlineStr">
        <is>
          <t>sd</t>
        </is>
      </c>
      <c r="AB77" t="inlineStr">
        <is>
          <t>sd|32.98651,-117.24575</t>
        </is>
      </c>
    </row>
    <row r="78">
      <c r="A78" t="inlineStr">
        <is>
          <t>SD-B2-077</t>
        </is>
      </c>
      <c r="B78" t="inlineStr">
        <is>
          <t>San Diego area</t>
        </is>
      </c>
      <c r="C78" t="inlineStr">
        <is>
          <t>West Broadway</t>
        </is>
      </c>
      <c r="D78" t="inlineStr">
        <is>
          <t>1st Avenue</t>
        </is>
      </c>
      <c r="E78" t="inlineStr">
        <is>
          <t>Front Street</t>
        </is>
      </c>
      <c r="F78" t="inlineStr">
        <is>
          <t>277182509</t>
        </is>
      </c>
      <c r="G78" t="inlineStr"/>
      <c r="H78" t="inlineStr">
        <is>
          <t>inferred</t>
        </is>
      </c>
      <c r="I78" t="inlineStr">
        <is>
          <t>no</t>
        </is>
      </c>
      <c r="J78" t="inlineStr">
        <is>
          <t>https://www.google.com/maps/@?api=1&amp;map_action=pano&amp;viewpoint=32.715640,-117.170180&amp;heading=90</t>
        </is>
      </c>
      <c r="K78" t="inlineStr">
        <is>
          <t>https://www.google.com/maps/search/?api=1&amp;query=32.715640,-117.170180</t>
        </is>
      </c>
      <c r="L78" t="inlineStr"/>
      <c r="M78" t="inlineStr"/>
      <c r="N78" t="inlineStr"/>
      <c r="O78" t="inlineStr"/>
      <c r="P78" t="inlineStr">
        <is>
          <t>pending</t>
        </is>
      </c>
      <c r="Q78" t="inlineStr"/>
      <c r="R78" t="inlineStr"/>
      <c r="S78" t="inlineStr"/>
      <c r="T78" t="inlineStr"/>
      <c r="U78" t="inlineStr"/>
      <c r="V78">
        <f>IF(OR(L78="",S78=""),"",IF(VALUE(L78)=VALUE(S78),"Y","N"))</f>
        <v/>
      </c>
      <c r="W78">
        <f>IF(V78="Y",S78,"")</f>
        <v/>
      </c>
      <c r="X78" t="inlineStr">
        <is>
          <t>unverified: map has no limit (guessed from road type); main road: what is posted? 35 or lower opens it to LSVs</t>
        </is>
      </c>
      <c r="Y78" t="inlineStr"/>
      <c r="Z78" t="n">
        <v>1724</v>
      </c>
      <c r="AA78" t="inlineStr">
        <is>
          <t>sd</t>
        </is>
      </c>
      <c r="AB78" t="inlineStr">
        <is>
          <t>sd|32.71564,-117.17018</t>
        </is>
      </c>
    </row>
    <row r="79">
      <c r="A79" t="inlineStr">
        <is>
          <t>SD-B2-078</t>
        </is>
      </c>
      <c r="B79" t="inlineStr">
        <is>
          <t>San Diego area</t>
        </is>
      </c>
      <c r="C79" t="inlineStr">
        <is>
          <t>Pacific Highway</t>
        </is>
      </c>
      <c r="D79" t="inlineStr">
        <is>
          <t>(see map link)</t>
        </is>
      </c>
      <c r="E79" t="inlineStr">
        <is>
          <t>Sassafras Street</t>
        </is>
      </c>
      <c r="F79" t="inlineStr">
        <is>
          <t>436573733</t>
        </is>
      </c>
      <c r="G79" t="inlineStr"/>
      <c r="H79" t="inlineStr">
        <is>
          <t>inferred</t>
        </is>
      </c>
      <c r="I79" t="inlineStr">
        <is>
          <t>no</t>
        </is>
      </c>
      <c r="J79" t="inlineStr">
        <is>
          <t>https://www.google.com/maps/@?api=1&amp;map_action=pano&amp;viewpoint=32.738150,-117.179380&amp;heading=330</t>
        </is>
      </c>
      <c r="K79" t="inlineStr">
        <is>
          <t>https://www.google.com/maps/search/?api=1&amp;query=32.738150,-117.179380</t>
        </is>
      </c>
      <c r="L79" t="inlineStr"/>
      <c r="M79" t="inlineStr"/>
      <c r="N79" t="inlineStr"/>
      <c r="O79" t="inlineStr"/>
      <c r="P79" t="inlineStr">
        <is>
          <t>pending</t>
        </is>
      </c>
      <c r="Q79" t="inlineStr"/>
      <c r="R79" t="inlineStr"/>
      <c r="S79" t="inlineStr"/>
      <c r="T79" t="inlineStr"/>
      <c r="U79" t="inlineStr"/>
      <c r="V79">
        <f>IF(OR(L79="",S79=""),"",IF(VALUE(L79)=VALUE(S79),"Y","N"))</f>
        <v/>
      </c>
      <c r="W79">
        <f>IF(V79="Y",S79,"")</f>
        <v/>
      </c>
      <c r="X79" t="inlineStr">
        <is>
          <t>unverified: map has no limit (guessed from road type); main road: what is posted? 35 or lower opens it to LSVs</t>
        </is>
      </c>
      <c r="Y79" t="inlineStr"/>
      <c r="Z79" t="n">
        <v>2502</v>
      </c>
      <c r="AA79" t="inlineStr">
        <is>
          <t>sd</t>
        </is>
      </c>
      <c r="AB79" t="inlineStr">
        <is>
          <t>sd|32.73815,-117.17938</t>
        </is>
      </c>
    </row>
    <row r="80">
      <c r="A80" t="inlineStr">
        <is>
          <t>SD-B2-079</t>
        </is>
      </c>
      <c r="B80" t="inlineStr">
        <is>
          <t>San Diego area</t>
        </is>
      </c>
      <c r="C80" t="inlineStr">
        <is>
          <t>Pacific Highway</t>
        </is>
      </c>
      <c r="D80" t="inlineStr">
        <is>
          <t>Kurtz Street</t>
        </is>
      </c>
      <c r="E80" t="inlineStr">
        <is>
          <t>Smith Street</t>
        </is>
      </c>
      <c r="F80" t="inlineStr">
        <is>
          <t>186470503</t>
        </is>
      </c>
      <c r="G80" t="inlineStr"/>
      <c r="H80" t="inlineStr">
        <is>
          <t>inferred</t>
        </is>
      </c>
      <c r="I80" t="inlineStr">
        <is>
          <t>no</t>
        </is>
      </c>
      <c r="J80" t="inlineStr">
        <is>
          <t>https://www.google.com/maps/@?api=1&amp;map_action=pano&amp;viewpoint=32.750120,-117.199840&amp;heading=339</t>
        </is>
      </c>
      <c r="K80" t="inlineStr">
        <is>
          <t>https://www.google.com/maps/search/?api=1&amp;query=32.750120,-117.199840</t>
        </is>
      </c>
      <c r="L80" t="inlineStr"/>
      <c r="M80" t="inlineStr"/>
      <c r="N80" t="inlineStr"/>
      <c r="O80" t="inlineStr"/>
      <c r="P80" t="inlineStr">
        <is>
          <t>pending</t>
        </is>
      </c>
      <c r="Q80" t="inlineStr"/>
      <c r="R80" t="inlineStr"/>
      <c r="S80" t="inlineStr"/>
      <c r="T80" t="inlineStr"/>
      <c r="U80" t="inlineStr"/>
      <c r="V80">
        <f>IF(OR(L80="",S80=""),"",IF(VALUE(L80)=VALUE(S80),"Y","N"))</f>
        <v/>
      </c>
      <c r="W80">
        <f>IF(V80="Y",S80,"")</f>
        <v/>
      </c>
      <c r="X80" t="inlineStr">
        <is>
          <t>unverified: map has no limit (guessed from road type); main road: what is posted? 35 or lower opens it to LSVs</t>
        </is>
      </c>
      <c r="Y80" t="inlineStr"/>
      <c r="Z80" t="n">
        <v>1591</v>
      </c>
      <c r="AA80" t="inlineStr">
        <is>
          <t>sd</t>
        </is>
      </c>
      <c r="AB80" t="inlineStr">
        <is>
          <t>sd|32.75012,-117.19984</t>
        </is>
      </c>
    </row>
    <row r="81">
      <c r="A81" t="inlineStr">
        <is>
          <t>SD-B2-080</t>
        </is>
      </c>
      <c r="B81" t="inlineStr">
        <is>
          <t>San Diego area</t>
        </is>
      </c>
      <c r="C81" t="inlineStr">
        <is>
          <t>Carmel Valley Road</t>
        </is>
      </c>
      <c r="D81" t="inlineStr">
        <is>
          <t>Lopelia Meadows Place</t>
        </is>
      </c>
      <c r="E81" t="inlineStr">
        <is>
          <t>Torrey del Mar Drive</t>
        </is>
      </c>
      <c r="F81" t="inlineStr">
        <is>
          <t>436270925</t>
        </is>
      </c>
      <c r="G81" t="inlineStr"/>
      <c r="H81" t="inlineStr">
        <is>
          <t>inferred</t>
        </is>
      </c>
      <c r="I81" t="inlineStr">
        <is>
          <t>no</t>
        </is>
      </c>
      <c r="J81" t="inlineStr">
        <is>
          <t>https://www.google.com/maps/@?api=1&amp;map_action=pano&amp;viewpoint=32.969800,-117.175280&amp;heading=252</t>
        </is>
      </c>
      <c r="K81" t="inlineStr">
        <is>
          <t>https://www.google.com/maps/search/?api=1&amp;query=32.969800,-117.175280</t>
        </is>
      </c>
      <c r="L81" t="inlineStr"/>
      <c r="M81" t="inlineStr"/>
      <c r="N81" t="inlineStr"/>
      <c r="O81" t="inlineStr"/>
      <c r="P81" t="inlineStr">
        <is>
          <t>pending</t>
        </is>
      </c>
      <c r="Q81" t="inlineStr"/>
      <c r="R81" t="inlineStr"/>
      <c r="S81" t="inlineStr"/>
      <c r="T81" t="inlineStr"/>
      <c r="U81" t="inlineStr"/>
      <c r="V81">
        <f>IF(OR(L81="",S81=""),"",IF(VALUE(L81)=VALUE(S81),"Y","N"))</f>
        <v/>
      </c>
      <c r="W81">
        <f>IF(V81="Y",S81,"")</f>
        <v/>
      </c>
      <c r="X81" t="inlineStr">
        <is>
          <t>unverified: map has no limit (guessed from road type); main road: what is posted? 35 or lower opens it to LSVs</t>
        </is>
      </c>
      <c r="Y81" t="inlineStr"/>
      <c r="Z81" t="n">
        <v>2416</v>
      </c>
      <c r="AA81" t="inlineStr">
        <is>
          <t>sd</t>
        </is>
      </c>
      <c r="AB81" t="inlineStr">
        <is>
          <t>sd|32.96980,-117.17528</t>
        </is>
      </c>
    </row>
    <row r="82">
      <c r="A82" t="inlineStr">
        <is>
          <t>SD-B2-081</t>
        </is>
      </c>
      <c r="B82" t="inlineStr">
        <is>
          <t>San Diego area</t>
        </is>
      </c>
      <c r="C82" t="inlineStr">
        <is>
          <t>Nimitz Boulevard</t>
        </is>
      </c>
      <c r="D82" t="inlineStr">
        <is>
          <t>West Point Loma Boulevard</t>
        </is>
      </c>
      <c r="E82" t="inlineStr">
        <is>
          <t>Centraloma Drive</t>
        </is>
      </c>
      <c r="F82" t="inlineStr">
        <is>
          <t>159947685</t>
        </is>
      </c>
      <c r="G82" t="inlineStr"/>
      <c r="H82" t="inlineStr">
        <is>
          <t>inferred</t>
        </is>
      </c>
      <c r="I82" t="inlineStr">
        <is>
          <t>no</t>
        </is>
      </c>
      <c r="J82" t="inlineStr">
        <is>
          <t>https://www.google.com/maps/@?api=1&amp;map_action=pano&amp;viewpoint=32.742680,-117.232540&amp;heading=341</t>
        </is>
      </c>
      <c r="K82" t="inlineStr">
        <is>
          <t>https://www.google.com/maps/search/?api=1&amp;query=32.742680,-117.232540</t>
        </is>
      </c>
      <c r="L82" t="inlineStr"/>
      <c r="M82" t="inlineStr"/>
      <c r="N82" t="inlineStr"/>
      <c r="O82" t="inlineStr"/>
      <c r="P82" t="inlineStr">
        <is>
          <t>pending</t>
        </is>
      </c>
      <c r="Q82" t="inlineStr"/>
      <c r="R82" t="inlineStr"/>
      <c r="S82" t="inlineStr"/>
      <c r="T82" t="inlineStr"/>
      <c r="U82" t="inlineStr"/>
      <c r="V82">
        <f>IF(OR(L82="",S82=""),"",IF(VALUE(L82)=VALUE(S82),"Y","N"))</f>
        <v/>
      </c>
      <c r="W82">
        <f>IF(V82="Y",S82,"")</f>
        <v/>
      </c>
      <c r="X82" t="inlineStr">
        <is>
          <t>unverified: map has no limit (guessed from road type); main road: what is posted? 35 or lower opens it to LSVs</t>
        </is>
      </c>
      <c r="Y82" t="inlineStr"/>
      <c r="Z82" t="n">
        <v>1991</v>
      </c>
      <c r="AA82" t="inlineStr">
        <is>
          <t>sd</t>
        </is>
      </c>
      <c r="AB82" t="inlineStr">
        <is>
          <t>sd|32.74268,-117.23254</t>
        </is>
      </c>
    </row>
    <row r="83">
      <c r="A83" t="inlineStr">
        <is>
          <t>SD-B2-082</t>
        </is>
      </c>
      <c r="B83" t="inlineStr">
        <is>
          <t>San Diego area</t>
        </is>
      </c>
      <c r="C83" t="inlineStr">
        <is>
          <t>Midway Drive</t>
        </is>
      </c>
      <c r="D83" t="inlineStr">
        <is>
          <t>(see map link)</t>
        </is>
      </c>
      <c r="E83" t="inlineStr">
        <is>
          <t>Rosecrans Street</t>
        </is>
      </c>
      <c r="F83" t="inlineStr">
        <is>
          <t>788712080</t>
        </is>
      </c>
      <c r="G83" t="inlineStr"/>
      <c r="H83" t="inlineStr">
        <is>
          <t>inferred</t>
        </is>
      </c>
      <c r="I83" t="inlineStr">
        <is>
          <t>no</t>
        </is>
      </c>
      <c r="J83" t="inlineStr">
        <is>
          <t>https://www.google.com/maps/@?api=1&amp;map_action=pano&amp;viewpoint=32.752620,-117.216055&amp;heading=127</t>
        </is>
      </c>
      <c r="K83" t="inlineStr">
        <is>
          <t>https://www.google.com/maps/search/?api=1&amp;query=32.752620,-117.216055</t>
        </is>
      </c>
      <c r="L83" t="inlineStr"/>
      <c r="M83" t="inlineStr"/>
      <c r="N83" t="inlineStr"/>
      <c r="O83" t="inlineStr"/>
      <c r="P83" t="inlineStr">
        <is>
          <t>pending</t>
        </is>
      </c>
      <c r="Q83" t="inlineStr"/>
      <c r="R83" t="inlineStr"/>
      <c r="S83" t="inlineStr"/>
      <c r="T83" t="inlineStr"/>
      <c r="U83" t="inlineStr"/>
      <c r="V83">
        <f>IF(OR(L83="",S83=""),"",IF(VALUE(L83)=VALUE(S83),"Y","N"))</f>
        <v/>
      </c>
      <c r="W83">
        <f>IF(V83="Y",S83,"")</f>
        <v/>
      </c>
      <c r="X83" t="inlineStr">
        <is>
          <t>unverified: map has no limit (guessed from road type); main road: what is posted? 35 or lower opens it to LSVs</t>
        </is>
      </c>
      <c r="Y83" t="inlineStr"/>
      <c r="Z83" t="n">
        <v>1729</v>
      </c>
      <c r="AA83" t="inlineStr">
        <is>
          <t>sd</t>
        </is>
      </c>
      <c r="AB83" t="inlineStr">
        <is>
          <t>sd|32.75262,-117.21606</t>
        </is>
      </c>
    </row>
    <row r="84">
      <c r="A84" t="inlineStr">
        <is>
          <t>SD-B2-083</t>
        </is>
      </c>
      <c r="B84" t="inlineStr">
        <is>
          <t>San Diego area</t>
        </is>
      </c>
      <c r="C84" t="inlineStr">
        <is>
          <t>Piraeus Street</t>
        </is>
      </c>
      <c r="D84" t="inlineStr">
        <is>
          <t>Leucadia Boulevard</t>
        </is>
      </c>
      <c r="E84" t="inlineStr">
        <is>
          <t>La Costa Avenue</t>
        </is>
      </c>
      <c r="F84" t="inlineStr">
        <is>
          <t>178116769</t>
        </is>
      </c>
      <c r="G84" t="inlineStr"/>
      <c r="H84" t="inlineStr">
        <is>
          <t>inferred</t>
        </is>
      </c>
      <c r="I84" t="inlineStr">
        <is>
          <t>no</t>
        </is>
      </c>
      <c r="J84" t="inlineStr">
        <is>
          <t>https://www.google.com/maps/@?api=1&amp;map_action=pano&amp;viewpoint=33.079780,-117.296145&amp;heading=346</t>
        </is>
      </c>
      <c r="K84" t="inlineStr">
        <is>
          <t>https://www.google.com/maps/search/?api=1&amp;query=33.079780,-117.296145</t>
        </is>
      </c>
      <c r="L84" t="inlineStr"/>
      <c r="M84" t="inlineStr"/>
      <c r="N84" t="inlineStr"/>
      <c r="O84" t="inlineStr"/>
      <c r="P84" t="inlineStr">
        <is>
          <t>pending</t>
        </is>
      </c>
      <c r="Q84" t="inlineStr"/>
      <c r="R84" t="inlineStr"/>
      <c r="S84" t="inlineStr"/>
      <c r="T84" t="inlineStr"/>
      <c r="U84" t="inlineStr"/>
      <c r="V84">
        <f>IF(OR(L84="",S84=""),"",IF(VALUE(L84)=VALUE(S84),"Y","N"))</f>
        <v/>
      </c>
      <c r="W84">
        <f>IF(V84="Y",S84,"")</f>
        <v/>
      </c>
      <c r="X84" t="inlineStr">
        <is>
          <t>unverified: map has no limit (guessed from road type); main road: what is posted? 35 or lower opens it to LSVs</t>
        </is>
      </c>
      <c r="Y84" t="inlineStr"/>
      <c r="Z84" t="n">
        <v>2264</v>
      </c>
      <c r="AA84" t="inlineStr">
        <is>
          <t>sd</t>
        </is>
      </c>
      <c r="AB84" t="inlineStr">
        <is>
          <t>sd|33.07978,-117.29614</t>
        </is>
      </c>
    </row>
    <row r="85">
      <c r="A85" t="inlineStr">
        <is>
          <t>SD-B2-084</t>
        </is>
      </c>
      <c r="B85" t="inlineStr">
        <is>
          <t>San Diego area</t>
        </is>
      </c>
      <c r="C85" t="inlineStr">
        <is>
          <t>El Camino Real</t>
        </is>
      </c>
      <c r="D85" t="inlineStr">
        <is>
          <t>Palomar Airport Road</t>
        </is>
      </c>
      <c r="E85" t="inlineStr">
        <is>
          <t>College Boulevard</t>
        </is>
      </c>
      <c r="F85" t="inlineStr">
        <is>
          <t>714471079</t>
        </is>
      </c>
      <c r="G85" t="inlineStr"/>
      <c r="H85" t="inlineStr">
        <is>
          <t>inferred</t>
        </is>
      </c>
      <c r="I85" t="inlineStr">
        <is>
          <t>no</t>
        </is>
      </c>
      <c r="J85" t="inlineStr">
        <is>
          <t>https://www.google.com/maps/@?api=1&amp;map_action=pano&amp;viewpoint=33.133725,-117.270695&amp;heading=141</t>
        </is>
      </c>
      <c r="K85" t="inlineStr">
        <is>
          <t>https://www.google.com/maps/search/?api=1&amp;query=33.133725,-117.270695</t>
        </is>
      </c>
      <c r="L85" t="inlineStr"/>
      <c r="M85" t="inlineStr"/>
      <c r="N85" t="inlineStr"/>
      <c r="O85" t="inlineStr"/>
      <c r="P85" t="inlineStr">
        <is>
          <t>pending</t>
        </is>
      </c>
      <c r="Q85" t="inlineStr"/>
      <c r="R85" t="inlineStr"/>
      <c r="S85" t="inlineStr"/>
      <c r="T85" t="inlineStr"/>
      <c r="U85" t="inlineStr"/>
      <c r="V85">
        <f>IF(OR(L85="",S85=""),"",IF(VALUE(L85)=VALUE(S85),"Y","N"))</f>
        <v/>
      </c>
      <c r="W85">
        <f>IF(V85="Y",S85,"")</f>
        <v/>
      </c>
      <c r="X85" t="inlineStr">
        <is>
          <t>unverified: map has no limit (guessed from road type); main road: what is posted? 35 or lower opens it to LSVs</t>
        </is>
      </c>
      <c r="Y85" t="inlineStr"/>
      <c r="Z85" t="n">
        <v>2414</v>
      </c>
      <c r="AA85" t="inlineStr">
        <is>
          <t>sd</t>
        </is>
      </c>
      <c r="AB85" t="inlineStr">
        <is>
          <t>sd|33.13372,-117.27070</t>
        </is>
      </c>
    </row>
    <row r="86">
      <c r="A86" t="inlineStr">
        <is>
          <t>SD-B2-085</t>
        </is>
      </c>
      <c r="B86" t="inlineStr">
        <is>
          <t>San Diego area</t>
        </is>
      </c>
      <c r="C86" t="inlineStr">
        <is>
          <t>El Camino Real</t>
        </is>
      </c>
      <c r="D86" t="inlineStr">
        <is>
          <t>Poinsettia Lane</t>
        </is>
      </c>
      <c r="E86" t="inlineStr">
        <is>
          <t>Cassia Road</t>
        </is>
      </c>
      <c r="F86" t="inlineStr">
        <is>
          <t>167030258</t>
        </is>
      </c>
      <c r="G86" t="inlineStr"/>
      <c r="H86" t="inlineStr">
        <is>
          <t>inferred</t>
        </is>
      </c>
      <c r="I86" t="inlineStr">
        <is>
          <t>no</t>
        </is>
      </c>
      <c r="J86" t="inlineStr">
        <is>
          <t>https://www.google.com/maps/@?api=1&amp;map_action=pano&amp;viewpoint=33.107980,-117.268740&amp;heading=147</t>
        </is>
      </c>
      <c r="K86" t="inlineStr">
        <is>
          <t>https://www.google.com/maps/search/?api=1&amp;query=33.107980,-117.268740</t>
        </is>
      </c>
      <c r="L86" t="inlineStr"/>
      <c r="M86" t="inlineStr"/>
      <c r="N86" t="inlineStr"/>
      <c r="O86" t="inlineStr"/>
      <c r="P86" t="inlineStr">
        <is>
          <t>pending</t>
        </is>
      </c>
      <c r="Q86" t="inlineStr"/>
      <c r="R86" t="inlineStr"/>
      <c r="S86" t="inlineStr"/>
      <c r="T86" t="inlineStr"/>
      <c r="U86" t="inlineStr"/>
      <c r="V86">
        <f>IF(OR(L86="",S86=""),"",IF(VALUE(L86)=VALUE(S86),"Y","N"))</f>
        <v/>
      </c>
      <c r="W86">
        <f>IF(V86="Y",S86,"")</f>
        <v/>
      </c>
      <c r="X86" t="inlineStr">
        <is>
          <t>unverified: map has no limit (guessed from road type); main road: what is posted? 35 or lower opens it to LSVs</t>
        </is>
      </c>
      <c r="Y86" t="inlineStr"/>
      <c r="Z86" t="n">
        <v>1506</v>
      </c>
      <c r="AA86" t="inlineStr">
        <is>
          <t>sd</t>
        </is>
      </c>
      <c r="AB86" t="inlineStr">
        <is>
          <t>sd|33.10798,-117.26874</t>
        </is>
      </c>
    </row>
    <row r="87">
      <c r="A87" t="inlineStr">
        <is>
          <t>SD-B2-086</t>
        </is>
      </c>
      <c r="B87" t="inlineStr">
        <is>
          <t>San Diego area</t>
        </is>
      </c>
      <c r="C87" t="inlineStr">
        <is>
          <t>Melrose Drive</t>
        </is>
      </c>
      <c r="D87" t="inlineStr">
        <is>
          <t>Palomar Airport Road</t>
        </is>
      </c>
      <c r="E87" t="inlineStr">
        <is>
          <t>Aspen Way</t>
        </is>
      </c>
      <c r="F87" t="inlineStr">
        <is>
          <t>456129976</t>
        </is>
      </c>
      <c r="G87" t="inlineStr"/>
      <c r="H87" t="inlineStr">
        <is>
          <t>inferred</t>
        </is>
      </c>
      <c r="I87" t="inlineStr">
        <is>
          <t>no</t>
        </is>
      </c>
      <c r="J87" t="inlineStr">
        <is>
          <t>https://www.google.com/maps/@?api=1&amp;map_action=pano&amp;viewpoint=33.109460,-117.228710&amp;heading=154</t>
        </is>
      </c>
      <c r="K87" t="inlineStr">
        <is>
          <t>https://www.google.com/maps/search/?api=1&amp;query=33.109460,-117.228710</t>
        </is>
      </c>
      <c r="L87" t="inlineStr"/>
      <c r="M87" t="inlineStr"/>
      <c r="N87" t="inlineStr"/>
      <c r="O87" t="inlineStr"/>
      <c r="P87" t="inlineStr">
        <is>
          <t>pending</t>
        </is>
      </c>
      <c r="Q87" t="inlineStr"/>
      <c r="R87" t="inlineStr"/>
      <c r="S87" t="inlineStr"/>
      <c r="T87" t="inlineStr"/>
      <c r="U87" t="inlineStr"/>
      <c r="V87">
        <f>IF(OR(L87="",S87=""),"",IF(VALUE(L87)=VALUE(S87),"Y","N"))</f>
        <v/>
      </c>
      <c r="W87">
        <f>IF(V87="Y",S87,"")</f>
        <v/>
      </c>
      <c r="X87" t="inlineStr">
        <is>
          <t>unverified: map has no limit (guessed from road type); main road: what is posted? 35 or lower opens it to LSVs</t>
        </is>
      </c>
      <c r="Y87" t="inlineStr"/>
      <c r="Z87" t="n">
        <v>4054</v>
      </c>
      <c r="AA87" t="inlineStr">
        <is>
          <t>sd</t>
        </is>
      </c>
      <c r="AB87" t="inlineStr">
        <is>
          <t>sd|33.10946,-117.22871</t>
        </is>
      </c>
    </row>
    <row r="88">
      <c r="A88" t="inlineStr">
        <is>
          <t>SD-B2-087</t>
        </is>
      </c>
      <c r="B88" t="inlineStr">
        <is>
          <t>San Diego area</t>
        </is>
      </c>
      <c r="C88" t="inlineStr">
        <is>
          <t>South Melrose Drive</t>
        </is>
      </c>
      <c r="D88" t="inlineStr">
        <is>
          <t>Dawson Drive</t>
        </is>
      </c>
      <c r="E88" t="inlineStr">
        <is>
          <t>Aspen Way</t>
        </is>
      </c>
      <c r="F88" t="inlineStr">
        <is>
          <t>113519549</t>
        </is>
      </c>
      <c r="G88" t="inlineStr"/>
      <c r="H88" t="inlineStr">
        <is>
          <t>inferred</t>
        </is>
      </c>
      <c r="I88" t="inlineStr">
        <is>
          <t>no</t>
        </is>
      </c>
      <c r="J88" t="inlineStr">
        <is>
          <t>https://www.google.com/maps/@?api=1&amp;map_action=pano&amp;viewpoint=33.151520,-117.242290&amp;heading=186</t>
        </is>
      </c>
      <c r="K88" t="inlineStr">
        <is>
          <t>https://www.google.com/maps/search/?api=1&amp;query=33.151520,-117.242290</t>
        </is>
      </c>
      <c r="L88" t="inlineStr"/>
      <c r="M88" t="inlineStr"/>
      <c r="N88" t="inlineStr"/>
      <c r="O88" t="inlineStr"/>
      <c r="P88" t="inlineStr">
        <is>
          <t>pending</t>
        </is>
      </c>
      <c r="Q88" t="inlineStr"/>
      <c r="R88" t="inlineStr"/>
      <c r="S88" t="inlineStr"/>
      <c r="T88" t="inlineStr"/>
      <c r="U88" t="inlineStr"/>
      <c r="V88">
        <f>IF(OR(L88="",S88=""),"",IF(VALUE(L88)=VALUE(S88),"Y","N"))</f>
        <v/>
      </c>
      <c r="W88">
        <f>IF(V88="Y",S88,"")</f>
        <v/>
      </c>
      <c r="X88" t="inlineStr">
        <is>
          <t>unverified: map has no limit (guessed from road type); main road: what is posted? 35 or lower opens it to LSVs</t>
        </is>
      </c>
      <c r="Y88" t="inlineStr"/>
      <c r="Z88" t="n">
        <v>2130</v>
      </c>
      <c r="AA88" t="inlineStr">
        <is>
          <t>sd</t>
        </is>
      </c>
      <c r="AB88" t="inlineStr">
        <is>
          <t>sd|33.15152,-117.24229</t>
        </is>
      </c>
    </row>
    <row r="89">
      <c r="A89" t="inlineStr">
        <is>
          <t>SD-B2-088</t>
        </is>
      </c>
      <c r="B89" t="inlineStr">
        <is>
          <t>San Diego area</t>
        </is>
      </c>
      <c r="C89" t="inlineStr">
        <is>
          <t>South Melrose Drive</t>
        </is>
      </c>
      <c r="D89" t="inlineStr">
        <is>
          <t>Sycamore Avenue</t>
        </is>
      </c>
      <c r="E89" t="inlineStr">
        <is>
          <t>Aspen Way</t>
        </is>
      </c>
      <c r="F89" t="inlineStr">
        <is>
          <t>436308861</t>
        </is>
      </c>
      <c r="G89" t="inlineStr"/>
      <c r="H89" t="inlineStr">
        <is>
          <t>inferred</t>
        </is>
      </c>
      <c r="I89" t="inlineStr">
        <is>
          <t>no</t>
        </is>
      </c>
      <c r="J89" t="inlineStr">
        <is>
          <t>https://www.google.com/maps/@?api=1&amp;map_action=pano&amp;viewpoint=33.151110,-117.242160&amp;heading=353</t>
        </is>
      </c>
      <c r="K89" t="inlineStr">
        <is>
          <t>https://www.google.com/maps/search/?api=1&amp;query=33.151110,-117.242160</t>
        </is>
      </c>
      <c r="L89" t="inlineStr"/>
      <c r="M89" t="inlineStr"/>
      <c r="N89" t="inlineStr"/>
      <c r="O89" t="inlineStr"/>
      <c r="P89" t="inlineStr">
        <is>
          <t>pending</t>
        </is>
      </c>
      <c r="Q89" t="inlineStr"/>
      <c r="R89" t="inlineStr"/>
      <c r="S89" t="inlineStr"/>
      <c r="T89" t="inlineStr"/>
      <c r="U89" t="inlineStr"/>
      <c r="V89">
        <f>IF(OR(L89="",S89=""),"",IF(VALUE(L89)=VALUE(S89),"Y","N"))</f>
        <v/>
      </c>
      <c r="W89">
        <f>IF(V89="Y",S89,"")</f>
        <v/>
      </c>
      <c r="X89" t="inlineStr">
        <is>
          <t>unverified: map has no limit (guessed from road type); main road: what is posted? 35 or lower opens it to LSVs</t>
        </is>
      </c>
      <c r="Y89" t="inlineStr"/>
      <c r="Z89" t="n">
        <v>2039</v>
      </c>
      <c r="AA89" t="inlineStr">
        <is>
          <t>sd</t>
        </is>
      </c>
      <c r="AB89" t="inlineStr">
        <is>
          <t>sd|33.15111,-117.24216</t>
        </is>
      </c>
    </row>
    <row r="90">
      <c r="A90" t="inlineStr">
        <is>
          <t>SD-B2-089</t>
        </is>
      </c>
      <c r="B90" t="inlineStr">
        <is>
          <t>San Diego area</t>
        </is>
      </c>
      <c r="C90" t="inlineStr">
        <is>
          <t>Melrose Drive</t>
        </is>
      </c>
      <c r="D90" t="inlineStr">
        <is>
          <t>(see map link)</t>
        </is>
      </c>
      <c r="E90" t="inlineStr">
        <is>
          <t>Aspen Way</t>
        </is>
      </c>
      <c r="F90" t="inlineStr">
        <is>
          <t>1343386696</t>
        </is>
      </c>
      <c r="G90" t="inlineStr"/>
      <c r="H90" t="inlineStr">
        <is>
          <t>inferred</t>
        </is>
      </c>
      <c r="I90" t="inlineStr">
        <is>
          <t>no</t>
        </is>
      </c>
      <c r="J90" t="inlineStr">
        <is>
          <t>https://www.google.com/maps/@?api=1&amp;map_action=pano&amp;viewpoint=33.126820,-117.244600&amp;heading=329</t>
        </is>
      </c>
      <c r="K90" t="inlineStr">
        <is>
          <t>https://www.google.com/maps/search/?api=1&amp;query=33.126820,-117.244600</t>
        </is>
      </c>
      <c r="L90" t="inlineStr"/>
      <c r="M90" t="inlineStr"/>
      <c r="N90" t="inlineStr"/>
      <c r="O90" t="inlineStr"/>
      <c r="P90" t="inlineStr">
        <is>
          <t>pending</t>
        </is>
      </c>
      <c r="Q90" t="inlineStr"/>
      <c r="R90" t="inlineStr"/>
      <c r="S90" t="inlineStr"/>
      <c r="T90" t="inlineStr"/>
      <c r="U90" t="inlineStr"/>
      <c r="V90">
        <f>IF(OR(L90="",S90=""),"",IF(VALUE(L90)=VALUE(S90),"Y","N"))</f>
        <v/>
      </c>
      <c r="W90">
        <f>IF(V90="Y",S90,"")</f>
        <v/>
      </c>
      <c r="X90" t="inlineStr">
        <is>
          <t>unverified: map has no limit (guessed from road type); main road: what is posted? 35 or lower opens it to LSVs</t>
        </is>
      </c>
      <c r="Y90" t="inlineStr"/>
      <c r="Z90" t="n">
        <v>2512</v>
      </c>
      <c r="AA90" t="inlineStr">
        <is>
          <t>sd</t>
        </is>
      </c>
      <c r="AB90" t="inlineStr">
        <is>
          <t>sd|33.12682,-117.24460</t>
        </is>
      </c>
    </row>
    <row r="91">
      <c r="A91" t="inlineStr">
        <is>
          <t>SD-B2-090</t>
        </is>
      </c>
      <c r="B91" t="inlineStr">
        <is>
          <t>San Diego area</t>
        </is>
      </c>
      <c r="C91" t="inlineStr">
        <is>
          <t>College Boulevard</t>
        </is>
      </c>
      <c r="D91" t="inlineStr">
        <is>
          <t>(see map link)</t>
        </is>
      </c>
      <c r="E91" t="inlineStr">
        <is>
          <t>Marvin Street</t>
        </is>
      </c>
      <c r="F91" t="inlineStr">
        <is>
          <t>606736865</t>
        </is>
      </c>
      <c r="G91" t="inlineStr"/>
      <c r="H91" t="inlineStr">
        <is>
          <t>inferred</t>
        </is>
      </c>
      <c r="I91" t="inlineStr">
        <is>
          <t>no</t>
        </is>
      </c>
      <c r="J91" t="inlineStr">
        <is>
          <t>https://www.google.com/maps/@?api=1&amp;map_action=pano&amp;viewpoint=33.187400,-117.295850&amp;heading=14</t>
        </is>
      </c>
      <c r="K91" t="inlineStr">
        <is>
          <t>https://www.google.com/maps/search/?api=1&amp;query=33.187400,-117.295850</t>
        </is>
      </c>
      <c r="L91" t="inlineStr"/>
      <c r="M91" t="inlineStr"/>
      <c r="N91" t="inlineStr"/>
      <c r="O91" t="inlineStr"/>
      <c r="P91" t="inlineStr">
        <is>
          <t>pending</t>
        </is>
      </c>
      <c r="Q91" t="inlineStr"/>
      <c r="R91" t="inlineStr"/>
      <c r="S91" t="inlineStr"/>
      <c r="T91" t="inlineStr"/>
      <c r="U91" t="inlineStr"/>
      <c r="V91">
        <f>IF(OR(L91="",S91=""),"",IF(VALUE(L91)=VALUE(S91),"Y","N"))</f>
        <v/>
      </c>
      <c r="W91">
        <f>IF(V91="Y",S91,"")</f>
        <v/>
      </c>
      <c r="X91" t="inlineStr">
        <is>
          <t>unverified: map has no limit (guessed from road type); main road: what is posted? 35 or lower opens it to LSVs</t>
        </is>
      </c>
      <c r="Y91" t="inlineStr"/>
      <c r="Z91" t="n">
        <v>1800</v>
      </c>
      <c r="AA91" t="inlineStr">
        <is>
          <t>sd</t>
        </is>
      </c>
      <c r="AB91" t="inlineStr">
        <is>
          <t>sd|33.18740,-117.29585</t>
        </is>
      </c>
    </row>
    <row r="92">
      <c r="A92" t="inlineStr">
        <is>
          <t>SD-B2-091</t>
        </is>
      </c>
      <c r="B92" t="inlineStr">
        <is>
          <t>San Diego area</t>
        </is>
      </c>
      <c r="C92" t="inlineStr">
        <is>
          <t>College Boulevard</t>
        </is>
      </c>
      <c r="D92" t="inlineStr">
        <is>
          <t>Old Grove Road</t>
        </is>
      </c>
      <c r="E92" t="inlineStr">
        <is>
          <t>Mesa Drive</t>
        </is>
      </c>
      <c r="F92" t="inlineStr">
        <is>
          <t>594445738</t>
        </is>
      </c>
      <c r="G92" t="inlineStr"/>
      <c r="H92" t="inlineStr">
        <is>
          <t>inferred</t>
        </is>
      </c>
      <c r="I92" t="inlineStr">
        <is>
          <t>no</t>
        </is>
      </c>
      <c r="J92" t="inlineStr">
        <is>
          <t>https://www.google.com/maps/@?api=1&amp;map_action=pano&amp;viewpoint=33.219930,-117.289245&amp;heading=152</t>
        </is>
      </c>
      <c r="K92" t="inlineStr">
        <is>
          <t>https://www.google.com/maps/search/?api=1&amp;query=33.219930,-117.289245</t>
        </is>
      </c>
      <c r="L92" t="inlineStr"/>
      <c r="M92" t="inlineStr"/>
      <c r="N92" t="inlineStr"/>
      <c r="O92" t="inlineStr"/>
      <c r="P92" t="inlineStr">
        <is>
          <t>pending</t>
        </is>
      </c>
      <c r="Q92" t="inlineStr"/>
      <c r="R92" t="inlineStr"/>
      <c r="S92" t="inlineStr"/>
      <c r="T92" t="inlineStr"/>
      <c r="U92" t="inlineStr"/>
      <c r="V92">
        <f>IF(OR(L92="",S92=""),"",IF(VALUE(L92)=VALUE(S92),"Y","N"))</f>
        <v/>
      </c>
      <c r="W92">
        <f>IF(V92="Y",S92,"")</f>
        <v/>
      </c>
      <c r="X92" t="inlineStr">
        <is>
          <t>unverified: map has no limit (guessed from road type); main road: what is posted? 35 or lower opens it to LSVs</t>
        </is>
      </c>
      <c r="Y92" t="inlineStr"/>
      <c r="Z92" t="n">
        <v>1842</v>
      </c>
      <c r="AA92" t="inlineStr">
        <is>
          <t>sd</t>
        </is>
      </c>
      <c r="AB92" t="inlineStr">
        <is>
          <t>sd|33.21993,-117.28924</t>
        </is>
      </c>
    </row>
    <row r="93">
      <c r="A93" t="inlineStr">
        <is>
          <t>SD-B2-092</t>
        </is>
      </c>
      <c r="B93" t="inlineStr">
        <is>
          <t>San Diego area</t>
        </is>
      </c>
      <c r="C93" t="inlineStr">
        <is>
          <t>North River Road</t>
        </is>
      </c>
      <c r="D93" t="inlineStr">
        <is>
          <t>Waterview Way</t>
        </is>
      </c>
      <c r="E93" t="inlineStr">
        <is>
          <t>Vandegrift Boulevard</t>
        </is>
      </c>
      <c r="F93" t="inlineStr">
        <is>
          <t>583782870</t>
        </is>
      </c>
      <c r="G93" t="inlineStr"/>
      <c r="H93" t="inlineStr">
        <is>
          <t>inferred</t>
        </is>
      </c>
      <c r="I93" t="inlineStr">
        <is>
          <t>no</t>
        </is>
      </c>
      <c r="J93" t="inlineStr">
        <is>
          <t>https://www.google.com/maps/@?api=1&amp;map_action=pano&amp;viewpoint=33.247490,-117.303470&amp;heading=62</t>
        </is>
      </c>
      <c r="K93" t="inlineStr">
        <is>
          <t>https://www.google.com/maps/search/?api=1&amp;query=33.247490,-117.303470</t>
        </is>
      </c>
      <c r="L93" t="inlineStr"/>
      <c r="M93" t="inlineStr"/>
      <c r="N93" t="inlineStr"/>
      <c r="O93" t="inlineStr"/>
      <c r="P93" t="inlineStr">
        <is>
          <t>pending</t>
        </is>
      </c>
      <c r="Q93" t="inlineStr"/>
      <c r="R93" t="inlineStr"/>
      <c r="S93" t="inlineStr"/>
      <c r="T93" t="inlineStr"/>
      <c r="U93" t="inlineStr"/>
      <c r="V93">
        <f>IF(OR(L93="",S93=""),"",IF(VALUE(L93)=VALUE(S93),"Y","N"))</f>
        <v/>
      </c>
      <c r="W93">
        <f>IF(V93="Y",S93,"")</f>
        <v/>
      </c>
      <c r="X93" t="inlineStr">
        <is>
          <t>unverified: map has no limit (guessed from road type); main road: what is posted? 35 or lower opens it to LSVs</t>
        </is>
      </c>
      <c r="Y93" t="inlineStr"/>
      <c r="Z93" t="n">
        <v>5612</v>
      </c>
      <c r="AA93" t="inlineStr">
        <is>
          <t>sd</t>
        </is>
      </c>
      <c r="AB93" t="inlineStr">
        <is>
          <t>sd|33.24749,-117.30347</t>
        </is>
      </c>
    </row>
    <row r="94">
      <c r="A94" t="inlineStr">
        <is>
          <t>SD-B2-093</t>
        </is>
      </c>
      <c r="B94" t="inlineStr">
        <is>
          <t>San Diego area</t>
        </is>
      </c>
      <c r="C94" t="inlineStr">
        <is>
          <t>South El Camino Real</t>
        </is>
      </c>
      <c r="D94" t="inlineStr">
        <is>
          <t>(see map link)</t>
        </is>
      </c>
      <c r="E94" t="inlineStr">
        <is>
          <t>Mission Avenue</t>
        </is>
      </c>
      <c r="F94" t="inlineStr">
        <is>
          <t>207110941</t>
        </is>
      </c>
      <c r="G94" t="inlineStr"/>
      <c r="H94" t="inlineStr">
        <is>
          <t>inferred</t>
        </is>
      </c>
      <c r="I94" t="inlineStr">
        <is>
          <t>no</t>
        </is>
      </c>
      <c r="J94" t="inlineStr">
        <is>
          <t>https://www.google.com/maps/@?api=1&amp;map_action=pano&amp;viewpoint=33.213170,-117.333160&amp;heading=197</t>
        </is>
      </c>
      <c r="K94" t="inlineStr">
        <is>
          <t>https://www.google.com/maps/search/?api=1&amp;query=33.213170,-117.333160</t>
        </is>
      </c>
      <c r="L94" t="inlineStr"/>
      <c r="M94" t="inlineStr"/>
      <c r="N94" t="inlineStr"/>
      <c r="O94" t="inlineStr"/>
      <c r="P94" t="inlineStr">
        <is>
          <t>pending</t>
        </is>
      </c>
      <c r="Q94" t="inlineStr"/>
      <c r="R94" t="inlineStr"/>
      <c r="S94" t="inlineStr"/>
      <c r="T94" t="inlineStr"/>
      <c r="U94" t="inlineStr"/>
      <c r="V94">
        <f>IF(OR(L94="",S94=""),"",IF(VALUE(L94)=VALUE(S94),"Y","N"))</f>
        <v/>
      </c>
      <c r="W94">
        <f>IF(V94="Y",S94,"")</f>
        <v/>
      </c>
      <c r="X94" t="inlineStr">
        <is>
          <t>unverified: map has no limit (guessed from road type); main road: what is posted? 35 or lower opens it to LSVs</t>
        </is>
      </c>
      <c r="Y94" t="inlineStr"/>
      <c r="Z94" t="n">
        <v>2723</v>
      </c>
      <c r="AA94" t="inlineStr">
        <is>
          <t>sd</t>
        </is>
      </c>
      <c r="AB94" t="inlineStr">
        <is>
          <t>sd|33.21317,-117.33316</t>
        </is>
      </c>
    </row>
    <row r="95">
      <c r="A95" t="inlineStr">
        <is>
          <t>SD-B2-094</t>
        </is>
      </c>
      <c r="B95" t="inlineStr">
        <is>
          <t>San Diego area</t>
        </is>
      </c>
      <c r="C95" t="inlineStr">
        <is>
          <t>Mission Avenue</t>
        </is>
      </c>
      <c r="D95" t="inlineStr">
        <is>
          <t>Butler Street</t>
        </is>
      </c>
      <c r="E95" t="inlineStr">
        <is>
          <t>Amick Street</t>
        </is>
      </c>
      <c r="F95" t="inlineStr">
        <is>
          <t>866526306</t>
        </is>
      </c>
      <c r="G95" t="inlineStr"/>
      <c r="H95" t="inlineStr">
        <is>
          <t>inferred</t>
        </is>
      </c>
      <c r="I95" t="inlineStr">
        <is>
          <t>no</t>
        </is>
      </c>
      <c r="J95" t="inlineStr">
        <is>
          <t>https://www.google.com/maps/@?api=1&amp;map_action=pano&amp;viewpoint=33.208690,-117.352600&amp;heading=70</t>
        </is>
      </c>
      <c r="K95" t="inlineStr">
        <is>
          <t>https://www.google.com/maps/search/?api=1&amp;query=33.208690,-117.352600</t>
        </is>
      </c>
      <c r="L95" t="inlineStr"/>
      <c r="M95" t="inlineStr"/>
      <c r="N95" t="inlineStr"/>
      <c r="O95" t="inlineStr"/>
      <c r="P95" t="inlineStr">
        <is>
          <t>pending</t>
        </is>
      </c>
      <c r="Q95" t="inlineStr"/>
      <c r="R95" t="inlineStr"/>
      <c r="S95" t="inlineStr"/>
      <c r="T95" t="inlineStr"/>
      <c r="U95" t="inlineStr"/>
      <c r="V95">
        <f>IF(OR(L95="",S95=""),"",IF(VALUE(L95)=VALUE(S95),"Y","N"))</f>
        <v/>
      </c>
      <c r="W95">
        <f>IF(V95="Y",S95,"")</f>
        <v/>
      </c>
      <c r="X95" t="inlineStr">
        <is>
          <t>unverified: map has no limit (guessed from road type); main road: what is posted? 35 or lower opens it to LSVs</t>
        </is>
      </c>
      <c r="Y95" t="inlineStr"/>
      <c r="Z95" t="n">
        <v>9432</v>
      </c>
      <c r="AA95" t="inlineStr">
        <is>
          <t>sd</t>
        </is>
      </c>
      <c r="AB95" t="inlineStr">
        <is>
          <t>sd|33.20869,-117.35260</t>
        </is>
      </c>
    </row>
    <row r="96">
      <c r="A96" t="inlineStr">
        <is>
          <t>SD-B2-095</t>
        </is>
      </c>
      <c r="B96" t="inlineStr">
        <is>
          <t>San Diego area</t>
        </is>
      </c>
      <c r="C96" t="inlineStr">
        <is>
          <t>College Boulevard</t>
        </is>
      </c>
      <c r="D96" t="inlineStr">
        <is>
          <t>(see map link)</t>
        </is>
      </c>
      <c r="E96" t="inlineStr">
        <is>
          <t>Olive Avenue</t>
        </is>
      </c>
      <c r="F96" t="inlineStr">
        <is>
          <t>436294616</t>
        </is>
      </c>
      <c r="G96" t="inlineStr"/>
      <c r="H96" t="inlineStr">
        <is>
          <t>inferred</t>
        </is>
      </c>
      <c r="I96" t="inlineStr">
        <is>
          <t>no</t>
        </is>
      </c>
      <c r="J96" t="inlineStr">
        <is>
          <t>https://www.google.com/maps/@?api=1&amp;map_action=pano&amp;viewpoint=33.200730,-117.286630&amp;heading=216</t>
        </is>
      </c>
      <c r="K96" t="inlineStr">
        <is>
          <t>https://www.google.com/maps/search/?api=1&amp;query=33.200730,-117.286630</t>
        </is>
      </c>
      <c r="L96" t="inlineStr"/>
      <c r="M96" t="inlineStr"/>
      <c r="N96" t="inlineStr"/>
      <c r="O96" t="inlineStr"/>
      <c r="P96" t="inlineStr">
        <is>
          <t>pending</t>
        </is>
      </c>
      <c r="Q96" t="inlineStr"/>
      <c r="R96" t="inlineStr"/>
      <c r="S96" t="inlineStr"/>
      <c r="T96" t="inlineStr"/>
      <c r="U96" t="inlineStr"/>
      <c r="V96">
        <f>IF(OR(L96="",S96=""),"",IF(VALUE(L96)=VALUE(S96),"Y","N"))</f>
        <v/>
      </c>
      <c r="W96">
        <f>IF(V96="Y",S96,"")</f>
        <v/>
      </c>
      <c r="X96" t="inlineStr">
        <is>
          <t>unverified: map has no limit (guessed from road type); main road: what is posted? 35 or lower opens it to LSVs</t>
        </is>
      </c>
      <c r="Y96" t="inlineStr"/>
      <c r="Z96" t="n">
        <v>1438</v>
      </c>
      <c r="AA96" t="inlineStr">
        <is>
          <t>sd</t>
        </is>
      </c>
      <c r="AB96" t="inlineStr">
        <is>
          <t>sd|33.20073,-117.28663</t>
        </is>
      </c>
    </row>
    <row r="97">
      <c r="A97" t="inlineStr">
        <is>
          <t>SD-B2-096</t>
        </is>
      </c>
      <c r="B97" t="inlineStr">
        <is>
          <t>San Diego area</t>
        </is>
      </c>
      <c r="C97" t="inlineStr">
        <is>
          <t>Friars Road</t>
        </is>
      </c>
      <c r="D97" t="inlineStr">
        <is>
          <t>Napa Street</t>
        </is>
      </c>
      <c r="E97" t="inlineStr">
        <is>
          <t>Sea World Drive</t>
        </is>
      </c>
      <c r="F97" t="inlineStr">
        <is>
          <t>234739559</t>
        </is>
      </c>
      <c r="G97" t="inlineStr"/>
      <c r="H97" t="inlineStr">
        <is>
          <t>inferred</t>
        </is>
      </c>
      <c r="I97" t="inlineStr">
        <is>
          <t>no</t>
        </is>
      </c>
      <c r="J97" t="inlineStr">
        <is>
          <t>https://www.google.com/maps/@?api=1&amp;map_action=pano&amp;viewpoint=32.762550,-117.201700&amp;heading=79</t>
        </is>
      </c>
      <c r="K97" t="inlineStr">
        <is>
          <t>https://www.google.com/maps/search/?api=1&amp;query=32.762550,-117.201700</t>
        </is>
      </c>
      <c r="L97" t="inlineStr"/>
      <c r="M97" t="inlineStr"/>
      <c r="N97" t="inlineStr"/>
      <c r="O97" t="inlineStr"/>
      <c r="P97" t="inlineStr">
        <is>
          <t>pending</t>
        </is>
      </c>
      <c r="Q97" t="inlineStr"/>
      <c r="R97" t="inlineStr"/>
      <c r="S97" t="inlineStr"/>
      <c r="T97" t="inlineStr"/>
      <c r="U97" t="inlineStr"/>
      <c r="V97">
        <f>IF(OR(L97="",S97=""),"",IF(VALUE(L97)=VALUE(S97),"Y","N"))</f>
        <v/>
      </c>
      <c r="W97">
        <f>IF(V97="Y",S97,"")</f>
        <v/>
      </c>
      <c r="X97" t="inlineStr">
        <is>
          <t>unverified: map has no limit (guessed from road type); main road: what is posted? 35 or lower opens it to LSVs</t>
        </is>
      </c>
      <c r="Y97" t="inlineStr"/>
      <c r="Z97" t="n">
        <v>1426</v>
      </c>
      <c r="AA97" t="inlineStr">
        <is>
          <t>sd</t>
        </is>
      </c>
      <c r="AB97" t="inlineStr">
        <is>
          <t>sd|32.76255,-117.20170</t>
        </is>
      </c>
    </row>
    <row r="98">
      <c r="A98" t="inlineStr">
        <is>
          <t>SD-B2-097</t>
        </is>
      </c>
      <c r="B98" t="inlineStr">
        <is>
          <t>San Diego area</t>
        </is>
      </c>
      <c r="C98" t="inlineStr">
        <is>
          <t>Oceanside Boulevard</t>
        </is>
      </c>
      <c r="D98" t="inlineStr">
        <is>
          <t>Arroyo Avenue</t>
        </is>
      </c>
      <c r="E98" t="inlineStr">
        <is>
          <t>Peacock Boulevard</t>
        </is>
      </c>
      <c r="F98" t="inlineStr">
        <is>
          <t>594421515</t>
        </is>
      </c>
      <c r="G98" t="inlineStr"/>
      <c r="H98" t="inlineStr">
        <is>
          <t>inferred</t>
        </is>
      </c>
      <c r="I98" t="inlineStr">
        <is>
          <t>no</t>
        </is>
      </c>
      <c r="J98" t="inlineStr">
        <is>
          <t>https://www.google.com/maps/@?api=1&amp;map_action=pano&amp;viewpoint=33.211925,-117.276470&amp;heading=225</t>
        </is>
      </c>
      <c r="K98" t="inlineStr">
        <is>
          <t>https://www.google.com/maps/search/?api=1&amp;query=33.211925,-117.276470</t>
        </is>
      </c>
      <c r="L98" t="inlineStr"/>
      <c r="M98" t="inlineStr"/>
      <c r="N98" t="inlineStr"/>
      <c r="O98" t="inlineStr"/>
      <c r="P98" t="inlineStr">
        <is>
          <t>pending</t>
        </is>
      </c>
      <c r="Q98" t="inlineStr"/>
      <c r="R98" t="inlineStr"/>
      <c r="S98" t="inlineStr"/>
      <c r="T98" t="inlineStr"/>
      <c r="U98" t="inlineStr"/>
      <c r="V98">
        <f>IF(OR(L98="",S98=""),"",IF(VALUE(L98)=VALUE(S98),"Y","N"))</f>
        <v/>
      </c>
      <c r="W98">
        <f>IF(V98="Y",S98,"")</f>
        <v/>
      </c>
      <c r="X98" t="inlineStr">
        <is>
          <t>unverified: map has no limit (guessed from road type); main road: what is posted? 35 or lower opens it to LSVs</t>
        </is>
      </c>
      <c r="Y98" t="inlineStr"/>
      <c r="Z98" t="n">
        <v>1389</v>
      </c>
      <c r="AA98" t="inlineStr">
        <is>
          <t>sd</t>
        </is>
      </c>
      <c r="AB98" t="inlineStr">
        <is>
          <t>sd|33.21193,-117.27647</t>
        </is>
      </c>
    </row>
    <row r="99">
      <c r="A99" t="inlineStr">
        <is>
          <t>SD-B2-098</t>
        </is>
      </c>
      <c r="B99" t="inlineStr">
        <is>
          <t>San Diego area</t>
        </is>
      </c>
      <c r="C99" t="inlineStr">
        <is>
          <t>East Broadway</t>
        </is>
      </c>
      <c r="D99" t="inlineStr">
        <is>
          <t>4th Avenue</t>
        </is>
      </c>
      <c r="E99" t="inlineStr">
        <is>
          <t>1st Avenue</t>
        </is>
      </c>
      <c r="F99" t="inlineStr"/>
      <c r="G99" t="inlineStr"/>
      <c r="H99" t="inlineStr">
        <is>
          <t>inferred</t>
        </is>
      </c>
      <c r="I99" t="inlineStr">
        <is>
          <t>no</t>
        </is>
      </c>
      <c r="J99" t="inlineStr">
        <is>
          <t>https://www.google.com/maps/@?api=1&amp;map_action=pano&amp;viewpoint=32.715710,-117.158810&amp;heading=90</t>
        </is>
      </c>
      <c r="K99" t="inlineStr">
        <is>
          <t>https://www.google.com/maps/search/?api=1&amp;query=32.715710,-117.158810</t>
        </is>
      </c>
      <c r="L99" t="inlineStr"/>
      <c r="M99" t="inlineStr"/>
      <c r="N99" t="inlineStr"/>
      <c r="O99" t="inlineStr"/>
      <c r="P99" t="inlineStr">
        <is>
          <t>pending</t>
        </is>
      </c>
      <c r="Q99" t="inlineStr"/>
      <c r="R99" t="inlineStr"/>
      <c r="S99" t="inlineStr"/>
      <c r="T99" t="inlineStr"/>
      <c r="U99" t="inlineStr"/>
      <c r="V99">
        <f>IF(OR(L99="",S99=""),"",IF(VALUE(L99)=VALUE(S99),"Y","N"))</f>
        <v/>
      </c>
      <c r="W99">
        <f>IF(V99="Y",S99,"")</f>
        <v/>
      </c>
      <c r="X99" t="inlineStr">
        <is>
          <t>unverified: map has no limit (guessed from road type); main road: what is posted? 35 or lower opens it to LSVs</t>
        </is>
      </c>
      <c r="Y99" t="inlineStr"/>
      <c r="Z99" t="n">
        <v>1383</v>
      </c>
      <c r="AA99" t="inlineStr">
        <is>
          <t>sd</t>
        </is>
      </c>
      <c r="AB99" t="inlineStr">
        <is>
          <t>sd|32.71571,-117.15881</t>
        </is>
      </c>
    </row>
    <row r="100">
      <c r="A100" t="inlineStr">
        <is>
          <t>SD-B2-099</t>
        </is>
      </c>
      <c r="B100" t="inlineStr">
        <is>
          <t>San Diego area</t>
        </is>
      </c>
      <c r="C100" t="inlineStr">
        <is>
          <t>Oceanside Boulevard</t>
        </is>
      </c>
      <c r="D100" t="inlineStr">
        <is>
          <t>Gateway Center Drive</t>
        </is>
      </c>
      <c r="E100" t="inlineStr">
        <is>
          <t>College Boulevard</t>
        </is>
      </c>
      <c r="F100" t="inlineStr">
        <is>
          <t>436458664</t>
        </is>
      </c>
      <c r="G100" t="inlineStr"/>
      <c r="H100" t="inlineStr">
        <is>
          <t>inferred</t>
        </is>
      </c>
      <c r="I100" t="inlineStr">
        <is>
          <t>no</t>
        </is>
      </c>
      <c r="J100" t="inlineStr">
        <is>
          <t>https://www.google.com/maps/@?api=1&amp;map_action=pano&amp;viewpoint=33.211755,-117.276465&amp;heading=46</t>
        </is>
      </c>
      <c r="K100" t="inlineStr">
        <is>
          <t>https://www.google.com/maps/search/?api=1&amp;query=33.211755,-117.276465</t>
        </is>
      </c>
      <c r="L100" t="inlineStr"/>
      <c r="M100" t="inlineStr"/>
      <c r="N100" t="inlineStr"/>
      <c r="O100" t="inlineStr"/>
      <c r="P100" t="inlineStr">
        <is>
          <t>pending</t>
        </is>
      </c>
      <c r="Q100" t="inlineStr"/>
      <c r="R100" t="inlineStr"/>
      <c r="S100" t="inlineStr"/>
      <c r="T100" t="inlineStr"/>
      <c r="U100" t="inlineStr"/>
      <c r="V100">
        <f>IF(OR(L100="",S100=""),"",IF(VALUE(L100)=VALUE(S100),"Y","N"))</f>
        <v/>
      </c>
      <c r="W100">
        <f>IF(V100="Y",S100,"")</f>
        <v/>
      </c>
      <c r="X100" t="inlineStr">
        <is>
          <t>unverified: map has no limit (guessed from road type); main road: what is posted? 35 or lower opens it to LSVs</t>
        </is>
      </c>
      <c r="Y100" t="inlineStr"/>
      <c r="Z100" t="n">
        <v>1364</v>
      </c>
      <c r="AA100" t="inlineStr">
        <is>
          <t>sd</t>
        </is>
      </c>
      <c r="AB100" t="inlineStr">
        <is>
          <t>sd|33.21175,-117.27647</t>
        </is>
      </c>
    </row>
    <row r="101">
      <c r="A101" t="inlineStr">
        <is>
          <t>SD-B2-100</t>
        </is>
      </c>
      <c r="B101" t="inlineStr">
        <is>
          <t>San Diego area</t>
        </is>
      </c>
      <c r="C101" t="inlineStr">
        <is>
          <t>El Camino Real</t>
        </is>
      </c>
      <c r="D101" t="inlineStr">
        <is>
          <t>Jackspar Drive</t>
        </is>
      </c>
      <c r="E101" t="inlineStr">
        <is>
          <t>Jackspar Drive</t>
        </is>
      </c>
      <c r="F101" t="inlineStr">
        <is>
          <t>367580446</t>
        </is>
      </c>
      <c r="G101" t="inlineStr"/>
      <c r="H101" t="inlineStr">
        <is>
          <t>inferred</t>
        </is>
      </c>
      <c r="I101" t="inlineStr">
        <is>
          <t>no</t>
        </is>
      </c>
      <c r="J101" t="inlineStr">
        <is>
          <t>https://www.google.com/maps/@?api=1&amp;map_action=pano&amp;viewpoint=33.148045,-117.293690&amp;heading=113</t>
        </is>
      </c>
      <c r="K101" t="inlineStr">
        <is>
          <t>https://www.google.com/maps/search/?api=1&amp;query=33.148045,-117.293690</t>
        </is>
      </c>
      <c r="L101" t="inlineStr"/>
      <c r="M101" t="inlineStr"/>
      <c r="N101" t="inlineStr"/>
      <c r="O101" t="inlineStr"/>
      <c r="P101" t="inlineStr">
        <is>
          <t>pending</t>
        </is>
      </c>
      <c r="Q101" t="inlineStr"/>
      <c r="R101" t="inlineStr"/>
      <c r="S101" t="inlineStr"/>
      <c r="T101" t="inlineStr"/>
      <c r="U101" t="inlineStr"/>
      <c r="V101">
        <f>IF(OR(L101="",S101=""),"",IF(VALUE(L101)=VALUE(S101),"Y","N"))</f>
        <v/>
      </c>
      <c r="W101">
        <f>IF(V101="Y",S101,"")</f>
        <v/>
      </c>
      <c r="X101" t="inlineStr">
        <is>
          <t>unverified: map has no limit (guessed from road type); main road: what is posted? 35 or lower opens it to LSVs</t>
        </is>
      </c>
      <c r="Y101" t="inlineStr"/>
      <c r="Z101" t="n">
        <v>1321</v>
      </c>
      <c r="AA101" t="inlineStr">
        <is>
          <t>sd</t>
        </is>
      </c>
      <c r="AB101" t="inlineStr">
        <is>
          <t>sd|33.14804,-117.29369</t>
        </is>
      </c>
    </row>
    <row r="102">
      <c r="A102" t="inlineStr">
        <is>
          <t>SD-B2-101</t>
        </is>
      </c>
      <c r="B102" t="inlineStr">
        <is>
          <t>San Diego area</t>
        </is>
      </c>
      <c r="C102" t="inlineStr">
        <is>
          <t>Cannon Road</t>
        </is>
      </c>
      <c r="D102" t="inlineStr">
        <is>
          <t>(see map link)</t>
        </is>
      </c>
      <c r="E102" t="inlineStr">
        <is>
          <t>College Boulevard</t>
        </is>
      </c>
      <c r="F102" t="inlineStr">
        <is>
          <t>436274671</t>
        </is>
      </c>
      <c r="G102" t="inlineStr"/>
      <c r="H102" t="inlineStr">
        <is>
          <t>inferred</t>
        </is>
      </c>
      <c r="I102" t="inlineStr">
        <is>
          <t>no</t>
        </is>
      </c>
      <c r="J102" t="inlineStr">
        <is>
          <t>https://www.google.com/maps/@?api=1&amp;map_action=pano&amp;viewpoint=33.154020,-117.288670&amp;heading=233</t>
        </is>
      </c>
      <c r="K102" t="inlineStr">
        <is>
          <t>https://www.google.com/maps/search/?api=1&amp;query=33.154020,-117.288670</t>
        </is>
      </c>
      <c r="L102" t="inlineStr"/>
      <c r="M102" t="inlineStr"/>
      <c r="N102" t="inlineStr"/>
      <c r="O102" t="inlineStr"/>
      <c r="P102" t="inlineStr">
        <is>
          <t>pending</t>
        </is>
      </c>
      <c r="Q102" t="inlineStr"/>
      <c r="R102" t="inlineStr"/>
      <c r="S102" t="inlineStr"/>
      <c r="T102" t="inlineStr"/>
      <c r="U102" t="inlineStr"/>
      <c r="V102">
        <f>IF(OR(L102="",S102=""),"",IF(VALUE(L102)=VALUE(S102),"Y","N"))</f>
        <v/>
      </c>
      <c r="W102">
        <f>IF(V102="Y",S102,"")</f>
        <v/>
      </c>
      <c r="X102" t="inlineStr">
        <is>
          <t>unverified: map has no limit (guessed from road type); main road: what is posted? 35 or lower opens it to LSVs</t>
        </is>
      </c>
      <c r="Y102" t="inlineStr"/>
      <c r="Z102" t="n">
        <v>1308</v>
      </c>
      <c r="AA102" t="inlineStr">
        <is>
          <t>sd</t>
        </is>
      </c>
      <c r="AB102" t="inlineStr">
        <is>
          <t>sd|33.15402,-117.28867</t>
        </is>
      </c>
    </row>
    <row r="103">
      <c r="A103" t="inlineStr">
        <is>
          <t>SD-B2-102</t>
        </is>
      </c>
      <c r="B103" t="inlineStr">
        <is>
          <t>San Diego area</t>
        </is>
      </c>
      <c r="C103" t="inlineStr">
        <is>
          <t>Market Street</t>
        </is>
      </c>
      <c r="D103" t="inlineStr">
        <is>
          <t>(see map link)</t>
        </is>
      </c>
      <c r="E103" t="inlineStr">
        <is>
          <t>3rd Avenue</t>
        </is>
      </c>
      <c r="F103" t="inlineStr">
        <is>
          <t>436305542</t>
        </is>
      </c>
      <c r="G103" t="inlineStr"/>
      <c r="H103" t="inlineStr">
        <is>
          <t>inferred</t>
        </is>
      </c>
      <c r="I103" t="inlineStr">
        <is>
          <t>no</t>
        </is>
      </c>
      <c r="J103" t="inlineStr">
        <is>
          <t>https://www.google.com/maps/@?api=1&amp;map_action=pano&amp;viewpoint=32.711535,-117.151165&amp;heading=89</t>
        </is>
      </c>
      <c r="K103" t="inlineStr">
        <is>
          <t>https://www.google.com/maps/search/?api=1&amp;query=32.711535,-117.151165</t>
        </is>
      </c>
      <c r="L103" t="inlineStr"/>
      <c r="M103" t="inlineStr"/>
      <c r="N103" t="inlineStr"/>
      <c r="O103" t="inlineStr"/>
      <c r="P103" t="inlineStr">
        <is>
          <t>pending</t>
        </is>
      </c>
      <c r="Q103" t="inlineStr"/>
      <c r="R103" t="inlineStr"/>
      <c r="S103" t="inlineStr"/>
      <c r="T103" t="inlineStr"/>
      <c r="U103" t="inlineStr"/>
      <c r="V103">
        <f>IF(OR(L103="",S103=""),"",IF(VALUE(L103)=VALUE(S103),"Y","N"))</f>
        <v/>
      </c>
      <c r="W103">
        <f>IF(V103="Y",S103,"")</f>
        <v/>
      </c>
      <c r="X103" t="inlineStr">
        <is>
          <t>unverified: map has no limit (guessed from road type); main road: what is posted? 35 or lower opens it to LSVs</t>
        </is>
      </c>
      <c r="Y103" t="inlineStr"/>
      <c r="Z103" t="n">
        <v>1283</v>
      </c>
      <c r="AA103" t="inlineStr">
        <is>
          <t>sd</t>
        </is>
      </c>
      <c r="AB103" t="inlineStr">
        <is>
          <t>sd|32.71153,-117.15116</t>
        </is>
      </c>
    </row>
    <row r="104">
      <c r="A104" t="inlineStr">
        <is>
          <t>SD-B2-103</t>
        </is>
      </c>
      <c r="B104" t="inlineStr">
        <is>
          <t>San Diego area</t>
        </is>
      </c>
      <c r="C104" t="inlineStr">
        <is>
          <t>National City Boulevard</t>
        </is>
      </c>
      <c r="D104" t="inlineStr">
        <is>
          <t>Main Street</t>
        </is>
      </c>
      <c r="E104" t="inlineStr">
        <is>
          <t>East 8th Street</t>
        </is>
      </c>
      <c r="F104" t="inlineStr">
        <is>
          <t>436313361</t>
        </is>
      </c>
      <c r="G104" t="inlineStr"/>
      <c r="H104" t="inlineStr">
        <is>
          <t>inferred</t>
        </is>
      </c>
      <c r="I104" t="inlineStr">
        <is>
          <t>no</t>
        </is>
      </c>
      <c r="J104" t="inlineStr">
        <is>
          <t>https://www.google.com/maps/@?api=1&amp;map_action=pano&amp;viewpoint=32.677655,-117.107680&amp;heading=162</t>
        </is>
      </c>
      <c r="K104" t="inlineStr">
        <is>
          <t>https://www.google.com/maps/search/?api=1&amp;query=32.677655,-117.107680</t>
        </is>
      </c>
      <c r="L104" t="inlineStr"/>
      <c r="M104" t="inlineStr"/>
      <c r="N104" t="inlineStr"/>
      <c r="O104" t="inlineStr"/>
      <c r="P104" t="inlineStr">
        <is>
          <t>pending</t>
        </is>
      </c>
      <c r="Q104" t="inlineStr"/>
      <c r="R104" t="inlineStr"/>
      <c r="S104" t="inlineStr"/>
      <c r="T104" t="inlineStr"/>
      <c r="U104" t="inlineStr"/>
      <c r="V104">
        <f>IF(OR(L104="",S104=""),"",IF(VALUE(L104)=VALUE(S104),"Y","N"))</f>
        <v/>
      </c>
      <c r="W104">
        <f>IF(V104="Y",S104,"")</f>
        <v/>
      </c>
      <c r="X104" t="inlineStr">
        <is>
          <t>unverified: map has no limit (guessed from road type); main road: what is posted? 35 or lower opens it to LSVs</t>
        </is>
      </c>
      <c r="Y104" t="inlineStr"/>
      <c r="Z104" t="n">
        <v>1514</v>
      </c>
      <c r="AA104" t="inlineStr">
        <is>
          <t>sd</t>
        </is>
      </c>
      <c r="AB104" t="inlineStr">
        <is>
          <t>sd|32.67766,-117.10768</t>
        </is>
      </c>
    </row>
    <row r="105">
      <c r="A105" t="inlineStr">
        <is>
          <t>SD-B2-104</t>
        </is>
      </c>
      <c r="B105" t="inlineStr">
        <is>
          <t>San Diego area</t>
        </is>
      </c>
      <c r="C105" t="inlineStr">
        <is>
          <t>South 32nd Street</t>
        </is>
      </c>
      <c r="D105" t="inlineStr">
        <is>
          <t>Martin Avenue</t>
        </is>
      </c>
      <c r="E105" t="inlineStr">
        <is>
          <t>32nd Street</t>
        </is>
      </c>
      <c r="F105" t="inlineStr">
        <is>
          <t>1231775685</t>
        </is>
      </c>
      <c r="G105" t="inlineStr"/>
      <c r="H105" t="inlineStr">
        <is>
          <t>inferred</t>
        </is>
      </c>
      <c r="I105" t="inlineStr">
        <is>
          <t>no</t>
        </is>
      </c>
      <c r="J105" t="inlineStr">
        <is>
          <t>https://www.google.com/maps/@?api=1&amp;map_action=pano&amp;viewpoint=32.691420,-117.125400&amp;heading=182</t>
        </is>
      </c>
      <c r="K105" t="inlineStr">
        <is>
          <t>https://www.google.com/maps/search/?api=1&amp;query=32.691420,-117.125400</t>
        </is>
      </c>
      <c r="L105" t="inlineStr"/>
      <c r="M105" t="inlineStr"/>
      <c r="N105" t="inlineStr"/>
      <c r="O105" t="inlineStr"/>
      <c r="P105" t="inlineStr">
        <is>
          <t>pending</t>
        </is>
      </c>
      <c r="Q105" t="inlineStr"/>
      <c r="R105" t="inlineStr"/>
      <c r="S105" t="inlineStr"/>
      <c r="T105" t="inlineStr"/>
      <c r="U105" t="inlineStr"/>
      <c r="V105">
        <f>IF(OR(L105="",S105=""),"",IF(VALUE(L105)=VALUE(S105),"Y","N"))</f>
        <v/>
      </c>
      <c r="W105">
        <f>IF(V105="Y",S105,"")</f>
        <v/>
      </c>
      <c r="X105" t="inlineStr">
        <is>
          <t>unverified: map has no limit (guessed from road type); main road: what is posted? 35 or lower opens it to LSVs</t>
        </is>
      </c>
      <c r="Y105" t="inlineStr"/>
      <c r="Z105" t="n">
        <v>1740</v>
      </c>
      <c r="AA105" t="inlineStr">
        <is>
          <t>sd</t>
        </is>
      </c>
      <c r="AB105" t="inlineStr">
        <is>
          <t>sd|32.69142,-117.12540</t>
        </is>
      </c>
    </row>
    <row r="106">
      <c r="A106" t="inlineStr">
        <is>
          <t>SD-B2-105</t>
        </is>
      </c>
      <c r="B106" t="inlineStr">
        <is>
          <t>San Diego area</t>
        </is>
      </c>
      <c r="C106" t="inlineStr">
        <is>
          <t>Reynard Way</t>
        </is>
      </c>
      <c r="D106" t="inlineStr">
        <is>
          <t>(see map link)</t>
        </is>
      </c>
      <c r="E106" t="inlineStr">
        <is>
          <t>Arroyo Drive</t>
        </is>
      </c>
      <c r="F106" t="inlineStr">
        <is>
          <t>1442836952</t>
        </is>
      </c>
      <c r="G106" t="inlineStr"/>
      <c r="H106" t="inlineStr">
        <is>
          <t>inferred</t>
        </is>
      </c>
      <c r="I106" t="inlineStr">
        <is>
          <t>no</t>
        </is>
      </c>
      <c r="J106" t="inlineStr">
        <is>
          <t>https://www.google.com/maps/@?api=1&amp;map_action=pano&amp;viewpoint=32.735430,-117.169440&amp;heading=359</t>
        </is>
      </c>
      <c r="K106" t="inlineStr">
        <is>
          <t>https://www.google.com/maps/search/?api=1&amp;query=32.735430,-117.169440</t>
        </is>
      </c>
      <c r="L106" t="inlineStr"/>
      <c r="M106" t="inlineStr"/>
      <c r="N106" t="inlineStr"/>
      <c r="O106" t="inlineStr"/>
      <c r="P106" t="inlineStr">
        <is>
          <t>pending</t>
        </is>
      </c>
      <c r="Q106" t="inlineStr"/>
      <c r="R106" t="inlineStr"/>
      <c r="S106" t="inlineStr"/>
      <c r="T106" t="inlineStr"/>
      <c r="U106" t="inlineStr"/>
      <c r="V106">
        <f>IF(OR(L106="",S106=""),"",IF(VALUE(L106)=VALUE(S106),"Y","N"))</f>
        <v/>
      </c>
      <c r="W106">
        <f>IF(V106="Y",S106,"")</f>
        <v/>
      </c>
      <c r="X106" t="inlineStr">
        <is>
          <t>unverified: map has no limit (guessed from road type); main road: what is posted? 35 or lower opens it to LSVs</t>
        </is>
      </c>
      <c r="Y106" t="inlineStr"/>
      <c r="Z106" t="n">
        <v>1527</v>
      </c>
      <c r="AA106" t="inlineStr">
        <is>
          <t>sd</t>
        </is>
      </c>
      <c r="AB106" t="inlineStr">
        <is>
          <t>sd|32.73543,-117.16944</t>
        </is>
      </c>
    </row>
    <row r="107">
      <c r="A107" t="inlineStr">
        <is>
          <t>SD-B2-106</t>
        </is>
      </c>
      <c r="B107" t="inlineStr">
        <is>
          <t>San Diego area</t>
        </is>
      </c>
      <c r="C107" t="inlineStr">
        <is>
          <t>Pershing Drive</t>
        </is>
      </c>
      <c r="D107" t="inlineStr">
        <is>
          <t>East B Street</t>
        </is>
      </c>
      <c r="E107" t="inlineStr">
        <is>
          <t>26th Street</t>
        </is>
      </c>
      <c r="F107" t="inlineStr">
        <is>
          <t>32608850</t>
        </is>
      </c>
      <c r="G107" t="inlineStr"/>
      <c r="H107" t="inlineStr">
        <is>
          <t>inferred</t>
        </is>
      </c>
      <c r="I107" t="inlineStr">
        <is>
          <t>no</t>
        </is>
      </c>
      <c r="J107" t="inlineStr">
        <is>
          <t>https://www.google.com/maps/@?api=1&amp;map_action=pano&amp;viewpoint=32.719130,-117.146510&amp;heading=22</t>
        </is>
      </c>
      <c r="K107" t="inlineStr">
        <is>
          <t>https://www.google.com/maps/search/?api=1&amp;query=32.719130,-117.146510</t>
        </is>
      </c>
      <c r="L107" t="inlineStr"/>
      <c r="M107" t="inlineStr"/>
      <c r="N107" t="inlineStr"/>
      <c r="O107" t="inlineStr"/>
      <c r="P107" t="inlineStr">
        <is>
          <t>pending</t>
        </is>
      </c>
      <c r="Q107" t="inlineStr"/>
      <c r="R107" t="inlineStr"/>
      <c r="S107" t="inlineStr"/>
      <c r="T107" t="inlineStr"/>
      <c r="U107" t="inlineStr"/>
      <c r="V107">
        <f>IF(OR(L107="",S107=""),"",IF(VALUE(L107)=VALUE(S107),"Y","N"))</f>
        <v/>
      </c>
      <c r="W107">
        <f>IF(V107="Y",S107,"")</f>
        <v/>
      </c>
      <c r="X107" t="inlineStr">
        <is>
          <t>unverified: map has no limit (guessed from road type); main road: what is posted? 35 or lower opens it to LSVs</t>
        </is>
      </c>
      <c r="Y107" t="inlineStr"/>
      <c r="Z107" t="n">
        <v>1697</v>
      </c>
      <c r="AA107" t="inlineStr">
        <is>
          <t>sd</t>
        </is>
      </c>
      <c r="AB107" t="inlineStr">
        <is>
          <t>sd|32.71913,-117.14651</t>
        </is>
      </c>
    </row>
    <row r="108">
      <c r="A108" t="inlineStr">
        <is>
          <t>SD-B2-107</t>
        </is>
      </c>
      <c r="B108" t="inlineStr">
        <is>
          <t>San Diego area</t>
        </is>
      </c>
      <c r="C108" t="inlineStr">
        <is>
          <t>Commercial Street</t>
        </is>
      </c>
      <c r="D108" t="inlineStr">
        <is>
          <t>South 16th Street</t>
        </is>
      </c>
      <c r="E108" t="inlineStr">
        <is>
          <t>National Avenue</t>
        </is>
      </c>
      <c r="F108" t="inlineStr"/>
      <c r="G108" t="inlineStr"/>
      <c r="H108" t="inlineStr">
        <is>
          <t>inferred</t>
        </is>
      </c>
      <c r="I108" t="inlineStr">
        <is>
          <t>no</t>
        </is>
      </c>
      <c r="J108" t="inlineStr">
        <is>
          <t>https://www.google.com/maps/@?api=1&amp;map_action=pano&amp;viewpoint=32.705305,-117.130810&amp;heading=90</t>
        </is>
      </c>
      <c r="K108" t="inlineStr">
        <is>
          <t>https://www.google.com/maps/search/?api=1&amp;query=32.705305,-117.130810</t>
        </is>
      </c>
      <c r="L108" t="inlineStr"/>
      <c r="M108" t="inlineStr"/>
      <c r="N108" t="inlineStr"/>
      <c r="O108" t="inlineStr"/>
      <c r="P108" t="inlineStr">
        <is>
          <t>pending</t>
        </is>
      </c>
      <c r="Q108" t="inlineStr"/>
      <c r="R108" t="inlineStr"/>
      <c r="S108" t="inlineStr"/>
      <c r="T108" t="inlineStr"/>
      <c r="U108" t="inlineStr"/>
      <c r="V108">
        <f>IF(OR(L108="",S108=""),"",IF(VALUE(L108)=VALUE(S108),"Y","N"))</f>
        <v/>
      </c>
      <c r="W108">
        <f>IF(V108="Y",S108,"")</f>
        <v/>
      </c>
      <c r="X108" t="inlineStr">
        <is>
          <t>unverified: map has no limit (guessed from road type); main road: what is posted? 35 or lower opens it to LSVs</t>
        </is>
      </c>
      <c r="Y108" t="inlineStr"/>
      <c r="Z108" t="n">
        <v>2466</v>
      </c>
      <c r="AA108" t="inlineStr">
        <is>
          <t>sd</t>
        </is>
      </c>
      <c r="AB108" t="inlineStr">
        <is>
          <t>sd|32.70530,-117.13081</t>
        </is>
      </c>
    </row>
    <row r="109">
      <c r="A109" t="inlineStr">
        <is>
          <t>SD-B2-108</t>
        </is>
      </c>
      <c r="B109" t="inlineStr">
        <is>
          <t>San Diego area</t>
        </is>
      </c>
      <c r="C109" t="inlineStr">
        <is>
          <t>East Island Avenue</t>
        </is>
      </c>
      <c r="D109" t="inlineStr">
        <is>
          <t>North 19th Street</t>
        </is>
      </c>
      <c r="E109" t="inlineStr">
        <is>
          <t>5th Avenue</t>
        </is>
      </c>
      <c r="F109" t="inlineStr">
        <is>
          <t>1091336333</t>
        </is>
      </c>
      <c r="G109" t="inlineStr"/>
      <c r="H109" t="inlineStr">
        <is>
          <t>inferred</t>
        </is>
      </c>
      <c r="I109" t="inlineStr">
        <is>
          <t>no</t>
        </is>
      </c>
      <c r="J109" t="inlineStr">
        <is>
          <t>https://www.google.com/maps/@?api=1&amp;map_action=pano&amp;viewpoint=32.710455,-117.145355&amp;heading=89</t>
        </is>
      </c>
      <c r="K109" t="inlineStr">
        <is>
          <t>https://www.google.com/maps/search/?api=1&amp;query=32.710455,-117.145355</t>
        </is>
      </c>
      <c r="L109" t="inlineStr"/>
      <c r="M109" t="inlineStr"/>
      <c r="N109" t="inlineStr"/>
      <c r="O109" t="inlineStr"/>
      <c r="P109" t="inlineStr">
        <is>
          <t>pending</t>
        </is>
      </c>
      <c r="Q109" t="inlineStr"/>
      <c r="R109" t="inlineStr"/>
      <c r="S109" t="inlineStr"/>
      <c r="T109" t="inlineStr"/>
      <c r="U109" t="inlineStr"/>
      <c r="V109">
        <f>IF(OR(L109="",S109=""),"",IF(VALUE(L109)=VALUE(S109),"Y","N"))</f>
        <v/>
      </c>
      <c r="W109">
        <f>IF(V109="Y",S109,"")</f>
        <v/>
      </c>
      <c r="X109" t="inlineStr">
        <is>
          <t>unverified: map has no limit (guessed from road type); main road: what is posted? 35 or lower opens it to LSVs</t>
        </is>
      </c>
      <c r="Y109" t="inlineStr"/>
      <c r="Z109" t="n">
        <v>1596</v>
      </c>
      <c r="AA109" t="inlineStr">
        <is>
          <t>sd</t>
        </is>
      </c>
      <c r="AB109" t="inlineStr">
        <is>
          <t>sd|32.71045,-117.14535</t>
        </is>
      </c>
    </row>
    <row r="110">
      <c r="A110" t="inlineStr">
        <is>
          <t>SD-B2-109</t>
        </is>
      </c>
      <c r="B110" t="inlineStr">
        <is>
          <t>San Diego area</t>
        </is>
      </c>
      <c r="C110" t="inlineStr">
        <is>
          <t>Hotel Circle North</t>
        </is>
      </c>
      <c r="D110" t="inlineStr">
        <is>
          <t>(see map link)</t>
        </is>
      </c>
      <c r="E110" t="inlineStr">
        <is>
          <t>Hotel Circle Place North</t>
        </is>
      </c>
      <c r="F110" t="inlineStr">
        <is>
          <t>233076742</t>
        </is>
      </c>
      <c r="G110" t="inlineStr"/>
      <c r="H110" t="inlineStr">
        <is>
          <t>inferred</t>
        </is>
      </c>
      <c r="I110" t="inlineStr">
        <is>
          <t>no</t>
        </is>
      </c>
      <c r="J110" t="inlineStr">
        <is>
          <t>https://www.google.com/maps/@?api=1&amp;map_action=pano&amp;viewpoint=32.759595,-117.178670&amp;heading=272</t>
        </is>
      </c>
      <c r="K110" t="inlineStr">
        <is>
          <t>https://www.google.com/maps/search/?api=1&amp;query=32.759595,-117.178670</t>
        </is>
      </c>
      <c r="L110" t="inlineStr"/>
      <c r="M110" t="inlineStr"/>
      <c r="N110" t="inlineStr"/>
      <c r="O110" t="inlineStr"/>
      <c r="P110" t="inlineStr">
        <is>
          <t>pending</t>
        </is>
      </c>
      <c r="Q110" t="inlineStr"/>
      <c r="R110" t="inlineStr"/>
      <c r="S110" t="inlineStr"/>
      <c r="T110" t="inlineStr"/>
      <c r="U110" t="inlineStr"/>
      <c r="V110">
        <f>IF(OR(L110="",S110=""),"",IF(VALUE(L110)=VALUE(S110),"Y","N"))</f>
        <v/>
      </c>
      <c r="W110">
        <f>IF(V110="Y",S110,"")</f>
        <v/>
      </c>
      <c r="X110" t="inlineStr">
        <is>
          <t>unverified: map has no limit (guessed from road type); main road: what is posted? 35 or lower opens it to LSVs</t>
        </is>
      </c>
      <c r="Y110" t="inlineStr"/>
      <c r="Z110" t="n">
        <v>2076</v>
      </c>
      <c r="AA110" t="inlineStr">
        <is>
          <t>sd</t>
        </is>
      </c>
      <c r="AB110" t="inlineStr">
        <is>
          <t>sd|32.75960,-117.17867</t>
        </is>
      </c>
    </row>
    <row r="111">
      <c r="A111" t="inlineStr">
        <is>
          <t>SD-B2-110</t>
        </is>
      </c>
      <c r="B111" t="inlineStr">
        <is>
          <t>San Diego area</t>
        </is>
      </c>
      <c r="C111" t="inlineStr">
        <is>
          <t>Rio San Diego Drive</t>
        </is>
      </c>
      <c r="D111" t="inlineStr">
        <is>
          <t>Rio Bonito Way</t>
        </is>
      </c>
      <c r="E111" t="inlineStr">
        <is>
          <t>Gill Village Way</t>
        </is>
      </c>
      <c r="F111" t="inlineStr">
        <is>
          <t>123417557</t>
        </is>
      </c>
      <c r="G111" t="inlineStr"/>
      <c r="H111" t="inlineStr">
        <is>
          <t>inferred</t>
        </is>
      </c>
      <c r="I111" t="inlineStr">
        <is>
          <t>no</t>
        </is>
      </c>
      <c r="J111" t="inlineStr">
        <is>
          <t>https://www.google.com/maps/@?api=1&amp;map_action=pano&amp;viewpoint=32.775790,-117.135620&amp;heading=87</t>
        </is>
      </c>
      <c r="K111" t="inlineStr">
        <is>
          <t>https://www.google.com/maps/search/?api=1&amp;query=32.775790,-117.135620</t>
        </is>
      </c>
      <c r="L111" t="inlineStr"/>
      <c r="M111" t="inlineStr"/>
      <c r="N111" t="inlineStr"/>
      <c r="O111" t="inlineStr"/>
      <c r="P111" t="inlineStr">
        <is>
          <t>pending</t>
        </is>
      </c>
      <c r="Q111" t="inlineStr"/>
      <c r="R111" t="inlineStr"/>
      <c r="S111" t="inlineStr"/>
      <c r="T111" t="inlineStr"/>
      <c r="U111" t="inlineStr"/>
      <c r="V111">
        <f>IF(OR(L111="",S111=""),"",IF(VALUE(L111)=VALUE(S111),"Y","N"))</f>
        <v/>
      </c>
      <c r="W111">
        <f>IF(V111="Y",S111,"")</f>
        <v/>
      </c>
      <c r="X111" t="inlineStr">
        <is>
          <t>unverified: map has no limit (guessed from road type); main road: what is posted? 35 or lower opens it to LSVs</t>
        </is>
      </c>
      <c r="Y111" t="inlineStr"/>
      <c r="Z111" t="n">
        <v>1796</v>
      </c>
      <c r="AA111" t="inlineStr">
        <is>
          <t>sd</t>
        </is>
      </c>
      <c r="AB111" t="inlineStr">
        <is>
          <t>sd|32.77579,-117.13562</t>
        </is>
      </c>
    </row>
    <row r="112">
      <c r="A112" t="inlineStr">
        <is>
          <t>SD-B2-111</t>
        </is>
      </c>
      <c r="B112" t="inlineStr">
        <is>
          <t>San Diego area</t>
        </is>
      </c>
      <c r="C112" t="inlineStr">
        <is>
          <t>Mission Center Road</t>
        </is>
      </c>
      <c r="D112" t="inlineStr">
        <is>
          <t>Auto Circle</t>
        </is>
      </c>
      <c r="E112" t="inlineStr">
        <is>
          <t>Mission Valley Road</t>
        </is>
      </c>
      <c r="F112" t="inlineStr">
        <is>
          <t>641733671</t>
        </is>
      </c>
      <c r="G112" t="inlineStr"/>
      <c r="H112" t="inlineStr">
        <is>
          <t>inferred</t>
        </is>
      </c>
      <c r="I112" t="inlineStr">
        <is>
          <t>no</t>
        </is>
      </c>
      <c r="J112" t="inlineStr">
        <is>
          <t>https://www.google.com/maps/@?api=1&amp;map_action=pano&amp;viewpoint=32.777190,-117.154645&amp;heading=163</t>
        </is>
      </c>
      <c r="K112" t="inlineStr">
        <is>
          <t>https://www.google.com/maps/search/?api=1&amp;query=32.777190,-117.154645</t>
        </is>
      </c>
      <c r="L112" t="inlineStr"/>
      <c r="M112" t="inlineStr"/>
      <c r="N112" t="inlineStr"/>
      <c r="O112" t="inlineStr"/>
      <c r="P112" t="inlineStr">
        <is>
          <t>pending</t>
        </is>
      </c>
      <c r="Q112" t="inlineStr"/>
      <c r="R112" t="inlineStr"/>
      <c r="S112" t="inlineStr"/>
      <c r="T112" t="inlineStr"/>
      <c r="U112" t="inlineStr"/>
      <c r="V112">
        <f>IF(OR(L112="",S112=""),"",IF(VALUE(L112)=VALUE(S112),"Y","N"))</f>
        <v/>
      </c>
      <c r="W112">
        <f>IF(V112="Y",S112,"")</f>
        <v/>
      </c>
      <c r="X112" t="inlineStr">
        <is>
          <t>unverified: map has no limit (guessed from road type); main road: what is posted? 35 or lower opens it to LSVs</t>
        </is>
      </c>
      <c r="Y112" t="inlineStr"/>
      <c r="Z112" t="n">
        <v>2934</v>
      </c>
      <c r="AA112" t="inlineStr">
        <is>
          <t>sd</t>
        </is>
      </c>
      <c r="AB112" t="inlineStr">
        <is>
          <t>sd|32.77719,-117.15465</t>
        </is>
      </c>
    </row>
    <row r="113">
      <c r="A113" t="inlineStr">
        <is>
          <t>SD-B2-112</t>
        </is>
      </c>
      <c r="B113" t="inlineStr">
        <is>
          <t>San Diego area</t>
        </is>
      </c>
      <c r="C113" t="inlineStr">
        <is>
          <t>Camino del Rio North</t>
        </is>
      </c>
      <c r="D113" t="inlineStr">
        <is>
          <t>(see map link)</t>
        </is>
      </c>
      <c r="E113" t="inlineStr">
        <is>
          <t>Camino de la Reina</t>
        </is>
      </c>
      <c r="F113" t="inlineStr">
        <is>
          <t>162317110</t>
        </is>
      </c>
      <c r="G113" t="inlineStr"/>
      <c r="H113" t="inlineStr">
        <is>
          <t>inferred</t>
        </is>
      </c>
      <c r="I113" t="inlineStr">
        <is>
          <t>no</t>
        </is>
      </c>
      <c r="J113" t="inlineStr">
        <is>
          <t>https://www.google.com/maps/@?api=1&amp;map_action=pano&amp;viewpoint=32.773930,-117.131100&amp;heading=70</t>
        </is>
      </c>
      <c r="K113" t="inlineStr">
        <is>
          <t>https://www.google.com/maps/search/?api=1&amp;query=32.773930,-117.131100</t>
        </is>
      </c>
      <c r="L113" t="inlineStr"/>
      <c r="M113" t="inlineStr"/>
      <c r="N113" t="inlineStr"/>
      <c r="O113" t="inlineStr"/>
      <c r="P113" t="inlineStr">
        <is>
          <t>pending</t>
        </is>
      </c>
      <c r="Q113" t="inlineStr"/>
      <c r="R113" t="inlineStr"/>
      <c r="S113" t="inlineStr"/>
      <c r="T113" t="inlineStr"/>
      <c r="U113" t="inlineStr"/>
      <c r="V113">
        <f>IF(OR(L113="",S113=""),"",IF(VALUE(L113)=VALUE(S113),"Y","N"))</f>
        <v/>
      </c>
      <c r="W113">
        <f>IF(V113="Y",S113,"")</f>
        <v/>
      </c>
      <c r="X113" t="inlineStr">
        <is>
          <t>unverified: map has no limit (guessed from road type); main road: what is posted? 35 or lower opens it to LSVs</t>
        </is>
      </c>
      <c r="Y113" t="inlineStr"/>
      <c r="Z113" t="n">
        <v>1906</v>
      </c>
      <c r="AA113" t="inlineStr">
        <is>
          <t>sd</t>
        </is>
      </c>
      <c r="AB113" t="inlineStr">
        <is>
          <t>sd|32.77393,-117.13110</t>
        </is>
      </c>
    </row>
    <row r="114">
      <c r="A114" t="inlineStr">
        <is>
          <t>SD-B2-113</t>
        </is>
      </c>
      <c r="B114" t="inlineStr">
        <is>
          <t>San Diego area</t>
        </is>
      </c>
      <c r="C114" t="inlineStr">
        <is>
          <t>Commercial Street</t>
        </is>
      </c>
      <c r="D114" t="inlineStr">
        <is>
          <t>27th Street</t>
        </is>
      </c>
      <c r="E114" t="inlineStr">
        <is>
          <t>31st Street</t>
        </is>
      </c>
      <c r="F114" t="inlineStr">
        <is>
          <t>6048134</t>
        </is>
      </c>
      <c r="G114" t="inlineStr"/>
      <c r="H114" t="inlineStr">
        <is>
          <t>inferred</t>
        </is>
      </c>
      <c r="I114" t="inlineStr">
        <is>
          <t>no</t>
        </is>
      </c>
      <c r="J114" t="inlineStr">
        <is>
          <t>https://www.google.com/maps/@?api=1&amp;map_action=pano&amp;viewpoint=32.705420,-117.130810&amp;heading=269</t>
        </is>
      </c>
      <c r="K114" t="inlineStr">
        <is>
          <t>https://www.google.com/maps/search/?api=1&amp;query=32.705420,-117.130810</t>
        </is>
      </c>
      <c r="L114" t="inlineStr"/>
      <c r="M114" t="inlineStr"/>
      <c r="N114" t="inlineStr"/>
      <c r="O114" t="inlineStr"/>
      <c r="P114" t="inlineStr">
        <is>
          <t>pending</t>
        </is>
      </c>
      <c r="Q114" t="inlineStr"/>
      <c r="R114" t="inlineStr"/>
      <c r="S114" t="inlineStr"/>
      <c r="T114" t="inlineStr"/>
      <c r="U114" t="inlineStr"/>
      <c r="V114">
        <f>IF(OR(L114="",S114=""),"",IF(VALUE(L114)=VALUE(S114),"Y","N"))</f>
        <v/>
      </c>
      <c r="W114">
        <f>IF(V114="Y",S114,"")</f>
        <v/>
      </c>
      <c r="X114" t="inlineStr">
        <is>
          <t>unverified: map has no limit (guessed from road type); main road: what is posted? 35 or lower opens it to LSVs</t>
        </is>
      </c>
      <c r="Y114" t="inlineStr"/>
      <c r="Z114" t="n">
        <v>2482</v>
      </c>
      <c r="AA114" t="inlineStr">
        <is>
          <t>sd</t>
        </is>
      </c>
      <c r="AB114" t="inlineStr">
        <is>
          <t>sd|32.70542,-117.13081</t>
        </is>
      </c>
    </row>
    <row r="115">
      <c r="A115" t="inlineStr">
        <is>
          <t>SD-B2-114</t>
        </is>
      </c>
      <c r="B115" t="inlineStr">
        <is>
          <t>San Diego area</t>
        </is>
      </c>
      <c r="C115" t="inlineStr">
        <is>
          <t>Morena Boulevard</t>
        </is>
      </c>
      <c r="D115" t="inlineStr">
        <is>
          <t>Knoxville Street</t>
        </is>
      </c>
      <c r="E115" t="inlineStr">
        <is>
          <t>Tecolote Road</t>
        </is>
      </c>
      <c r="F115" t="inlineStr">
        <is>
          <t>238817012</t>
        </is>
      </c>
      <c r="G115" t="inlineStr"/>
      <c r="H115" t="inlineStr">
        <is>
          <t>inferred</t>
        </is>
      </c>
      <c r="I115" t="inlineStr">
        <is>
          <t>no</t>
        </is>
      </c>
      <c r="J115" t="inlineStr">
        <is>
          <t>https://www.google.com/maps/@?api=1&amp;map_action=pano&amp;viewpoint=32.795570,-117.207850&amp;heading=157</t>
        </is>
      </c>
      <c r="K115" t="inlineStr">
        <is>
          <t>https://www.google.com/maps/search/?api=1&amp;query=32.795570,-117.207850</t>
        </is>
      </c>
      <c r="L115" t="inlineStr"/>
      <c r="M115" t="inlineStr"/>
      <c r="N115" t="inlineStr"/>
      <c r="O115" t="inlineStr"/>
      <c r="P115" t="inlineStr">
        <is>
          <t>pending</t>
        </is>
      </c>
      <c r="Q115" t="inlineStr"/>
      <c r="R115" t="inlineStr"/>
      <c r="S115" t="inlineStr"/>
      <c r="T115" t="inlineStr"/>
      <c r="U115" t="inlineStr"/>
      <c r="V115">
        <f>IF(OR(L115="",S115=""),"",IF(VALUE(L115)=VALUE(S115),"Y","N"))</f>
        <v/>
      </c>
      <c r="W115">
        <f>IF(V115="Y",S115,"")</f>
        <v/>
      </c>
      <c r="X115" t="inlineStr">
        <is>
          <t>unverified: map has no limit (guessed from road type); main road: what is posted? 35 or lower opens it to LSVs</t>
        </is>
      </c>
      <c r="Y115" t="inlineStr"/>
      <c r="Z115" t="n">
        <v>6361</v>
      </c>
      <c r="AA115" t="inlineStr">
        <is>
          <t>sd</t>
        </is>
      </c>
      <c r="AB115" t="inlineStr">
        <is>
          <t>sd|32.79557,-117.20785</t>
        </is>
      </c>
    </row>
    <row r="116">
      <c r="A116" t="inlineStr">
        <is>
          <t>SD-B2-115</t>
        </is>
      </c>
      <c r="B116" t="inlineStr">
        <is>
          <t>San Diego area</t>
        </is>
      </c>
      <c r="C116" t="inlineStr">
        <is>
          <t>East Mission Bay Drive</t>
        </is>
      </c>
      <c r="D116" t="inlineStr">
        <is>
          <t>Fiesta Island Road</t>
        </is>
      </c>
      <c r="E116" t="inlineStr">
        <is>
          <t>Pacific Highway</t>
        </is>
      </c>
      <c r="F116" t="inlineStr">
        <is>
          <t>854318297</t>
        </is>
      </c>
      <c r="G116" t="inlineStr"/>
      <c r="H116" t="inlineStr">
        <is>
          <t>inferred</t>
        </is>
      </c>
      <c r="I116" t="inlineStr">
        <is>
          <t>no</t>
        </is>
      </c>
      <c r="J116" t="inlineStr">
        <is>
          <t>https://www.google.com/maps/@?api=1&amp;map_action=pano&amp;viewpoint=32.788250,-117.207750&amp;heading=353</t>
        </is>
      </c>
      <c r="K116" t="inlineStr">
        <is>
          <t>https://www.google.com/maps/search/?api=1&amp;query=32.788250,-117.207750</t>
        </is>
      </c>
      <c r="L116" t="inlineStr"/>
      <c r="M116" t="inlineStr"/>
      <c r="N116" t="inlineStr"/>
      <c r="O116" t="inlineStr"/>
      <c r="P116" t="inlineStr">
        <is>
          <t>pending</t>
        </is>
      </c>
      <c r="Q116" t="inlineStr"/>
      <c r="R116" t="inlineStr"/>
      <c r="S116" t="inlineStr"/>
      <c r="T116" t="inlineStr"/>
      <c r="U116" t="inlineStr"/>
      <c r="V116">
        <f>IF(OR(L116="",S116=""),"",IF(VALUE(L116)=VALUE(S116),"Y","N"))</f>
        <v/>
      </c>
      <c r="W116">
        <f>IF(V116="Y",S116,"")</f>
        <v/>
      </c>
      <c r="X116" t="inlineStr">
        <is>
          <t>unverified: map has no limit (guessed from road type); main road: what is posted? 35 or lower opens it to LSVs</t>
        </is>
      </c>
      <c r="Y116" t="inlineStr"/>
      <c r="Z116" t="n">
        <v>2709</v>
      </c>
      <c r="AA116" t="inlineStr">
        <is>
          <t>sd</t>
        </is>
      </c>
      <c r="AB116" t="inlineStr">
        <is>
          <t>sd|32.78825,-117.20775</t>
        </is>
      </c>
    </row>
    <row r="117">
      <c r="A117" t="inlineStr">
        <is>
          <t>SD-B2-116</t>
        </is>
      </c>
      <c r="B117" t="inlineStr">
        <is>
          <t>San Diego area</t>
        </is>
      </c>
      <c r="C117" t="inlineStr">
        <is>
          <t>Mission Bay Drive</t>
        </is>
      </c>
      <c r="D117" t="inlineStr">
        <is>
          <t>Clairemont Drive</t>
        </is>
      </c>
      <c r="E117" t="inlineStr">
        <is>
          <t>North Mission Bay Drive</t>
        </is>
      </c>
      <c r="F117" t="inlineStr">
        <is>
          <t>1341479247</t>
        </is>
      </c>
      <c r="G117" t="inlineStr"/>
      <c r="H117" t="inlineStr">
        <is>
          <t>inferred</t>
        </is>
      </c>
      <c r="I117" t="inlineStr">
        <is>
          <t>no</t>
        </is>
      </c>
      <c r="J117" t="inlineStr">
        <is>
          <t>https://www.google.com/maps/@?api=1&amp;map_action=pano&amp;viewpoint=32.792090,-117.208020&amp;heading=27</t>
        </is>
      </c>
      <c r="K117" t="inlineStr">
        <is>
          <t>https://www.google.com/maps/search/?api=1&amp;query=32.792090,-117.208020</t>
        </is>
      </c>
      <c r="L117" t="inlineStr"/>
      <c r="M117" t="inlineStr"/>
      <c r="N117" t="inlineStr"/>
      <c r="O117" t="inlineStr"/>
      <c r="P117" t="inlineStr">
        <is>
          <t>pending</t>
        </is>
      </c>
      <c r="Q117" t="inlineStr"/>
      <c r="R117" t="inlineStr"/>
      <c r="S117" t="inlineStr"/>
      <c r="T117" t="inlineStr"/>
      <c r="U117" t="inlineStr"/>
      <c r="V117">
        <f>IF(OR(L117="",S117=""),"",IF(VALUE(L117)=VALUE(S117),"Y","N"))</f>
        <v/>
      </c>
      <c r="W117">
        <f>IF(V117="Y",S117,"")</f>
        <v/>
      </c>
      <c r="X117" t="inlineStr">
        <is>
          <t>unverified: map has no limit (guessed from road type); main road: what is posted? 35 or lower opens it to LSVs</t>
        </is>
      </c>
      <c r="Y117" t="inlineStr"/>
      <c r="Z117" t="n">
        <v>1977</v>
      </c>
      <c r="AA117" t="inlineStr">
        <is>
          <t>sd</t>
        </is>
      </c>
      <c r="AB117" t="inlineStr">
        <is>
          <t>sd|32.79209,-117.20802</t>
        </is>
      </c>
    </row>
    <row r="118">
      <c r="A118" t="inlineStr">
        <is>
          <t>SD-B2-117</t>
        </is>
      </c>
      <c r="B118" t="inlineStr">
        <is>
          <t>San Diego area</t>
        </is>
      </c>
      <c r="C118" t="inlineStr">
        <is>
          <t>Morena Boulevard</t>
        </is>
      </c>
      <c r="D118" t="inlineStr">
        <is>
          <t>(see map link)</t>
        </is>
      </c>
      <c r="E118" t="inlineStr">
        <is>
          <t>Ticonderoga Street</t>
        </is>
      </c>
      <c r="F118" t="inlineStr">
        <is>
          <t>140819393</t>
        </is>
      </c>
      <c r="G118" t="inlineStr"/>
      <c r="H118" t="inlineStr">
        <is>
          <t>inferred</t>
        </is>
      </c>
      <c r="I118" t="inlineStr">
        <is>
          <t>no</t>
        </is>
      </c>
      <c r="J118" t="inlineStr">
        <is>
          <t>https://www.google.com/maps/@?api=1&amp;map_action=pano&amp;viewpoint=32.810850,-117.215160&amp;heading=321</t>
        </is>
      </c>
      <c r="K118" t="inlineStr">
        <is>
          <t>https://www.google.com/maps/search/?api=1&amp;query=32.810850,-117.215160</t>
        </is>
      </c>
      <c r="L118" t="inlineStr"/>
      <c r="M118" t="inlineStr"/>
      <c r="N118" t="inlineStr"/>
      <c r="O118" t="inlineStr"/>
      <c r="P118" t="inlineStr">
        <is>
          <t>pending</t>
        </is>
      </c>
      <c r="Q118" t="inlineStr"/>
      <c r="R118" t="inlineStr"/>
      <c r="S118" t="inlineStr"/>
      <c r="T118" t="inlineStr"/>
      <c r="U118" t="inlineStr"/>
      <c r="V118">
        <f>IF(OR(L118="",S118=""),"",IF(VALUE(L118)=VALUE(S118),"Y","N"))</f>
        <v/>
      </c>
      <c r="W118">
        <f>IF(V118="Y",S118,"")</f>
        <v/>
      </c>
      <c r="X118" t="inlineStr">
        <is>
          <t>unverified: map has no limit (guessed from road type); main road: what is posted? 35 or lower opens it to LSVs</t>
        </is>
      </c>
      <c r="Y118" t="inlineStr"/>
      <c r="Z118" t="n">
        <v>3021</v>
      </c>
      <c r="AA118" t="inlineStr">
        <is>
          <t>sd</t>
        </is>
      </c>
      <c r="AB118" t="inlineStr">
        <is>
          <t>sd|32.81085,-117.21516</t>
        </is>
      </c>
    </row>
    <row r="119">
      <c r="A119" t="inlineStr">
        <is>
          <t>SD-B2-118</t>
        </is>
      </c>
      <c r="B119" t="inlineStr">
        <is>
          <t>San Diego area</t>
        </is>
      </c>
      <c r="C119" t="inlineStr">
        <is>
          <t>Carroll Canyon Road</t>
        </is>
      </c>
      <c r="D119" t="inlineStr">
        <is>
          <t>Scranton Road</t>
        </is>
      </c>
      <c r="E119" t="inlineStr">
        <is>
          <t>Business Access Road</t>
        </is>
      </c>
      <c r="F119" t="inlineStr">
        <is>
          <t>273636396</t>
        </is>
      </c>
      <c r="G119" t="inlineStr"/>
      <c r="H119" t="inlineStr">
        <is>
          <t>inferred</t>
        </is>
      </c>
      <c r="I119" t="inlineStr">
        <is>
          <t>no</t>
        </is>
      </c>
      <c r="J119" t="inlineStr">
        <is>
          <t>https://www.google.com/maps/@?api=1&amp;map_action=pano&amp;viewpoint=32.888340,-117.205340&amp;heading=274</t>
        </is>
      </c>
      <c r="K119" t="inlineStr">
        <is>
          <t>https://www.google.com/maps/search/?api=1&amp;query=32.888340,-117.205340</t>
        </is>
      </c>
      <c r="L119" t="inlineStr"/>
      <c r="M119" t="inlineStr"/>
      <c r="N119" t="inlineStr"/>
      <c r="O119" t="inlineStr"/>
      <c r="P119" t="inlineStr">
        <is>
          <t>pending</t>
        </is>
      </c>
      <c r="Q119" t="inlineStr"/>
      <c r="R119" t="inlineStr"/>
      <c r="S119" t="inlineStr"/>
      <c r="T119" t="inlineStr"/>
      <c r="U119" t="inlineStr"/>
      <c r="V119">
        <f>IF(OR(L119="",S119=""),"",IF(VALUE(L119)=VALUE(S119),"Y","N"))</f>
        <v/>
      </c>
      <c r="W119">
        <f>IF(V119="Y",S119,"")</f>
        <v/>
      </c>
      <c r="X119" t="inlineStr">
        <is>
          <t>unverified: map has no limit (guessed from road type); main road: what is posted? 35 or lower opens it to LSVs</t>
        </is>
      </c>
      <c r="Y119" t="inlineStr"/>
      <c r="Z119" t="n">
        <v>1562</v>
      </c>
      <c r="AA119" t="inlineStr">
        <is>
          <t>sd</t>
        </is>
      </c>
      <c r="AB119" t="inlineStr">
        <is>
          <t>sd|32.88834,-117.20534</t>
        </is>
      </c>
    </row>
    <row r="120">
      <c r="A120" t="inlineStr">
        <is>
          <t>SD-B2-119</t>
        </is>
      </c>
      <c r="B120" t="inlineStr">
        <is>
          <t>San Diego area</t>
        </is>
      </c>
      <c r="C120" t="inlineStr">
        <is>
          <t>Soledad Mountain Road</t>
        </is>
      </c>
      <c r="D120" t="inlineStr">
        <is>
          <t>Ridgegate Row</t>
        </is>
      </c>
      <c r="E120" t="inlineStr">
        <is>
          <t>La Jolla Scenic Drive South</t>
        </is>
      </c>
      <c r="F120" t="inlineStr">
        <is>
          <t>202506892</t>
        </is>
      </c>
      <c r="G120" t="inlineStr"/>
      <c r="H120" t="inlineStr">
        <is>
          <t>inferred</t>
        </is>
      </c>
      <c r="I120" t="inlineStr">
        <is>
          <t>no</t>
        </is>
      </c>
      <c r="J120" t="inlineStr">
        <is>
          <t>https://www.google.com/maps/@?api=1&amp;map_action=pano&amp;viewpoint=32.834960,-117.246710&amp;heading=120</t>
        </is>
      </c>
      <c r="K120" t="inlineStr">
        <is>
          <t>https://www.google.com/maps/search/?api=1&amp;query=32.834960,-117.246710</t>
        </is>
      </c>
      <c r="L120" t="inlineStr"/>
      <c r="M120" t="inlineStr"/>
      <c r="N120" t="inlineStr"/>
      <c r="O120" t="inlineStr"/>
      <c r="P120" t="inlineStr">
        <is>
          <t>pending</t>
        </is>
      </c>
      <c r="Q120" t="inlineStr"/>
      <c r="R120" t="inlineStr"/>
      <c r="S120" t="inlineStr"/>
      <c r="T120" t="inlineStr"/>
      <c r="U120" t="inlineStr"/>
      <c r="V120">
        <f>IF(OR(L120="",S120=""),"",IF(VALUE(L120)=VALUE(S120),"Y","N"))</f>
        <v/>
      </c>
      <c r="W120">
        <f>IF(V120="Y",S120,"")</f>
        <v/>
      </c>
      <c r="X120" t="inlineStr">
        <is>
          <t>unverified: map has no limit (guessed from road type); main road: what is posted? 35 or lower opens it to LSVs</t>
        </is>
      </c>
      <c r="Y120" t="inlineStr"/>
      <c r="Z120" t="n">
        <v>1929</v>
      </c>
      <c r="AA120" t="inlineStr">
        <is>
          <t>sd</t>
        </is>
      </c>
      <c r="AB120" t="inlineStr">
        <is>
          <t>sd|32.83496,-117.24671</t>
        </is>
      </c>
    </row>
    <row r="121">
      <c r="A121" t="inlineStr">
        <is>
          <t>SD-B2-120</t>
        </is>
      </c>
      <c r="B121" t="inlineStr">
        <is>
          <t>San Diego area</t>
        </is>
      </c>
      <c r="C121" t="inlineStr">
        <is>
          <t>Los Morros</t>
        </is>
      </c>
      <c r="D121" t="inlineStr">
        <is>
          <t>El Camino Real</t>
        </is>
      </c>
      <c r="E121" t="inlineStr">
        <is>
          <t>La Granada</t>
        </is>
      </c>
      <c r="F121" t="inlineStr">
        <is>
          <t>6021818</t>
        </is>
      </c>
      <c r="G121" t="inlineStr"/>
      <c r="H121" t="inlineStr">
        <is>
          <t>inferred</t>
        </is>
      </c>
      <c r="I121" t="inlineStr">
        <is>
          <t>no</t>
        </is>
      </c>
      <c r="J121" t="inlineStr">
        <is>
          <t>https://www.google.com/maps/@?api=1&amp;map_action=pano&amp;viewpoint=33.015990,-117.235310&amp;heading=140</t>
        </is>
      </c>
      <c r="K121" t="inlineStr">
        <is>
          <t>https://www.google.com/maps/search/?api=1&amp;query=33.015990,-117.235310</t>
        </is>
      </c>
      <c r="L121" t="inlineStr"/>
      <c r="M121" t="inlineStr"/>
      <c r="N121" t="inlineStr"/>
      <c r="O121" t="inlineStr"/>
      <c r="P121" t="inlineStr">
        <is>
          <t>pending</t>
        </is>
      </c>
      <c r="Q121" t="inlineStr"/>
      <c r="R121" t="inlineStr"/>
      <c r="S121" t="inlineStr"/>
      <c r="T121" t="inlineStr"/>
      <c r="U121" t="inlineStr"/>
      <c r="V121">
        <f>IF(OR(L121="",S121=""),"",IF(VALUE(L121)=VALUE(S121),"Y","N"))</f>
        <v/>
      </c>
      <c r="W121">
        <f>IF(V121="Y",S121,"")</f>
        <v/>
      </c>
      <c r="X121" t="inlineStr">
        <is>
          <t>unverified: map has no limit (guessed from road type); main road: what is posted? 35 or lower opens it to LSVs</t>
        </is>
      </c>
      <c r="Y121" t="inlineStr"/>
      <c r="Z121" t="n">
        <v>1502</v>
      </c>
      <c r="AA121" t="inlineStr">
        <is>
          <t>sd</t>
        </is>
      </c>
      <c r="AB121" t="inlineStr">
        <is>
          <t>sd|33.01599,-117.23531</t>
        </is>
      </c>
    </row>
    <row r="122">
      <c r="A122" t="inlineStr">
        <is>
          <t>SD-B2-121</t>
        </is>
      </c>
      <c r="B122" t="inlineStr">
        <is>
          <t>San Diego area</t>
        </is>
      </c>
      <c r="C122" t="inlineStr">
        <is>
          <t>Manchester Avenue</t>
        </is>
      </c>
      <c r="D122" t="inlineStr">
        <is>
          <t>Pacific Ranch Drive</t>
        </is>
      </c>
      <c r="E122" t="inlineStr">
        <is>
          <t>Sienna Canyon Drive</t>
        </is>
      </c>
      <c r="F122" t="inlineStr">
        <is>
          <t>32673975</t>
        </is>
      </c>
      <c r="G122" t="inlineStr"/>
      <c r="H122" t="inlineStr">
        <is>
          <t>inferred</t>
        </is>
      </c>
      <c r="I122" t="inlineStr">
        <is>
          <t>no</t>
        </is>
      </c>
      <c r="J122" t="inlineStr">
        <is>
          <t>https://www.google.com/maps/@?api=1&amp;map_action=pano&amp;viewpoint=33.023960,-117.248410&amp;heading=46</t>
        </is>
      </c>
      <c r="K122" t="inlineStr">
        <is>
          <t>https://www.google.com/maps/search/?api=1&amp;query=33.023960,-117.248410</t>
        </is>
      </c>
      <c r="L122" t="inlineStr"/>
      <c r="M122" t="inlineStr"/>
      <c r="N122" t="inlineStr"/>
      <c r="O122" t="inlineStr"/>
      <c r="P122" t="inlineStr">
        <is>
          <t>pending</t>
        </is>
      </c>
      <c r="Q122" t="inlineStr"/>
      <c r="R122" t="inlineStr"/>
      <c r="S122" t="inlineStr"/>
      <c r="T122" t="inlineStr"/>
      <c r="U122" t="inlineStr"/>
      <c r="V122">
        <f>IF(OR(L122="",S122=""),"",IF(VALUE(L122)=VALUE(S122),"Y","N"))</f>
        <v/>
      </c>
      <c r="W122">
        <f>IF(V122="Y",S122,"")</f>
        <v/>
      </c>
      <c r="X122" t="inlineStr">
        <is>
          <t>unverified: map has no limit (guessed from road type); main road: what is posted? 35 or lower opens it to LSVs</t>
        </is>
      </c>
      <c r="Y122" t="inlineStr"/>
      <c r="Z122" t="n">
        <v>1858</v>
      </c>
      <c r="AA122" t="inlineStr">
        <is>
          <t>sd</t>
        </is>
      </c>
      <c r="AB122" t="inlineStr">
        <is>
          <t>sd|33.02396,-117.24841</t>
        </is>
      </c>
    </row>
    <row r="123">
      <c r="A123" t="inlineStr">
        <is>
          <t>SD-B2-122</t>
        </is>
      </c>
      <c r="B123" t="inlineStr">
        <is>
          <t>San Diego area</t>
        </is>
      </c>
      <c r="C123" t="inlineStr">
        <is>
          <t>Faraday Drive</t>
        </is>
      </c>
      <c r="D123" t="inlineStr">
        <is>
          <t>Faraday Avenue</t>
        </is>
      </c>
      <c r="E123" t="inlineStr">
        <is>
          <t>Park Center Drive</t>
        </is>
      </c>
      <c r="F123" t="inlineStr">
        <is>
          <t>5977674</t>
        </is>
      </c>
      <c r="G123" t="inlineStr"/>
      <c r="H123" t="inlineStr">
        <is>
          <t>inferred</t>
        </is>
      </c>
      <c r="I123" t="inlineStr">
        <is>
          <t>no</t>
        </is>
      </c>
      <c r="J123" t="inlineStr">
        <is>
          <t>https://www.google.com/maps/@?api=1&amp;map_action=pano&amp;viewpoint=33.135440,-117.263860&amp;heading=97</t>
        </is>
      </c>
      <c r="K123" t="inlineStr">
        <is>
          <t>https://www.google.com/maps/search/?api=1&amp;query=33.135440,-117.263860</t>
        </is>
      </c>
      <c r="L123" t="inlineStr"/>
      <c r="M123" t="inlineStr"/>
      <c r="N123" t="inlineStr"/>
      <c r="O123" t="inlineStr"/>
      <c r="P123" t="inlineStr">
        <is>
          <t>pending</t>
        </is>
      </c>
      <c r="Q123" t="inlineStr"/>
      <c r="R123" t="inlineStr"/>
      <c r="S123" t="inlineStr"/>
      <c r="T123" t="inlineStr"/>
      <c r="U123" t="inlineStr"/>
      <c r="V123">
        <f>IF(OR(L123="",S123=""),"",IF(VALUE(L123)=VALUE(S123),"Y","N"))</f>
        <v/>
      </c>
      <c r="W123">
        <f>IF(V123="Y",S123,"")</f>
        <v/>
      </c>
      <c r="X123" t="inlineStr">
        <is>
          <t>unverified: map has no limit (guessed from road type); main road: what is posted? 35 or lower opens it to LSVs</t>
        </is>
      </c>
      <c r="Y123" t="inlineStr"/>
      <c r="Z123" t="n">
        <v>2258</v>
      </c>
      <c r="AA123" t="inlineStr">
        <is>
          <t>sd</t>
        </is>
      </c>
      <c r="AB123" t="inlineStr">
        <is>
          <t>sd|33.13544,-117.26386</t>
        </is>
      </c>
    </row>
    <row r="124">
      <c r="A124" t="inlineStr">
        <is>
          <t>SD-B2-123</t>
        </is>
      </c>
      <c r="B124" t="inlineStr">
        <is>
          <t>San Diego area</t>
        </is>
      </c>
      <c r="C124" t="inlineStr">
        <is>
          <t>Cannon Road</t>
        </is>
      </c>
      <c r="D124" t="inlineStr">
        <is>
          <t>Shadowridge Drive</t>
        </is>
      </c>
      <c r="E124" t="inlineStr">
        <is>
          <t>South Melrose Drive</t>
        </is>
      </c>
      <c r="F124" t="inlineStr">
        <is>
          <t>436460517</t>
        </is>
      </c>
      <c r="G124" t="inlineStr"/>
      <c r="H124" t="inlineStr">
        <is>
          <t>inferred</t>
        </is>
      </c>
      <c r="I124" t="inlineStr">
        <is>
          <t>no</t>
        </is>
      </c>
      <c r="J124" t="inlineStr">
        <is>
          <t>https://www.google.com/maps/@?api=1&amp;map_action=pano&amp;viewpoint=33.167530,-117.266000&amp;heading=234</t>
        </is>
      </c>
      <c r="K124" t="inlineStr">
        <is>
          <t>https://www.google.com/maps/search/?api=1&amp;query=33.167530,-117.266000</t>
        </is>
      </c>
      <c r="L124" t="inlineStr"/>
      <c r="M124" t="inlineStr"/>
      <c r="N124" t="inlineStr"/>
      <c r="O124" t="inlineStr"/>
      <c r="P124" t="inlineStr">
        <is>
          <t>pending</t>
        </is>
      </c>
      <c r="Q124" t="inlineStr"/>
      <c r="R124" t="inlineStr"/>
      <c r="S124" t="inlineStr"/>
      <c r="T124" t="inlineStr"/>
      <c r="U124" t="inlineStr"/>
      <c r="V124">
        <f>IF(OR(L124="",S124=""),"",IF(VALUE(L124)=VALUE(S124),"Y","N"))</f>
        <v/>
      </c>
      <c r="W124">
        <f>IF(V124="Y",S124,"")</f>
        <v/>
      </c>
      <c r="X124" t="inlineStr">
        <is>
          <t>unverified: map has no limit (guessed from road type); main road: what is posted? 35 or lower opens it to LSVs</t>
        </is>
      </c>
      <c r="Y124" t="inlineStr"/>
      <c r="Z124" t="n">
        <v>1830</v>
      </c>
      <c r="AA124" t="inlineStr">
        <is>
          <t>sd</t>
        </is>
      </c>
      <c r="AB124" t="inlineStr">
        <is>
          <t>sd|33.16753,-117.26600</t>
        </is>
      </c>
    </row>
    <row r="125">
      <c r="A125" t="inlineStr">
        <is>
          <t>SD-B2-124</t>
        </is>
      </c>
      <c r="B125" t="inlineStr">
        <is>
          <t>San Diego area</t>
        </is>
      </c>
      <c r="C125" t="inlineStr">
        <is>
          <t>Faraday Avenue</t>
        </is>
      </c>
      <c r="D125" t="inlineStr">
        <is>
          <t>(see map link)</t>
        </is>
      </c>
      <c r="E125" t="inlineStr">
        <is>
          <t>Faraday Drive</t>
        </is>
      </c>
      <c r="F125" t="inlineStr">
        <is>
          <t>476731844</t>
        </is>
      </c>
      <c r="G125" t="inlineStr"/>
      <c r="H125" t="inlineStr">
        <is>
          <t>inferred</t>
        </is>
      </c>
      <c r="I125" t="inlineStr">
        <is>
          <t>no</t>
        </is>
      </c>
      <c r="J125" t="inlineStr">
        <is>
          <t>https://www.google.com/maps/@?api=1&amp;map_action=pano&amp;viewpoint=33.135170,-117.303260&amp;heading=126</t>
        </is>
      </c>
      <c r="K125" t="inlineStr">
        <is>
          <t>https://www.google.com/maps/search/?api=1&amp;query=33.135170,-117.303260</t>
        </is>
      </c>
      <c r="L125" t="inlineStr"/>
      <c r="M125" t="inlineStr"/>
      <c r="N125" t="inlineStr"/>
      <c r="O125" t="inlineStr"/>
      <c r="P125" t="inlineStr">
        <is>
          <t>pending</t>
        </is>
      </c>
      <c r="Q125" t="inlineStr"/>
      <c r="R125" t="inlineStr"/>
      <c r="S125" t="inlineStr"/>
      <c r="T125" t="inlineStr"/>
      <c r="U125" t="inlineStr"/>
      <c r="V125">
        <f>IF(OR(L125="",S125=""),"",IF(VALUE(L125)=VALUE(S125),"Y","N"))</f>
        <v/>
      </c>
      <c r="W125">
        <f>IF(V125="Y",S125,"")</f>
        <v/>
      </c>
      <c r="X125" t="inlineStr">
        <is>
          <t>unverified: map has no limit (guessed from road type); main road: what is posted? 35 or lower opens it to LSVs</t>
        </is>
      </c>
      <c r="Y125" t="inlineStr"/>
      <c r="Z125" t="n">
        <v>6002</v>
      </c>
      <c r="AA125" t="inlineStr">
        <is>
          <t>sd</t>
        </is>
      </c>
      <c r="AB125" t="inlineStr">
        <is>
          <t>sd|33.13517,-117.30326</t>
        </is>
      </c>
    </row>
    <row r="126">
      <c r="A126" t="inlineStr">
        <is>
          <t>SD-B2-125</t>
        </is>
      </c>
      <c r="B126" t="inlineStr">
        <is>
          <t>San Diego area</t>
        </is>
      </c>
      <c r="C126" t="inlineStr">
        <is>
          <t>Poinsettia Lane</t>
        </is>
      </c>
      <c r="D126" t="inlineStr">
        <is>
          <t>Alicante Road</t>
        </is>
      </c>
      <c r="E126" t="inlineStr">
        <is>
          <t>Melrose Drive</t>
        </is>
      </c>
      <c r="F126" t="inlineStr">
        <is>
          <t>1343394905</t>
        </is>
      </c>
      <c r="G126" t="inlineStr"/>
      <c r="H126" t="inlineStr">
        <is>
          <t>inferred</t>
        </is>
      </c>
      <c r="I126" t="inlineStr">
        <is>
          <t>no</t>
        </is>
      </c>
      <c r="J126" t="inlineStr">
        <is>
          <t>https://www.google.com/maps/@?api=1&amp;map_action=pano&amp;viewpoint=33.118810,-117.244670&amp;heading=250</t>
        </is>
      </c>
      <c r="K126" t="inlineStr">
        <is>
          <t>https://www.google.com/maps/search/?api=1&amp;query=33.118810,-117.244670</t>
        </is>
      </c>
      <c r="L126" t="inlineStr"/>
      <c r="M126" t="inlineStr"/>
      <c r="N126" t="inlineStr"/>
      <c r="O126" t="inlineStr"/>
      <c r="P126" t="inlineStr">
        <is>
          <t>pending</t>
        </is>
      </c>
      <c r="Q126" t="inlineStr"/>
      <c r="R126" t="inlineStr"/>
      <c r="S126" t="inlineStr"/>
      <c r="T126" t="inlineStr"/>
      <c r="U126" t="inlineStr"/>
      <c r="V126">
        <f>IF(OR(L126="",S126=""),"",IF(VALUE(L126)=VALUE(S126),"Y","N"))</f>
        <v/>
      </c>
      <c r="W126">
        <f>IF(V126="Y",S126,"")</f>
        <v/>
      </c>
      <c r="X126" t="inlineStr">
        <is>
          <t>unverified: map has no limit (guessed from road type); main road: what is posted? 35 or lower opens it to LSVs</t>
        </is>
      </c>
      <c r="Y126" t="inlineStr"/>
      <c r="Z126" t="n">
        <v>4367</v>
      </c>
      <c r="AA126" t="inlineStr">
        <is>
          <t>sd</t>
        </is>
      </c>
      <c r="AB126" t="inlineStr">
        <is>
          <t>sd|33.11881,-117.24467</t>
        </is>
      </c>
    </row>
    <row r="127">
      <c r="A127" t="inlineStr">
        <is>
          <t>SD-B2-126</t>
        </is>
      </c>
      <c r="B127" t="inlineStr">
        <is>
          <t>San Diego area</t>
        </is>
      </c>
      <c r="C127" t="inlineStr">
        <is>
          <t>Poinsettia Lane</t>
        </is>
      </c>
      <c r="D127" t="inlineStr">
        <is>
          <t>El Camino Real</t>
        </is>
      </c>
      <c r="E127" t="inlineStr">
        <is>
          <t>Encelia Place</t>
        </is>
      </c>
      <c r="F127" t="inlineStr">
        <is>
          <t>1077875245</t>
        </is>
      </c>
      <c r="G127" t="inlineStr"/>
      <c r="H127" t="inlineStr">
        <is>
          <t>inferred</t>
        </is>
      </c>
      <c r="I127" t="inlineStr">
        <is>
          <t>no</t>
        </is>
      </c>
      <c r="J127" t="inlineStr">
        <is>
          <t>https://www.google.com/maps/@?api=1&amp;map_action=pano&amp;viewpoint=33.118700,-117.244630&amp;heading=84</t>
        </is>
      </c>
      <c r="K127" t="inlineStr">
        <is>
          <t>https://www.google.com/maps/search/?api=1&amp;query=33.118700,-117.244630</t>
        </is>
      </c>
      <c r="L127" t="inlineStr"/>
      <c r="M127" t="inlineStr"/>
      <c r="N127" t="inlineStr"/>
      <c r="O127" t="inlineStr"/>
      <c r="P127" t="inlineStr">
        <is>
          <t>pending</t>
        </is>
      </c>
      <c r="Q127" t="inlineStr"/>
      <c r="R127" t="inlineStr"/>
      <c r="S127" t="inlineStr"/>
      <c r="T127" t="inlineStr"/>
      <c r="U127" t="inlineStr"/>
      <c r="V127">
        <f>IF(OR(L127="",S127=""),"",IF(VALUE(L127)=VALUE(S127),"Y","N"))</f>
        <v/>
      </c>
      <c r="W127">
        <f>IF(V127="Y",S127,"")</f>
        <v/>
      </c>
      <c r="X127" t="inlineStr">
        <is>
          <t>unverified: map has no limit (guessed from road type); main road: what is posted? 35 or lower opens it to LSVs</t>
        </is>
      </c>
      <c r="Y127" t="inlineStr"/>
      <c r="Z127" t="n">
        <v>4389</v>
      </c>
      <c r="AA127" t="inlineStr">
        <is>
          <t>sd</t>
        </is>
      </c>
      <c r="AB127" t="inlineStr">
        <is>
          <t>sd|33.11870,-117.24463</t>
        </is>
      </c>
    </row>
    <row r="128">
      <c r="A128" t="inlineStr">
        <is>
          <t>SD-B2-127</t>
        </is>
      </c>
      <c r="B128" t="inlineStr">
        <is>
          <t>San Diego area</t>
        </is>
      </c>
      <c r="C128" t="inlineStr">
        <is>
          <t>Cannon Road</t>
        </is>
      </c>
      <c r="D128" t="inlineStr">
        <is>
          <t>Leisure Village Drive</t>
        </is>
      </c>
      <c r="E128" t="inlineStr">
        <is>
          <t>South Melrose Drive</t>
        </is>
      </c>
      <c r="F128" t="inlineStr">
        <is>
          <t>1239242291</t>
        </is>
      </c>
      <c r="G128" t="inlineStr"/>
      <c r="H128" t="inlineStr">
        <is>
          <t>inferred</t>
        </is>
      </c>
      <c r="I128" t="inlineStr">
        <is>
          <t>no</t>
        </is>
      </c>
      <c r="J128" t="inlineStr">
        <is>
          <t>https://www.google.com/maps/@?api=1&amp;map_action=pano&amp;viewpoint=33.167810,-117.265350&amp;heading=49</t>
        </is>
      </c>
      <c r="K128" t="inlineStr">
        <is>
          <t>https://www.google.com/maps/search/?api=1&amp;query=33.167810,-117.265350</t>
        </is>
      </c>
      <c r="L128" t="inlineStr"/>
      <c r="M128" t="inlineStr"/>
      <c r="N128" t="inlineStr"/>
      <c r="O128" t="inlineStr"/>
      <c r="P128" t="inlineStr">
        <is>
          <t>pending</t>
        </is>
      </c>
      <c r="Q128" t="inlineStr"/>
      <c r="R128" t="inlineStr"/>
      <c r="S128" t="inlineStr"/>
      <c r="T128" t="inlineStr"/>
      <c r="U128" t="inlineStr"/>
      <c r="V128">
        <f>IF(OR(L128="",S128=""),"",IF(VALUE(L128)=VALUE(S128),"Y","N"))</f>
        <v/>
      </c>
      <c r="W128">
        <f>IF(V128="Y",S128,"")</f>
        <v/>
      </c>
      <c r="X128" t="inlineStr">
        <is>
          <t>unverified: map has no limit (guessed from road type); main road: what is posted? 35 or lower opens it to LSVs</t>
        </is>
      </c>
      <c r="Y128" t="inlineStr"/>
      <c r="Z128" t="n">
        <v>1825</v>
      </c>
      <c r="AA128" t="inlineStr">
        <is>
          <t>sd</t>
        </is>
      </c>
      <c r="AB128" t="inlineStr">
        <is>
          <t>sd|33.16781,-117.26535</t>
        </is>
      </c>
    </row>
    <row r="129">
      <c r="A129" t="inlineStr">
        <is>
          <t>SD-B2-128</t>
        </is>
      </c>
      <c r="B129" t="inlineStr">
        <is>
          <t>San Diego area</t>
        </is>
      </c>
      <c r="C129" t="inlineStr">
        <is>
          <t>Tamarack Avenue</t>
        </is>
      </c>
      <c r="D129" t="inlineStr">
        <is>
          <t>College Boulevard</t>
        </is>
      </c>
      <c r="E129" t="inlineStr">
        <is>
          <t>Carlsbad Village Drive</t>
        </is>
      </c>
      <c r="F129" t="inlineStr">
        <is>
          <t>584386954</t>
        </is>
      </c>
      <c r="G129" t="inlineStr"/>
      <c r="H129" t="inlineStr">
        <is>
          <t>inferred</t>
        </is>
      </c>
      <c r="I129" t="inlineStr">
        <is>
          <t>no</t>
        </is>
      </c>
      <c r="J129" t="inlineStr">
        <is>
          <t>https://www.google.com/maps/@?api=1&amp;map_action=pano&amp;viewpoint=33.174500,-117.302680&amp;heading=268</t>
        </is>
      </c>
      <c r="K129" t="inlineStr">
        <is>
          <t>https://www.google.com/maps/search/?api=1&amp;query=33.174500,-117.302680</t>
        </is>
      </c>
      <c r="L129" t="inlineStr"/>
      <c r="M129" t="inlineStr"/>
      <c r="N129" t="inlineStr"/>
      <c r="O129" t="inlineStr"/>
      <c r="P129" t="inlineStr">
        <is>
          <t>pending</t>
        </is>
      </c>
      <c r="Q129" t="inlineStr"/>
      <c r="R129" t="inlineStr"/>
      <c r="S129" t="inlineStr"/>
      <c r="T129" t="inlineStr"/>
      <c r="U129" t="inlineStr"/>
      <c r="V129">
        <f>IF(OR(L129="",S129=""),"",IF(VALUE(L129)=VALUE(S129),"Y","N"))</f>
        <v/>
      </c>
      <c r="W129">
        <f>IF(V129="Y",S129,"")</f>
        <v/>
      </c>
      <c r="X129" t="inlineStr">
        <is>
          <t>unverified: map has no limit (guessed from road type); main road: what is posted? 35 or lower opens it to LSVs</t>
        </is>
      </c>
      <c r="Y129" t="inlineStr"/>
      <c r="Z129" t="n">
        <v>2209</v>
      </c>
      <c r="AA129" t="inlineStr">
        <is>
          <t>sd</t>
        </is>
      </c>
      <c r="AB129" t="inlineStr">
        <is>
          <t>sd|33.17450,-117.30268</t>
        </is>
      </c>
    </row>
    <row r="130">
      <c r="A130" t="inlineStr">
        <is>
          <t>SD-B2-129</t>
        </is>
      </c>
      <c r="B130" t="inlineStr">
        <is>
          <t>San Diego area</t>
        </is>
      </c>
      <c r="C130" t="inlineStr">
        <is>
          <t>Lake Boulevard</t>
        </is>
      </c>
      <c r="D130" t="inlineStr">
        <is>
          <t>Cannon Road</t>
        </is>
      </c>
      <c r="E130" t="inlineStr">
        <is>
          <t>Thunder Drive</t>
        </is>
      </c>
      <c r="F130" t="inlineStr">
        <is>
          <t>225875558</t>
        </is>
      </c>
      <c r="G130" t="inlineStr"/>
      <c r="H130" t="inlineStr">
        <is>
          <t>inferred</t>
        </is>
      </c>
      <c r="I130" t="inlineStr">
        <is>
          <t>no</t>
        </is>
      </c>
      <c r="J130" t="inlineStr">
        <is>
          <t>https://www.google.com/maps/@?api=1&amp;map_action=pano&amp;viewpoint=33.177270,-117.275870&amp;heading=89</t>
        </is>
      </c>
      <c r="K130" t="inlineStr">
        <is>
          <t>https://www.google.com/maps/search/?api=1&amp;query=33.177270,-117.275870</t>
        </is>
      </c>
      <c r="L130" t="inlineStr"/>
      <c r="M130" t="inlineStr"/>
      <c r="N130" t="inlineStr"/>
      <c r="O130" t="inlineStr"/>
      <c r="P130" t="inlineStr">
        <is>
          <t>pending</t>
        </is>
      </c>
      <c r="Q130" t="inlineStr"/>
      <c r="R130" t="inlineStr"/>
      <c r="S130" t="inlineStr"/>
      <c r="T130" t="inlineStr"/>
      <c r="U130" t="inlineStr"/>
      <c r="V130">
        <f>IF(OR(L130="",S130=""),"",IF(VALUE(L130)=VALUE(S130),"Y","N"))</f>
        <v/>
      </c>
      <c r="W130">
        <f>IF(V130="Y",S130,"")</f>
        <v/>
      </c>
      <c r="X130" t="inlineStr">
        <is>
          <t>unverified: map has no limit (guessed from road type); main road: what is posted? 35 or lower opens it to LSVs</t>
        </is>
      </c>
      <c r="Y130" t="inlineStr"/>
      <c r="Z130" t="n">
        <v>3432</v>
      </c>
      <c r="AA130" t="inlineStr">
        <is>
          <t>sd</t>
        </is>
      </c>
      <c r="AB130" t="inlineStr">
        <is>
          <t>sd|33.17727,-117.27587</t>
        </is>
      </c>
    </row>
    <row r="131">
      <c r="A131" t="inlineStr">
        <is>
          <t>SD-B2-130</t>
        </is>
      </c>
      <c r="B131" t="inlineStr">
        <is>
          <t>San Diego area</t>
        </is>
      </c>
      <c r="C131" t="inlineStr">
        <is>
          <t>Hacienda Drive</t>
        </is>
      </c>
      <c r="D131" t="inlineStr">
        <is>
          <t>(see map link)</t>
        </is>
      </c>
      <c r="E131" t="inlineStr">
        <is>
          <t>South Emerald Drive</t>
        </is>
      </c>
      <c r="F131" t="inlineStr">
        <is>
          <t>6018617</t>
        </is>
      </c>
      <c r="G131" t="inlineStr"/>
      <c r="H131" t="inlineStr">
        <is>
          <t>inferred</t>
        </is>
      </c>
      <c r="I131" t="inlineStr">
        <is>
          <t>no</t>
        </is>
      </c>
      <c r="J131" t="inlineStr">
        <is>
          <t>https://www.google.com/maps/@?api=1&amp;map_action=pano&amp;viewpoint=33.187160,-117.276480&amp;heading=78</t>
        </is>
      </c>
      <c r="K131" t="inlineStr">
        <is>
          <t>https://www.google.com/maps/search/?api=1&amp;query=33.187160,-117.276480</t>
        </is>
      </c>
      <c r="L131" t="inlineStr"/>
      <c r="M131" t="inlineStr"/>
      <c r="N131" t="inlineStr"/>
      <c r="O131" t="inlineStr"/>
      <c r="P131" t="inlineStr">
        <is>
          <t>pending</t>
        </is>
      </c>
      <c r="Q131" t="inlineStr"/>
      <c r="R131" t="inlineStr"/>
      <c r="S131" t="inlineStr"/>
      <c r="T131" t="inlineStr"/>
      <c r="U131" t="inlineStr"/>
      <c r="V131">
        <f>IF(OR(L131="",S131=""),"",IF(VALUE(L131)=VALUE(S131),"Y","N"))</f>
        <v/>
      </c>
      <c r="W131">
        <f>IF(V131="Y",S131,"")</f>
        <v/>
      </c>
      <c r="X131" t="inlineStr">
        <is>
          <t>unverified: map has no limit (guessed from road type); main road: what is posted? 35 or lower opens it to LSVs</t>
        </is>
      </c>
      <c r="Y131" t="inlineStr"/>
      <c r="Z131" t="n">
        <v>1539</v>
      </c>
      <c r="AA131" t="inlineStr">
        <is>
          <t>sd</t>
        </is>
      </c>
      <c r="AB131" t="inlineStr">
        <is>
          <t>sd|33.18716,-117.27648</t>
        </is>
      </c>
    </row>
    <row r="132">
      <c r="A132" t="inlineStr">
        <is>
          <t>SD-B2-131</t>
        </is>
      </c>
      <c r="B132" t="inlineStr">
        <is>
          <t>San Diego area</t>
        </is>
      </c>
      <c r="C132" t="inlineStr">
        <is>
          <t>West Vista Way</t>
        </is>
      </c>
      <c r="D132" t="inlineStr">
        <is>
          <t>(see map link)</t>
        </is>
      </c>
      <c r="E132" t="inlineStr">
        <is>
          <t>Santa Clara Drive</t>
        </is>
      </c>
      <c r="F132" t="inlineStr">
        <is>
          <t>1380174280</t>
        </is>
      </c>
      <c r="G132" t="inlineStr"/>
      <c r="H132" t="inlineStr">
        <is>
          <t>inferred</t>
        </is>
      </c>
      <c r="I132" t="inlineStr">
        <is>
          <t>no</t>
        </is>
      </c>
      <c r="J132" t="inlineStr">
        <is>
          <t>https://www.google.com/maps/@?api=1&amp;map_action=pano&amp;viewpoint=33.194400,-117.265050&amp;heading=262</t>
        </is>
      </c>
      <c r="K132" t="inlineStr">
        <is>
          <t>https://www.google.com/maps/search/?api=1&amp;query=33.194400,-117.265050</t>
        </is>
      </c>
      <c r="L132" t="inlineStr"/>
      <c r="M132" t="inlineStr"/>
      <c r="N132" t="inlineStr"/>
      <c r="O132" t="inlineStr"/>
      <c r="P132" t="inlineStr">
        <is>
          <t>pending</t>
        </is>
      </c>
      <c r="Q132" t="inlineStr"/>
      <c r="R132" t="inlineStr"/>
      <c r="S132" t="inlineStr"/>
      <c r="T132" t="inlineStr"/>
      <c r="U132" t="inlineStr"/>
      <c r="V132">
        <f>IF(OR(L132="",S132=""),"",IF(VALUE(L132)=VALUE(S132),"Y","N"))</f>
        <v/>
      </c>
      <c r="W132">
        <f>IF(V132="Y",S132,"")</f>
        <v/>
      </c>
      <c r="X132" t="inlineStr">
        <is>
          <t>unverified: map has no limit (guessed from road type); main road: what is posted? 35 or lower opens it to LSVs</t>
        </is>
      </c>
      <c r="Y132" t="inlineStr"/>
      <c r="Z132" t="n">
        <v>1890</v>
      </c>
      <c r="AA132" t="inlineStr">
        <is>
          <t>sd</t>
        </is>
      </c>
      <c r="AB132" t="inlineStr">
        <is>
          <t>sd|33.19440,-117.26505</t>
        </is>
      </c>
    </row>
    <row r="133">
      <c r="A133" t="inlineStr">
        <is>
          <t>SD-B2-132</t>
        </is>
      </c>
      <c r="B133" t="inlineStr">
        <is>
          <t>San Diego area</t>
        </is>
      </c>
      <c r="C133" t="inlineStr">
        <is>
          <t>Mission Avenue</t>
        </is>
      </c>
      <c r="D133" t="inlineStr">
        <is>
          <t>Bali Way</t>
        </is>
      </c>
      <c r="E133" t="inlineStr">
        <is>
          <t>Old Grove Road</t>
        </is>
      </c>
      <c r="F133" t="inlineStr">
        <is>
          <t>77687341</t>
        </is>
      </c>
      <c r="G133" t="inlineStr"/>
      <c r="H133" t="inlineStr">
        <is>
          <t>inferred</t>
        </is>
      </c>
      <c r="I133" t="inlineStr">
        <is>
          <t>no</t>
        </is>
      </c>
      <c r="J133" t="inlineStr">
        <is>
          <t>https://www.google.com/maps/@?api=1&amp;map_action=pano&amp;viewpoint=33.236240,-117.297800&amp;heading=229</t>
        </is>
      </c>
      <c r="K133" t="inlineStr">
        <is>
          <t>https://www.google.com/maps/search/?api=1&amp;query=33.236240,-117.297800</t>
        </is>
      </c>
      <c r="L133" t="inlineStr"/>
      <c r="M133" t="inlineStr"/>
      <c r="N133" t="inlineStr"/>
      <c r="O133" t="inlineStr"/>
      <c r="P133" t="inlineStr">
        <is>
          <t>pending</t>
        </is>
      </c>
      <c r="Q133" t="inlineStr"/>
      <c r="R133" t="inlineStr"/>
      <c r="S133" t="inlineStr"/>
      <c r="T133" t="inlineStr"/>
      <c r="U133" t="inlineStr"/>
      <c r="V133">
        <f>IF(OR(L133="",S133=""),"",IF(VALUE(L133)=VALUE(S133),"Y","N"))</f>
        <v/>
      </c>
      <c r="W133">
        <f>IF(V133="Y",S133,"")</f>
        <v/>
      </c>
      <c r="X133" t="inlineStr">
        <is>
          <t>unverified: map has no limit (guessed from road type); main road: what is posted? 35 or lower opens it to LSVs</t>
        </is>
      </c>
      <c r="Y133" t="inlineStr"/>
      <c r="Z133" t="n">
        <v>2295</v>
      </c>
      <c r="AA133" t="inlineStr">
        <is>
          <t>sd</t>
        </is>
      </c>
      <c r="AB133" t="inlineStr">
        <is>
          <t>sd|33.23624,-117.29780</t>
        </is>
      </c>
    </row>
    <row r="134">
      <c r="A134" t="inlineStr">
        <is>
          <t>SD-B2-133</t>
        </is>
      </c>
      <c r="B134" t="inlineStr">
        <is>
          <t>San Diego area</t>
        </is>
      </c>
      <c r="C134" t="inlineStr">
        <is>
          <t>Old Grove Road</t>
        </is>
      </c>
      <c r="D134" t="inlineStr">
        <is>
          <t>Avenida del Oro</t>
        </is>
      </c>
      <c r="E134" t="inlineStr">
        <is>
          <t>Scarlet Oak Way</t>
        </is>
      </c>
      <c r="F134" t="inlineStr">
        <is>
          <t>643756070</t>
        </is>
      </c>
      <c r="G134" t="inlineStr"/>
      <c r="H134" t="inlineStr">
        <is>
          <t>inferred</t>
        </is>
      </c>
      <c r="I134" t="inlineStr">
        <is>
          <t>no</t>
        </is>
      </c>
      <c r="J134" t="inlineStr">
        <is>
          <t>https://www.google.com/maps/@?api=1&amp;map_action=pano&amp;viewpoint=33.215970,-117.291320&amp;heading=97</t>
        </is>
      </c>
      <c r="K134" t="inlineStr">
        <is>
          <t>https://www.google.com/maps/search/?api=1&amp;query=33.215970,-117.291320</t>
        </is>
      </c>
      <c r="L134" t="inlineStr"/>
      <c r="M134" t="inlineStr"/>
      <c r="N134" t="inlineStr"/>
      <c r="O134" t="inlineStr"/>
      <c r="P134" t="inlineStr">
        <is>
          <t>pending</t>
        </is>
      </c>
      <c r="Q134" t="inlineStr"/>
      <c r="R134" t="inlineStr"/>
      <c r="S134" t="inlineStr"/>
      <c r="T134" t="inlineStr"/>
      <c r="U134" t="inlineStr"/>
      <c r="V134">
        <f>IF(OR(L134="",S134=""),"",IF(VALUE(L134)=VALUE(S134),"Y","N"))</f>
        <v/>
      </c>
      <c r="W134">
        <f>IF(V134="Y",S134,"")</f>
        <v/>
      </c>
      <c r="X134" t="inlineStr">
        <is>
          <t>unverified: map has no limit (guessed from road type); main road: what is posted? 35 or lower opens it to LSVs</t>
        </is>
      </c>
      <c r="Y134" t="inlineStr"/>
      <c r="Z134" t="n">
        <v>3407</v>
      </c>
      <c r="AA134" t="inlineStr">
        <is>
          <t>sd</t>
        </is>
      </c>
      <c r="AB134" t="inlineStr">
        <is>
          <t>sd|33.21597,-117.29132</t>
        </is>
      </c>
    </row>
    <row r="135">
      <c r="A135" t="inlineStr">
        <is>
          <t>SD-B2-134</t>
        </is>
      </c>
      <c r="B135" t="inlineStr">
        <is>
          <t>San Diego area</t>
        </is>
      </c>
      <c r="C135" t="inlineStr">
        <is>
          <t>Old Grove Road</t>
        </is>
      </c>
      <c r="D135" t="inlineStr">
        <is>
          <t>Ocean Ranch Boulevard</t>
        </is>
      </c>
      <c r="E135" t="inlineStr">
        <is>
          <t>College Boulevard</t>
        </is>
      </c>
      <c r="F135" t="inlineStr">
        <is>
          <t>1342575249</t>
        </is>
      </c>
      <c r="G135" t="inlineStr"/>
      <c r="H135" t="inlineStr">
        <is>
          <t>inferred</t>
        </is>
      </c>
      <c r="I135" t="inlineStr">
        <is>
          <t>no</t>
        </is>
      </c>
      <c r="J135" t="inlineStr">
        <is>
          <t>https://www.google.com/maps/@?api=1&amp;map_action=pano&amp;viewpoint=33.220980,-117.299700&amp;heading=322</t>
        </is>
      </c>
      <c r="K135" t="inlineStr">
        <is>
          <t>https://www.google.com/maps/search/?api=1&amp;query=33.220980,-117.299700</t>
        </is>
      </c>
      <c r="L135" t="inlineStr"/>
      <c r="M135" t="inlineStr"/>
      <c r="N135" t="inlineStr"/>
      <c r="O135" t="inlineStr"/>
      <c r="P135" t="inlineStr">
        <is>
          <t>pending</t>
        </is>
      </c>
      <c r="Q135" t="inlineStr"/>
      <c r="R135" t="inlineStr"/>
      <c r="S135" t="inlineStr"/>
      <c r="T135" t="inlineStr"/>
      <c r="U135" t="inlineStr"/>
      <c r="V135">
        <f>IF(OR(L135="",S135=""),"",IF(VALUE(L135)=VALUE(S135),"Y","N"))</f>
        <v/>
      </c>
      <c r="W135">
        <f>IF(V135="Y",S135,"")</f>
        <v/>
      </c>
      <c r="X135" t="inlineStr">
        <is>
          <t>unverified: map has no limit (guessed from road type); main road: what is posted? 35 or lower opens it to LSVs</t>
        </is>
      </c>
      <c r="Y135" t="inlineStr"/>
      <c r="Z135" t="n">
        <v>3394</v>
      </c>
      <c r="AA135" t="inlineStr">
        <is>
          <t>sd</t>
        </is>
      </c>
      <c r="AB135" t="inlineStr">
        <is>
          <t>sd|33.22098,-117.29970</t>
        </is>
      </c>
    </row>
    <row r="136">
      <c r="A136" t="inlineStr">
        <is>
          <t>SD-B2-135</t>
        </is>
      </c>
      <c r="B136" t="inlineStr">
        <is>
          <t>San Diego area</t>
        </is>
      </c>
      <c r="C136" t="inlineStr">
        <is>
          <t>Mesa Drive</t>
        </is>
      </c>
      <c r="D136" t="inlineStr">
        <is>
          <t>Old Grove Road</t>
        </is>
      </c>
      <c r="E136" t="inlineStr">
        <is>
          <t>Rancho del Oro Drive</t>
        </is>
      </c>
      <c r="F136" t="inlineStr">
        <is>
          <t>436564316</t>
        </is>
      </c>
      <c r="G136" t="inlineStr"/>
      <c r="H136" t="inlineStr">
        <is>
          <t>inferred</t>
        </is>
      </c>
      <c r="I136" t="inlineStr">
        <is>
          <t>no</t>
        </is>
      </c>
      <c r="J136" t="inlineStr">
        <is>
          <t>https://www.google.com/maps/@?api=1&amp;map_action=pano&amp;viewpoint=33.230420,-117.282270&amp;heading=224</t>
        </is>
      </c>
      <c r="K136" t="inlineStr">
        <is>
          <t>https://www.google.com/maps/search/?api=1&amp;query=33.230420,-117.282270</t>
        </is>
      </c>
      <c r="L136" t="inlineStr"/>
      <c r="M136" t="inlineStr"/>
      <c r="N136" t="inlineStr"/>
      <c r="O136" t="inlineStr"/>
      <c r="P136" t="inlineStr">
        <is>
          <t>pending</t>
        </is>
      </c>
      <c r="Q136" t="inlineStr"/>
      <c r="R136" t="inlineStr"/>
      <c r="S136" t="inlineStr"/>
      <c r="T136" t="inlineStr"/>
      <c r="U136" t="inlineStr"/>
      <c r="V136">
        <f>IF(OR(L136="",S136=""),"",IF(VALUE(L136)=VALUE(S136),"Y","N"))</f>
        <v/>
      </c>
      <c r="W136">
        <f>IF(V136="Y",S136,"")</f>
        <v/>
      </c>
      <c r="X136" t="inlineStr">
        <is>
          <t>unverified: map has no limit (guessed from road type); main road: what is posted? 35 or lower opens it to LSVs</t>
        </is>
      </c>
      <c r="Y136" t="inlineStr"/>
      <c r="Z136" t="n">
        <v>5683</v>
      </c>
      <c r="AA136" t="inlineStr">
        <is>
          <t>sd</t>
        </is>
      </c>
      <c r="AB136" t="inlineStr">
        <is>
          <t>sd|33.23042,-117.28227</t>
        </is>
      </c>
    </row>
    <row r="137">
      <c r="A137" t="inlineStr">
        <is>
          <t>SD-B2-136</t>
        </is>
      </c>
      <c r="B137" t="inlineStr">
        <is>
          <t>San Diego area</t>
        </is>
      </c>
      <c r="C137" t="inlineStr">
        <is>
          <t>Frazee Road</t>
        </is>
      </c>
      <c r="D137" t="inlineStr">
        <is>
          <t>San Luis Rey Mission Expressway</t>
        </is>
      </c>
      <c r="E137" t="inlineStr">
        <is>
          <t>Pala Road</t>
        </is>
      </c>
      <c r="F137" t="inlineStr">
        <is>
          <t>5991153</t>
        </is>
      </c>
      <c r="G137" t="inlineStr"/>
      <c r="H137" t="inlineStr">
        <is>
          <t>inferred</t>
        </is>
      </c>
      <c r="I137" t="inlineStr">
        <is>
          <t>no</t>
        </is>
      </c>
      <c r="J137" t="inlineStr">
        <is>
          <t>https://www.google.com/maps/@?api=1&amp;map_action=pano&amp;viewpoint=33.240900,-117.304200&amp;heading=69</t>
        </is>
      </c>
      <c r="K137" t="inlineStr">
        <is>
          <t>https://www.google.com/maps/search/?api=1&amp;query=33.240900,-117.304200</t>
        </is>
      </c>
      <c r="L137" t="inlineStr"/>
      <c r="M137" t="inlineStr"/>
      <c r="N137" t="inlineStr"/>
      <c r="O137" t="inlineStr"/>
      <c r="P137" t="inlineStr">
        <is>
          <t>pending</t>
        </is>
      </c>
      <c r="Q137" t="inlineStr"/>
      <c r="R137" t="inlineStr"/>
      <c r="S137" t="inlineStr"/>
      <c r="T137" t="inlineStr"/>
      <c r="U137" t="inlineStr"/>
      <c r="V137">
        <f>IF(OR(L137="",S137=""),"",IF(VALUE(L137)=VALUE(S137),"Y","N"))</f>
        <v/>
      </c>
      <c r="W137">
        <f>IF(V137="Y",S137,"")</f>
        <v/>
      </c>
      <c r="X137" t="inlineStr">
        <is>
          <t>unverified: map has no limit (guessed from road type); main road: what is posted? 35 or lower opens it to LSVs</t>
        </is>
      </c>
      <c r="Y137" t="inlineStr"/>
      <c r="Z137" t="n">
        <v>1851</v>
      </c>
      <c r="AA137" t="inlineStr">
        <is>
          <t>sd</t>
        </is>
      </c>
      <c r="AB137" t="inlineStr">
        <is>
          <t>sd|33.24090,-117.30420</t>
        </is>
      </c>
    </row>
    <row r="138">
      <c r="A138" t="inlineStr">
        <is>
          <t>SD-B2-137</t>
        </is>
      </c>
      <c r="B138" t="inlineStr">
        <is>
          <t>San Diego area</t>
        </is>
      </c>
      <c r="C138" t="inlineStr">
        <is>
          <t>Frazee Road</t>
        </is>
      </c>
      <c r="D138" t="inlineStr">
        <is>
          <t>College Boulevard</t>
        </is>
      </c>
      <c r="E138" t="inlineStr">
        <is>
          <t>Pala Road</t>
        </is>
      </c>
      <c r="F138" t="inlineStr">
        <is>
          <t>5957103</t>
        </is>
      </c>
      <c r="G138" t="inlineStr"/>
      <c r="H138" t="inlineStr">
        <is>
          <t>inferred</t>
        </is>
      </c>
      <c r="I138" t="inlineStr">
        <is>
          <t>no</t>
        </is>
      </c>
      <c r="J138" t="inlineStr">
        <is>
          <t>https://www.google.com/maps/@?api=1&amp;map_action=pano&amp;viewpoint=33.240900,-117.304620&amp;heading=253</t>
        </is>
      </c>
      <c r="K138" t="inlineStr">
        <is>
          <t>https://www.google.com/maps/search/?api=1&amp;query=33.240900,-117.304620</t>
        </is>
      </c>
      <c r="L138" t="inlineStr"/>
      <c r="M138" t="inlineStr"/>
      <c r="N138" t="inlineStr"/>
      <c r="O138" t="inlineStr"/>
      <c r="P138" t="inlineStr">
        <is>
          <t>pending</t>
        </is>
      </c>
      <c r="Q138" t="inlineStr"/>
      <c r="R138" t="inlineStr"/>
      <c r="S138" t="inlineStr"/>
      <c r="T138" t="inlineStr"/>
      <c r="U138" t="inlineStr"/>
      <c r="V138">
        <f>IF(OR(L138="",S138=""),"",IF(VALUE(L138)=VALUE(S138),"Y","N"))</f>
        <v/>
      </c>
      <c r="W138">
        <f>IF(V138="Y",S138,"")</f>
        <v/>
      </c>
      <c r="X138" t="inlineStr">
        <is>
          <t>unverified: map has no limit (guessed from road type); main road: what is posted? 35 or lower opens it to LSVs</t>
        </is>
      </c>
      <c r="Y138" t="inlineStr"/>
      <c r="Z138" t="n">
        <v>1876</v>
      </c>
      <c r="AA138" t="inlineStr">
        <is>
          <t>sd</t>
        </is>
      </c>
      <c r="AB138" t="inlineStr">
        <is>
          <t>sd|33.24090,-117.30462</t>
        </is>
      </c>
    </row>
    <row r="139">
      <c r="A139" t="inlineStr">
        <is>
          <t>SD-B2-138</t>
        </is>
      </c>
      <c r="B139" t="inlineStr">
        <is>
          <t>San Diego area</t>
        </is>
      </c>
      <c r="C139" t="inlineStr">
        <is>
          <t>Pontiac Drive</t>
        </is>
      </c>
      <c r="D139" t="inlineStr">
        <is>
          <t>Carlsbad Village Drive</t>
        </is>
      </c>
      <c r="E139" t="inlineStr">
        <is>
          <t>Tamarack Avenue</t>
        </is>
      </c>
      <c r="F139" t="inlineStr">
        <is>
          <t>6001871</t>
        </is>
      </c>
      <c r="G139" t="inlineStr"/>
      <c r="H139" t="inlineStr">
        <is>
          <t>inferred</t>
        </is>
      </c>
      <c r="I139" t="inlineStr">
        <is>
          <t>no</t>
        </is>
      </c>
      <c r="J139" t="inlineStr">
        <is>
          <t>https://www.google.com/maps/@?api=1&amp;map_action=pano&amp;viewpoint=33.160650,-117.310090&amp;heading=207</t>
        </is>
      </c>
      <c r="K139" t="inlineStr">
        <is>
          <t>https://www.google.com/maps/search/?api=1&amp;query=33.160650,-117.310090</t>
        </is>
      </c>
      <c r="L139" t="inlineStr"/>
      <c r="M139" t="inlineStr"/>
      <c r="N139" t="inlineStr"/>
      <c r="O139" t="inlineStr"/>
      <c r="P139" t="inlineStr">
        <is>
          <t>pending</t>
        </is>
      </c>
      <c r="Q139" t="inlineStr"/>
      <c r="R139" t="inlineStr"/>
      <c r="S139" t="inlineStr"/>
      <c r="T139" t="inlineStr"/>
      <c r="U139" t="inlineStr"/>
      <c r="V139">
        <f>IF(OR(L139="",S139=""),"",IF(VALUE(L139)=VALUE(S139),"Y","N"))</f>
        <v/>
      </c>
      <c r="W139">
        <f>IF(V139="Y",S139,"")</f>
        <v/>
      </c>
      <c r="X139" t="inlineStr">
        <is>
          <t>unverified: map has no limit (guessed from road type); main road: what is posted? 35 or lower opens it to LSVs</t>
        </is>
      </c>
      <c r="Y139" t="inlineStr"/>
      <c r="Z139" t="n">
        <v>1945</v>
      </c>
      <c r="AA139" t="inlineStr">
        <is>
          <t>sd</t>
        </is>
      </c>
      <c r="AB139" t="inlineStr">
        <is>
          <t>sd|33.16065,-117.31009</t>
        </is>
      </c>
    </row>
    <row r="140">
      <c r="A140" t="inlineStr">
        <is>
          <t>SD-B2-139</t>
        </is>
      </c>
      <c r="B140" t="inlineStr">
        <is>
          <t>San Diego area</t>
        </is>
      </c>
      <c r="C140" t="inlineStr">
        <is>
          <t>Jefferson Street</t>
        </is>
      </c>
      <c r="D140" t="inlineStr">
        <is>
          <t>Laguna Drive</t>
        </is>
      </c>
      <c r="E140" t="inlineStr">
        <is>
          <t>Carlsbad Village Drive</t>
        </is>
      </c>
      <c r="F140" t="inlineStr">
        <is>
          <t>26599459</t>
        </is>
      </c>
      <c r="G140" t="inlineStr"/>
      <c r="H140" t="inlineStr">
        <is>
          <t>inferred</t>
        </is>
      </c>
      <c r="I140" t="inlineStr">
        <is>
          <t>no</t>
        </is>
      </c>
      <c r="J140" t="inlineStr">
        <is>
          <t>https://www.google.com/maps/@?api=1&amp;map_action=pano&amp;viewpoint=33.175650,-117.344390&amp;heading=42</t>
        </is>
      </c>
      <c r="K140" t="inlineStr">
        <is>
          <t>https://www.google.com/maps/search/?api=1&amp;query=33.175650,-117.344390</t>
        </is>
      </c>
      <c r="L140" t="inlineStr"/>
      <c r="M140" t="inlineStr"/>
      <c r="N140" t="inlineStr"/>
      <c r="O140" t="inlineStr"/>
      <c r="P140" t="inlineStr">
        <is>
          <t>pending</t>
        </is>
      </c>
      <c r="Q140" t="inlineStr"/>
      <c r="R140" t="inlineStr"/>
      <c r="S140" t="inlineStr"/>
      <c r="T140" t="inlineStr"/>
      <c r="U140" t="inlineStr"/>
      <c r="V140">
        <f>IF(OR(L140="",S140=""),"",IF(VALUE(L140)=VALUE(S140),"Y","N"))</f>
        <v/>
      </c>
      <c r="W140">
        <f>IF(V140="Y",S140,"")</f>
        <v/>
      </c>
      <c r="X140" t="inlineStr">
        <is>
          <t>unverified: map has no limit (guessed from road type); main road: what is posted? 35 or lower opens it to LSVs</t>
        </is>
      </c>
      <c r="Y140" t="inlineStr"/>
      <c r="Z140" t="n">
        <v>3376</v>
      </c>
      <c r="AA140" t="inlineStr">
        <is>
          <t>sd</t>
        </is>
      </c>
      <c r="AB140" t="inlineStr">
        <is>
          <t>sd|33.17565,-117.34439</t>
        </is>
      </c>
    </row>
    <row r="141">
      <c r="A141" t="inlineStr">
        <is>
          <t>SD-B2-140</t>
        </is>
      </c>
      <c r="B141" t="inlineStr">
        <is>
          <t>San Diego area</t>
        </is>
      </c>
      <c r="C141" t="inlineStr">
        <is>
          <t>Armada Drive</t>
        </is>
      </c>
      <c r="D141" t="inlineStr">
        <is>
          <t>Fleet Street</t>
        </is>
      </c>
      <c r="E141" t="inlineStr">
        <is>
          <t>Palomar Airport Road</t>
        </is>
      </c>
      <c r="F141" t="inlineStr">
        <is>
          <t>436424235</t>
        </is>
      </c>
      <c r="G141" t="inlineStr"/>
      <c r="H141" t="inlineStr">
        <is>
          <t>inferred</t>
        </is>
      </c>
      <c r="I141" t="inlineStr">
        <is>
          <t>no</t>
        </is>
      </c>
      <c r="J141" t="inlineStr">
        <is>
          <t>https://www.google.com/maps/@?api=1&amp;map_action=pano&amp;viewpoint=33.124260,-117.313380&amp;heading=348</t>
        </is>
      </c>
      <c r="K141" t="inlineStr">
        <is>
          <t>https://www.google.com/maps/search/?api=1&amp;query=33.124260,-117.313380</t>
        </is>
      </c>
      <c r="L141" t="inlineStr"/>
      <c r="M141" t="inlineStr"/>
      <c r="N141" t="inlineStr"/>
      <c r="O141" t="inlineStr"/>
      <c r="P141" t="inlineStr">
        <is>
          <t>pending</t>
        </is>
      </c>
      <c r="Q141" t="inlineStr"/>
      <c r="R141" t="inlineStr"/>
      <c r="S141" t="inlineStr"/>
      <c r="T141" t="inlineStr"/>
      <c r="U141" t="inlineStr"/>
      <c r="V141">
        <f>IF(OR(L141="",S141=""),"",IF(VALUE(L141)=VALUE(S141),"Y","N"))</f>
        <v/>
      </c>
      <c r="W141">
        <f>IF(V141="Y",S141,"")</f>
        <v/>
      </c>
      <c r="X141" t="inlineStr">
        <is>
          <t>unverified: map has no limit (guessed from road type); main road: what is posted? 35 or lower opens it to LSVs</t>
        </is>
      </c>
      <c r="Y141" t="inlineStr"/>
      <c r="Z141" t="n">
        <v>2589</v>
      </c>
      <c r="AA141" t="inlineStr">
        <is>
          <t>sd</t>
        </is>
      </c>
      <c r="AB141" t="inlineStr">
        <is>
          <t>sd|33.12426,-117.31338</t>
        </is>
      </c>
    </row>
    <row r="142">
      <c r="A142" t="inlineStr">
        <is>
          <t>SD-B2-141</t>
        </is>
      </c>
      <c r="B142" t="inlineStr">
        <is>
          <t>San Diego area</t>
        </is>
      </c>
      <c r="C142" t="inlineStr">
        <is>
          <t>Fire Mountain Drive</t>
        </is>
      </c>
      <c r="D142" t="inlineStr">
        <is>
          <t>(see map link)</t>
        </is>
      </c>
      <c r="E142" t="inlineStr">
        <is>
          <t>Skyline Drive</t>
        </is>
      </c>
      <c r="F142" t="inlineStr">
        <is>
          <t>6041805</t>
        </is>
      </c>
      <c r="G142" t="inlineStr"/>
      <c r="H142" t="inlineStr">
        <is>
          <t>inferred</t>
        </is>
      </c>
      <c r="I142" t="inlineStr">
        <is>
          <t>no</t>
        </is>
      </c>
      <c r="J142" t="inlineStr">
        <is>
          <t>https://www.google.com/maps/@?api=1&amp;map_action=pano&amp;viewpoint=33.193050,-117.331910&amp;heading=91</t>
        </is>
      </c>
      <c r="K142" t="inlineStr">
        <is>
          <t>https://www.google.com/maps/search/?api=1&amp;query=33.193050,-117.331910</t>
        </is>
      </c>
      <c r="L142" t="inlineStr"/>
      <c r="M142" t="inlineStr"/>
      <c r="N142" t="inlineStr"/>
      <c r="O142" t="inlineStr"/>
      <c r="P142" t="inlineStr">
        <is>
          <t>pending</t>
        </is>
      </c>
      <c r="Q142" t="inlineStr"/>
      <c r="R142" t="inlineStr"/>
      <c r="S142" t="inlineStr"/>
      <c r="T142" t="inlineStr"/>
      <c r="U142" t="inlineStr"/>
      <c r="V142">
        <f>IF(OR(L142="",S142=""),"",IF(VALUE(L142)=VALUE(S142),"Y","N"))</f>
        <v/>
      </c>
      <c r="W142">
        <f>IF(V142="Y",S142,"")</f>
        <v/>
      </c>
      <c r="X142" t="inlineStr">
        <is>
          <t>unverified: map has no limit (guessed from road type); main road: what is posted? 35 or lower opens it to LSVs</t>
        </is>
      </c>
      <c r="Y142" t="inlineStr"/>
      <c r="Z142" t="n">
        <v>1831</v>
      </c>
      <c r="AA142" t="inlineStr">
        <is>
          <t>sd</t>
        </is>
      </c>
      <c r="AB142" t="inlineStr">
        <is>
          <t>sd|33.19305,-117.33191</t>
        </is>
      </c>
    </row>
    <row r="143">
      <c r="A143" t="inlineStr">
        <is>
          <t>SD-B2-142</t>
        </is>
      </c>
      <c r="B143" t="inlineStr">
        <is>
          <t>San Diego area</t>
        </is>
      </c>
      <c r="C143" t="inlineStr">
        <is>
          <t>Marron Road</t>
        </is>
      </c>
      <c r="D143" t="inlineStr">
        <is>
          <t>Jefferson Street</t>
        </is>
      </c>
      <c r="E143" t="inlineStr">
        <is>
          <t>El Camino Real</t>
        </is>
      </c>
      <c r="F143" t="inlineStr">
        <is>
          <t>436305092</t>
        </is>
      </c>
      <c r="G143" t="inlineStr"/>
      <c r="H143" t="inlineStr">
        <is>
          <t>inferred</t>
        </is>
      </c>
      <c r="I143" t="inlineStr">
        <is>
          <t>no</t>
        </is>
      </c>
      <c r="J143" t="inlineStr">
        <is>
          <t>https://www.google.com/maps/@?api=1&amp;map_action=pano&amp;viewpoint=33.176770,-117.331510&amp;heading=270</t>
        </is>
      </c>
      <c r="K143" t="inlineStr">
        <is>
          <t>https://www.google.com/maps/search/?api=1&amp;query=33.176770,-117.331510</t>
        </is>
      </c>
      <c r="L143" t="inlineStr"/>
      <c r="M143" t="inlineStr"/>
      <c r="N143" t="inlineStr"/>
      <c r="O143" t="inlineStr"/>
      <c r="P143" t="inlineStr">
        <is>
          <t>pending</t>
        </is>
      </c>
      <c r="Q143" t="inlineStr"/>
      <c r="R143" t="inlineStr"/>
      <c r="S143" t="inlineStr"/>
      <c r="T143" t="inlineStr"/>
      <c r="U143" t="inlineStr"/>
      <c r="V143">
        <f>IF(OR(L143="",S143=""),"",IF(VALUE(L143)=VALUE(S143),"Y","N"))</f>
        <v/>
      </c>
      <c r="W143">
        <f>IF(V143="Y",S143,"")</f>
        <v/>
      </c>
      <c r="X143" t="inlineStr">
        <is>
          <t>unverified: map has no limit (guessed from road type); main road: what is posted? 35 or lower opens it to LSVs</t>
        </is>
      </c>
      <c r="Y143" t="inlineStr"/>
      <c r="Z143" t="n">
        <v>1511</v>
      </c>
      <c r="AA143" t="inlineStr">
        <is>
          <t>sd</t>
        </is>
      </c>
      <c r="AB143" t="inlineStr">
        <is>
          <t>sd|33.17677,-117.33151</t>
        </is>
      </c>
    </row>
    <row r="144">
      <c r="A144" t="inlineStr">
        <is>
          <t>SD-B2-143</t>
        </is>
      </c>
      <c r="B144" t="inlineStr">
        <is>
          <t>San Diego area</t>
        </is>
      </c>
      <c r="C144" t="inlineStr">
        <is>
          <t>Canyon Drive</t>
        </is>
      </c>
      <c r="D144" t="inlineStr">
        <is>
          <t>Crouch Street</t>
        </is>
      </c>
      <c r="E144" t="inlineStr">
        <is>
          <t>Mission Avenue</t>
        </is>
      </c>
      <c r="F144" t="inlineStr">
        <is>
          <t>225813009</t>
        </is>
      </c>
      <c r="G144" t="inlineStr"/>
      <c r="H144" t="inlineStr">
        <is>
          <t>inferred</t>
        </is>
      </c>
      <c r="I144" t="inlineStr">
        <is>
          <t>no</t>
        </is>
      </c>
      <c r="J144" t="inlineStr">
        <is>
          <t>https://www.google.com/maps/@?api=1&amp;map_action=pano&amp;viewpoint=33.203040,-117.358630&amp;heading=310</t>
        </is>
      </c>
      <c r="K144" t="inlineStr">
        <is>
          <t>https://www.google.com/maps/search/?api=1&amp;query=33.203040,-117.358630</t>
        </is>
      </c>
      <c r="L144" t="inlineStr"/>
      <c r="M144" t="inlineStr"/>
      <c r="N144" t="inlineStr"/>
      <c r="O144" t="inlineStr"/>
      <c r="P144" t="inlineStr">
        <is>
          <t>pending</t>
        </is>
      </c>
      <c r="Q144" t="inlineStr"/>
      <c r="R144" t="inlineStr"/>
      <c r="S144" t="inlineStr"/>
      <c r="T144" t="inlineStr"/>
      <c r="U144" t="inlineStr"/>
      <c r="V144">
        <f>IF(OR(L144="",S144=""),"",IF(VALUE(L144)=VALUE(S144),"Y","N"))</f>
        <v/>
      </c>
      <c r="W144">
        <f>IF(V144="Y",S144,"")</f>
        <v/>
      </c>
      <c r="X144" t="inlineStr">
        <is>
          <t>unverified: map has no limit (guessed from road type); main road: what is posted? 35 or lower opens it to LSVs</t>
        </is>
      </c>
      <c r="Y144" t="inlineStr"/>
      <c r="Z144" t="n">
        <v>1835</v>
      </c>
      <c r="AA144" t="inlineStr">
        <is>
          <t>sd</t>
        </is>
      </c>
      <c r="AB144" t="inlineStr">
        <is>
          <t>sd|33.20304,-117.35863</t>
        </is>
      </c>
    </row>
    <row r="145">
      <c r="A145" t="inlineStr">
        <is>
          <t>SD-B2-144</t>
        </is>
      </c>
      <c r="B145" t="inlineStr">
        <is>
          <t>San Diego area</t>
        </is>
      </c>
      <c r="C145" t="inlineStr">
        <is>
          <t>Douglas Drive</t>
        </is>
      </c>
      <c r="D145" t="inlineStr">
        <is>
          <t>San Luis Rey Mission Expressway</t>
        </is>
      </c>
      <c r="E145" t="inlineStr">
        <is>
          <t>Mission Avenue</t>
        </is>
      </c>
      <c r="F145" t="inlineStr">
        <is>
          <t>1028211285</t>
        </is>
      </c>
      <c r="G145" t="inlineStr"/>
      <c r="H145" t="inlineStr">
        <is>
          <t>inferred</t>
        </is>
      </c>
      <c r="I145" t="inlineStr">
        <is>
          <t>no</t>
        </is>
      </c>
      <c r="J145" t="inlineStr">
        <is>
          <t>https://www.google.com/maps/@?api=1&amp;map_action=pano&amp;viewpoint=33.258910,-117.310690&amp;heading=208</t>
        </is>
      </c>
      <c r="K145" t="inlineStr">
        <is>
          <t>https://www.google.com/maps/search/?api=1&amp;query=33.258910,-117.310690</t>
        </is>
      </c>
      <c r="L145" t="inlineStr"/>
      <c r="M145" t="inlineStr"/>
      <c r="N145" t="inlineStr"/>
      <c r="O145" t="inlineStr"/>
      <c r="P145" t="inlineStr">
        <is>
          <t>pending</t>
        </is>
      </c>
      <c r="Q145" t="inlineStr"/>
      <c r="R145" t="inlineStr"/>
      <c r="S145" t="inlineStr"/>
      <c r="T145" t="inlineStr"/>
      <c r="U145" t="inlineStr"/>
      <c r="V145">
        <f>IF(OR(L145="",S145=""),"",IF(VALUE(L145)=VALUE(S145),"Y","N"))</f>
        <v/>
      </c>
      <c r="W145">
        <f>IF(V145="Y",S145,"")</f>
        <v/>
      </c>
      <c r="X145" t="inlineStr">
        <is>
          <t>unverified: map has no limit (guessed from road type); main road: what is posted? 35 or lower opens it to LSVs</t>
        </is>
      </c>
      <c r="Y145" t="inlineStr"/>
      <c r="Z145" t="n">
        <v>7023</v>
      </c>
      <c r="AA145" t="inlineStr">
        <is>
          <t>sd</t>
        </is>
      </c>
      <c r="AB145" t="inlineStr">
        <is>
          <t>sd|33.25891,-117.31069</t>
        </is>
      </c>
    </row>
    <row r="146">
      <c r="A146" t="inlineStr">
        <is>
          <t>SD-B2-145</t>
        </is>
      </c>
      <c r="B146" t="inlineStr">
        <is>
          <t>San Diego area</t>
        </is>
      </c>
      <c r="C146" t="inlineStr">
        <is>
          <t>Qualcomm Way</t>
        </is>
      </c>
      <c r="D146" t="inlineStr">
        <is>
          <t>(see map link)</t>
        </is>
      </c>
      <c r="E146" t="inlineStr">
        <is>
          <t>Texas Street</t>
        </is>
      </c>
      <c r="F146" t="inlineStr">
        <is>
          <t>436420717</t>
        </is>
      </c>
      <c r="G146" t="inlineStr"/>
      <c r="H146" t="inlineStr">
        <is>
          <t>inferred</t>
        </is>
      </c>
      <c r="I146" t="inlineStr">
        <is>
          <t>no</t>
        </is>
      </c>
      <c r="J146" t="inlineStr">
        <is>
          <t>https://www.google.com/maps/@?api=1&amp;map_action=pano&amp;viewpoint=32.775110,-117.140915&amp;heading=346</t>
        </is>
      </c>
      <c r="K146" t="inlineStr">
        <is>
          <t>https://www.google.com/maps/search/?api=1&amp;query=32.775110,-117.140915</t>
        </is>
      </c>
      <c r="L146" t="inlineStr"/>
      <c r="M146" t="inlineStr"/>
      <c r="N146" t="inlineStr"/>
      <c r="O146" t="inlineStr"/>
      <c r="P146" t="inlineStr">
        <is>
          <t>pending</t>
        </is>
      </c>
      <c r="Q146" t="inlineStr"/>
      <c r="R146" t="inlineStr"/>
      <c r="S146" t="inlineStr"/>
      <c r="T146" t="inlineStr"/>
      <c r="U146" t="inlineStr"/>
      <c r="V146">
        <f>IF(OR(L146="",S146=""),"",IF(VALUE(L146)=VALUE(S146),"Y","N"))</f>
        <v/>
      </c>
      <c r="W146">
        <f>IF(V146="Y",S146,"")</f>
        <v/>
      </c>
      <c r="X146" t="inlineStr">
        <is>
          <t>unverified: map has no limit (guessed from road type); main road: what is posted? 35 or lower opens it to LSVs</t>
        </is>
      </c>
      <c r="Y146" t="inlineStr"/>
      <c r="Z146" t="n">
        <v>1222</v>
      </c>
      <c r="AA146" t="inlineStr">
        <is>
          <t>sd</t>
        </is>
      </c>
      <c r="AB146" t="inlineStr">
        <is>
          <t>sd|32.77511,-117.14092</t>
        </is>
      </c>
    </row>
    <row r="147">
      <c r="A147" t="inlineStr">
        <is>
          <t>SD-B2-146</t>
        </is>
      </c>
      <c r="B147" t="inlineStr">
        <is>
          <t>San Diego area</t>
        </is>
      </c>
      <c r="C147" t="inlineStr">
        <is>
          <t>West Morena Boulevard</t>
        </is>
      </c>
      <c r="D147" t="inlineStr">
        <is>
          <t>Morena Boulevard</t>
        </is>
      </c>
      <c r="E147" t="inlineStr">
        <is>
          <t>Buenos Avenue</t>
        </is>
      </c>
      <c r="F147" t="inlineStr">
        <is>
          <t>767428578</t>
        </is>
      </c>
      <c r="G147" t="inlineStr"/>
      <c r="H147" t="inlineStr">
        <is>
          <t>inferred</t>
        </is>
      </c>
      <c r="I147" t="inlineStr">
        <is>
          <t>no</t>
        </is>
      </c>
      <c r="J147" t="inlineStr">
        <is>
          <t>https://www.google.com/maps/@?api=1&amp;map_action=pano&amp;viewpoint=32.771910,-117.205520&amp;heading=331</t>
        </is>
      </c>
      <c r="K147" t="inlineStr">
        <is>
          <t>https://www.google.com/maps/search/?api=1&amp;query=32.771910,-117.205520</t>
        </is>
      </c>
      <c r="L147" t="inlineStr"/>
      <c r="M147" t="inlineStr"/>
      <c r="N147" t="inlineStr"/>
      <c r="O147" t="inlineStr"/>
      <c r="P147" t="inlineStr">
        <is>
          <t>pending</t>
        </is>
      </c>
      <c r="Q147" t="inlineStr"/>
      <c r="R147" t="inlineStr"/>
      <c r="S147" t="inlineStr"/>
      <c r="T147" t="inlineStr"/>
      <c r="U147" t="inlineStr"/>
      <c r="V147">
        <f>IF(OR(L147="",S147=""),"",IF(VALUE(L147)=VALUE(S147),"Y","N"))</f>
        <v/>
      </c>
      <c r="W147">
        <f>IF(V147="Y",S147,"")</f>
        <v/>
      </c>
      <c r="X147" t="inlineStr">
        <is>
          <t>unverified: map has no limit (guessed from road type); main road: what is posted? 35 or lower opens it to LSVs</t>
        </is>
      </c>
      <c r="Y147" t="inlineStr"/>
      <c r="Z147" t="n">
        <v>1196</v>
      </c>
      <c r="AA147" t="inlineStr">
        <is>
          <t>sd</t>
        </is>
      </c>
      <c r="AB147" t="inlineStr">
        <is>
          <t>sd|32.77191,-117.20552</t>
        </is>
      </c>
    </row>
    <row r="148">
      <c r="A148" t="inlineStr">
        <is>
          <t>SD-B2-147</t>
        </is>
      </c>
      <c r="B148" t="inlineStr">
        <is>
          <t>San Diego area</t>
        </is>
      </c>
      <c r="C148" t="inlineStr">
        <is>
          <t>College Boulevard</t>
        </is>
      </c>
      <c r="D148" t="inlineStr">
        <is>
          <t>Frazee Road</t>
        </is>
      </c>
      <c r="E148" t="inlineStr">
        <is>
          <t>Chroma Drive</t>
        </is>
      </c>
      <c r="F148" t="inlineStr">
        <is>
          <t>1246057631</t>
        </is>
      </c>
      <c r="G148" t="inlineStr"/>
      <c r="H148" t="inlineStr">
        <is>
          <t>inferred</t>
        </is>
      </c>
      <c r="I148" t="inlineStr">
        <is>
          <t>no</t>
        </is>
      </c>
      <c r="J148" t="inlineStr">
        <is>
          <t>https://www.google.com/maps/@?api=1&amp;map_action=pano&amp;viewpoint=33.233410,-117.292680&amp;heading=184</t>
        </is>
      </c>
      <c r="K148" t="inlineStr">
        <is>
          <t>https://www.google.com/maps/search/?api=1&amp;query=33.233410,-117.292680</t>
        </is>
      </c>
      <c r="L148" t="inlineStr"/>
      <c r="M148" t="inlineStr"/>
      <c r="N148" t="inlineStr"/>
      <c r="O148" t="inlineStr"/>
      <c r="P148" t="inlineStr">
        <is>
          <t>pending</t>
        </is>
      </c>
      <c r="Q148" t="inlineStr"/>
      <c r="R148" t="inlineStr"/>
      <c r="S148" t="inlineStr"/>
      <c r="T148" t="inlineStr"/>
      <c r="U148" t="inlineStr"/>
      <c r="V148">
        <f>IF(OR(L148="",S148=""),"",IF(VALUE(L148)=VALUE(S148),"Y","N"))</f>
        <v/>
      </c>
      <c r="W148">
        <f>IF(V148="Y",S148,"")</f>
        <v/>
      </c>
      <c r="X148" t="inlineStr">
        <is>
          <t>unverified: map has no limit (guessed from road type); main road: what is posted? 35 or lower opens it to LSVs</t>
        </is>
      </c>
      <c r="Y148" t="inlineStr"/>
      <c r="Z148" t="n">
        <v>1188</v>
      </c>
      <c r="AA148" t="inlineStr">
        <is>
          <t>sd</t>
        </is>
      </c>
      <c r="AB148" t="inlineStr">
        <is>
          <t>sd|33.23341,-117.29268</t>
        </is>
      </c>
    </row>
    <row r="149">
      <c r="A149" t="inlineStr">
        <is>
          <t>SD-B2-148</t>
        </is>
      </c>
      <c r="B149" t="inlineStr">
        <is>
          <t>San Diego area</t>
        </is>
      </c>
      <c r="C149" t="inlineStr">
        <is>
          <t>West Morena Boulevard</t>
        </is>
      </c>
      <c r="D149" t="inlineStr">
        <is>
          <t>Morena Boulevard</t>
        </is>
      </c>
      <c r="E149" t="inlineStr">
        <is>
          <t>Buenos Avenue</t>
        </is>
      </c>
      <c r="F149" t="inlineStr">
        <is>
          <t>436426889</t>
        </is>
      </c>
      <c r="G149" t="inlineStr"/>
      <c r="H149" t="inlineStr">
        <is>
          <t>inferred</t>
        </is>
      </c>
      <c r="I149" t="inlineStr">
        <is>
          <t>no</t>
        </is>
      </c>
      <c r="J149" t="inlineStr">
        <is>
          <t>https://www.google.com/maps/@?api=1&amp;map_action=pano&amp;viewpoint=32.772240,-117.205790&amp;heading=162</t>
        </is>
      </c>
      <c r="K149" t="inlineStr">
        <is>
          <t>https://www.google.com/maps/search/?api=1&amp;query=32.772240,-117.205790</t>
        </is>
      </c>
      <c r="L149" t="inlineStr"/>
      <c r="M149" t="inlineStr"/>
      <c r="N149" t="inlineStr"/>
      <c r="O149" t="inlineStr"/>
      <c r="P149" t="inlineStr">
        <is>
          <t>pending</t>
        </is>
      </c>
      <c r="Q149" t="inlineStr"/>
      <c r="R149" t="inlineStr"/>
      <c r="S149" t="inlineStr"/>
      <c r="T149" t="inlineStr"/>
      <c r="U149" t="inlineStr"/>
      <c r="V149">
        <f>IF(OR(L149="",S149=""),"",IF(VALUE(L149)=VALUE(S149),"Y","N"))</f>
        <v/>
      </c>
      <c r="W149">
        <f>IF(V149="Y",S149,"")</f>
        <v/>
      </c>
      <c r="X149" t="inlineStr">
        <is>
          <t>unverified: map has no limit (guessed from road type); main road: what is posted? 35 or lower opens it to LSVs</t>
        </is>
      </c>
      <c r="Y149" t="inlineStr"/>
      <c r="Z149" t="n">
        <v>1175</v>
      </c>
      <c r="AA149" t="inlineStr">
        <is>
          <t>sd</t>
        </is>
      </c>
      <c r="AB149" t="inlineStr">
        <is>
          <t>sd|32.77224,-117.20579</t>
        </is>
      </c>
    </row>
    <row r="150">
      <c r="A150" t="inlineStr">
        <is>
          <t>SD-B2-149</t>
        </is>
      </c>
      <c r="B150" t="inlineStr">
        <is>
          <t>San Diego area</t>
        </is>
      </c>
      <c r="C150" t="inlineStr">
        <is>
          <t>Olive Avenue</t>
        </is>
      </c>
      <c r="D150" t="inlineStr">
        <is>
          <t>Mottino Drive</t>
        </is>
      </c>
      <c r="E150" t="inlineStr">
        <is>
          <t>Granada Drive</t>
        </is>
      </c>
      <c r="F150" t="inlineStr">
        <is>
          <t>5958861</t>
        </is>
      </c>
      <c r="G150" t="inlineStr"/>
      <c r="H150" t="inlineStr">
        <is>
          <t>inferred</t>
        </is>
      </c>
      <c r="I150" t="inlineStr">
        <is>
          <t>no</t>
        </is>
      </c>
      <c r="J150" t="inlineStr">
        <is>
          <t>https://www.google.com/maps/@?api=1&amp;map_action=pano&amp;viewpoint=33.204750,-117.272335&amp;heading=270</t>
        </is>
      </c>
      <c r="K150" t="inlineStr">
        <is>
          <t>https://www.google.com/maps/search/?api=1&amp;query=33.204750,-117.272335</t>
        </is>
      </c>
      <c r="L150" t="inlineStr"/>
      <c r="M150" t="inlineStr"/>
      <c r="N150" t="inlineStr"/>
      <c r="O150" t="inlineStr"/>
      <c r="P150" t="inlineStr">
        <is>
          <t>pending</t>
        </is>
      </c>
      <c r="Q150" t="inlineStr"/>
      <c r="R150" t="inlineStr"/>
      <c r="S150" t="inlineStr"/>
      <c r="T150" t="inlineStr"/>
      <c r="U150" t="inlineStr"/>
      <c r="V150">
        <f>IF(OR(L150="",S150=""),"",IF(VALUE(L150)=VALUE(S150),"Y","N"))</f>
        <v/>
      </c>
      <c r="W150">
        <f>IF(V150="Y",S150,"")</f>
        <v/>
      </c>
      <c r="X150" t="inlineStr">
        <is>
          <t>unverified: map has no limit (guessed from road type); main road: what is posted? 35 or lower opens it to LSVs</t>
        </is>
      </c>
      <c r="Y150" t="inlineStr"/>
      <c r="Z150" t="n">
        <v>1388</v>
      </c>
      <c r="AA150" t="inlineStr">
        <is>
          <t>sd</t>
        </is>
      </c>
      <c r="AB150" t="inlineStr">
        <is>
          <t>sd|33.20475,-117.27233</t>
        </is>
      </c>
    </row>
    <row r="151">
      <c r="A151" t="inlineStr">
        <is>
          <t>SD-B2-150</t>
        </is>
      </c>
      <c r="B151" t="inlineStr">
        <is>
          <t>San Diego area</t>
        </is>
      </c>
      <c r="C151" t="inlineStr">
        <is>
          <t>East Harbor Drive</t>
        </is>
      </c>
      <c r="D151" t="inlineStr">
        <is>
          <t>Sampson Street</t>
        </is>
      </c>
      <c r="E151" t="inlineStr">
        <is>
          <t>Sigsbee Street</t>
        </is>
      </c>
      <c r="F151" t="inlineStr">
        <is>
          <t>275953217</t>
        </is>
      </c>
      <c r="G151" t="n">
        <v>45</v>
      </c>
      <c r="H151" t="inlineStr">
        <is>
          <t>tag</t>
        </is>
      </c>
      <c r="I151" t="inlineStr">
        <is>
          <t>no</t>
        </is>
      </c>
      <c r="J151" t="inlineStr">
        <is>
          <t>https://www.google.com/maps/@?api=1&amp;map_action=pano&amp;viewpoint=32.690150,-117.131890&amp;heading=118</t>
        </is>
      </c>
      <c r="K151" t="inlineStr">
        <is>
          <t>https://www.google.com/maps/search/?api=1&amp;query=32.690150,-117.131890</t>
        </is>
      </c>
      <c r="L151" t="inlineStr"/>
      <c r="M151" t="inlineStr"/>
      <c r="N151" t="inlineStr"/>
      <c r="O151" t="inlineStr"/>
      <c r="P151" t="inlineStr">
        <is>
          <t>pending</t>
        </is>
      </c>
      <c r="Q151" t="inlineStr"/>
      <c r="R151" t="inlineStr"/>
      <c r="S151" t="inlineStr"/>
      <c r="T151" t="inlineStr"/>
      <c r="U151" t="inlineStr"/>
      <c r="V151">
        <f>IF(OR(L151="",S151=""),"",IF(VALUE(L151)=VALUE(S151),"Y","N"))</f>
        <v/>
      </c>
      <c r="W151">
        <f>IF(V151="Y",S151,"")</f>
        <v/>
      </c>
      <c r="X151" t="inlineStr">
        <is>
          <t>unverified: map has 45 mph (OSM tag only); main road: what is posted? 35 or lower opens it to LSVs</t>
        </is>
      </c>
      <c r="Y151" t="inlineStr"/>
      <c r="Z151" t="n">
        <v>3256</v>
      </c>
      <c r="AA151" t="inlineStr">
        <is>
          <t>sd</t>
        </is>
      </c>
      <c r="AB151" t="inlineStr">
        <is>
          <t>sd|32.69015,-117.13189</t>
        </is>
      </c>
    </row>
    <row r="152">
      <c r="A152" t="inlineStr">
        <is>
          <t>SD-B2-151</t>
        </is>
      </c>
      <c r="B152" t="inlineStr">
        <is>
          <t>San Diego area</t>
        </is>
      </c>
      <c r="C152" t="inlineStr">
        <is>
          <t>Friars Road</t>
        </is>
      </c>
      <c r="D152" t="inlineStr">
        <is>
          <t>Colusa Street</t>
        </is>
      </c>
      <c r="E152" t="inlineStr">
        <is>
          <t>River Road</t>
        </is>
      </c>
      <c r="F152" t="inlineStr">
        <is>
          <t>159483487</t>
        </is>
      </c>
      <c r="G152" t="n">
        <v>45</v>
      </c>
      <c r="H152" t="inlineStr">
        <is>
          <t>tag</t>
        </is>
      </c>
      <c r="I152" t="inlineStr">
        <is>
          <t>no</t>
        </is>
      </c>
      <c r="J152" t="inlineStr">
        <is>
          <t>https://www.google.com/maps/@?api=1&amp;map_action=pano&amp;viewpoint=32.762630,-117.202040&amp;heading=268</t>
        </is>
      </c>
      <c r="K152" t="inlineStr">
        <is>
          <t>https://www.google.com/maps/search/?api=1&amp;query=32.762630,-117.202040</t>
        </is>
      </c>
      <c r="L152" t="inlineStr"/>
      <c r="M152" t="inlineStr"/>
      <c r="N152" t="inlineStr"/>
      <c r="O152" t="inlineStr"/>
      <c r="P152" t="inlineStr">
        <is>
          <t>pending</t>
        </is>
      </c>
      <c r="Q152" t="inlineStr"/>
      <c r="R152" t="inlineStr"/>
      <c r="S152" t="inlineStr"/>
      <c r="T152" t="inlineStr"/>
      <c r="U152" t="inlineStr"/>
      <c r="V152">
        <f>IF(OR(L152="",S152=""),"",IF(VALUE(L152)=VALUE(S152),"Y","N"))</f>
        <v/>
      </c>
      <c r="W152">
        <f>IF(V152="Y",S152,"")</f>
        <v/>
      </c>
      <c r="X152" t="inlineStr">
        <is>
          <t>unverified: map has 45 mph (OSM tag only); main road: what is posted? 35 or lower opens it to LSVs</t>
        </is>
      </c>
      <c r="Y152" t="inlineStr"/>
      <c r="Z152" t="n">
        <v>3578</v>
      </c>
      <c r="AA152" t="inlineStr">
        <is>
          <t>sd</t>
        </is>
      </c>
      <c r="AB152" t="inlineStr">
        <is>
          <t>sd|32.76263,-117.20204</t>
        </is>
      </c>
    </row>
    <row r="153">
      <c r="A153" t="inlineStr">
        <is>
          <t>SD-B2-152</t>
        </is>
      </c>
      <c r="B153" t="inlineStr">
        <is>
          <t>San Diego area</t>
        </is>
      </c>
      <c r="C153" t="inlineStr">
        <is>
          <t>North Harbor Drive</t>
        </is>
      </c>
      <c r="D153" t="inlineStr">
        <is>
          <t>(see map link)</t>
        </is>
      </c>
      <c r="E153" t="inlineStr">
        <is>
          <t>West Laurel Street</t>
        </is>
      </c>
      <c r="F153" t="inlineStr">
        <is>
          <t>651841209</t>
        </is>
      </c>
      <c r="G153" t="n">
        <v>45</v>
      </c>
      <c r="H153" t="inlineStr">
        <is>
          <t>tag</t>
        </is>
      </c>
      <c r="I153" t="inlineStr">
        <is>
          <t>no</t>
        </is>
      </c>
      <c r="J153" t="inlineStr">
        <is>
          <t>https://www.google.com/maps/@?api=1&amp;map_action=pano&amp;viewpoint=32.727150,-117.175350&amp;heading=308</t>
        </is>
      </c>
      <c r="K153" t="inlineStr">
        <is>
          <t>https://www.google.com/maps/search/?api=1&amp;query=32.727150,-117.175350</t>
        </is>
      </c>
      <c r="L153" t="inlineStr"/>
      <c r="M153" t="inlineStr"/>
      <c r="N153" t="inlineStr"/>
      <c r="O153" t="inlineStr"/>
      <c r="P153" t="inlineStr">
        <is>
          <t>pending</t>
        </is>
      </c>
      <c r="Q153" t="inlineStr"/>
      <c r="R153" t="inlineStr"/>
      <c r="S153" t="inlineStr"/>
      <c r="T153" t="inlineStr"/>
      <c r="U153" t="inlineStr"/>
      <c r="V153">
        <f>IF(OR(L153="",S153=""),"",IF(VALUE(L153)=VALUE(S153),"Y","N"))</f>
        <v/>
      </c>
      <c r="W153">
        <f>IF(V153="Y",S153,"")</f>
        <v/>
      </c>
      <c r="X153" t="inlineStr">
        <is>
          <t>unverified: map has 45 mph (OSM tag only); main road: what is posted? 35 or lower opens it to LSVs</t>
        </is>
      </c>
      <c r="Y153" t="inlineStr"/>
      <c r="Z153" t="n">
        <v>2269</v>
      </c>
      <c r="AA153" t="inlineStr">
        <is>
          <t>sd</t>
        </is>
      </c>
      <c r="AB153" t="inlineStr">
        <is>
          <t>sd|32.72715,-117.17535</t>
        </is>
      </c>
    </row>
    <row r="154">
      <c r="A154" t="inlineStr">
        <is>
          <t>SD-B2-153</t>
        </is>
      </c>
      <c r="B154" t="inlineStr">
        <is>
          <t>San Diego area</t>
        </is>
      </c>
      <c r="C154" t="inlineStr">
        <is>
          <t>North Harbor Drive</t>
        </is>
      </c>
      <c r="D154" t="inlineStr">
        <is>
          <t>Airport Terminal Road</t>
        </is>
      </c>
      <c r="E154" t="inlineStr">
        <is>
          <t>Lee Court</t>
        </is>
      </c>
      <c r="F154" t="inlineStr">
        <is>
          <t>662008262</t>
        </is>
      </c>
      <c r="G154" t="n">
        <v>45</v>
      </c>
      <c r="H154" t="inlineStr">
        <is>
          <t>tag</t>
        </is>
      </c>
      <c r="I154" t="inlineStr">
        <is>
          <t>no</t>
        </is>
      </c>
      <c r="J154" t="inlineStr">
        <is>
          <t>https://www.google.com/maps/@?api=1&amp;map_action=pano&amp;viewpoint=32.729325,-117.201015&amp;heading=90</t>
        </is>
      </c>
      <c r="K154" t="inlineStr">
        <is>
          <t>https://www.google.com/maps/search/?api=1&amp;query=32.729325,-117.201015</t>
        </is>
      </c>
      <c r="L154" t="inlineStr"/>
      <c r="M154" t="inlineStr"/>
      <c r="N154" t="inlineStr"/>
      <c r="O154" t="inlineStr"/>
      <c r="P154" t="inlineStr">
        <is>
          <t>pending</t>
        </is>
      </c>
      <c r="Q154" t="inlineStr"/>
      <c r="R154" t="inlineStr"/>
      <c r="S154" t="inlineStr"/>
      <c r="T154" t="inlineStr"/>
      <c r="U154" t="inlineStr"/>
      <c r="V154">
        <f>IF(OR(L154="",S154=""),"",IF(VALUE(L154)=VALUE(S154),"Y","N"))</f>
        <v/>
      </c>
      <c r="W154">
        <f>IF(V154="Y",S154,"")</f>
        <v/>
      </c>
      <c r="X154" t="inlineStr">
        <is>
          <t>unverified: map has 45 mph (OSM tag only); main road: what is posted? 35 or lower opens it to LSVs</t>
        </is>
      </c>
      <c r="Y154" t="inlineStr"/>
      <c r="Z154" t="n">
        <v>2654</v>
      </c>
      <c r="AA154" t="inlineStr">
        <is>
          <t>sd</t>
        </is>
      </c>
      <c r="AB154" t="inlineStr">
        <is>
          <t>sd|32.72933,-117.20102</t>
        </is>
      </c>
    </row>
    <row r="155">
      <c r="A155" t="inlineStr">
        <is>
          <t>SD-B2-154</t>
        </is>
      </c>
      <c r="B155" t="inlineStr">
        <is>
          <t>San Diego area</t>
        </is>
      </c>
      <c r="C155" t="inlineStr">
        <is>
          <t>Genesee Avenue</t>
        </is>
      </c>
      <c r="D155" t="inlineStr">
        <is>
          <t>(see map link)</t>
        </is>
      </c>
      <c r="E155" t="inlineStr">
        <is>
          <t>Linda Vista Road</t>
        </is>
      </c>
      <c r="F155" t="inlineStr">
        <is>
          <t>1461746466</t>
        </is>
      </c>
      <c r="G155" t="n">
        <v>45</v>
      </c>
      <c r="H155" t="inlineStr">
        <is>
          <t>tag</t>
        </is>
      </c>
      <c r="I155" t="inlineStr">
        <is>
          <t>no</t>
        </is>
      </c>
      <c r="J155" t="inlineStr">
        <is>
          <t>https://www.google.com/maps/@?api=1&amp;map_action=pano&amp;viewpoint=32.791925,-117.158430&amp;heading=249</t>
        </is>
      </c>
      <c r="K155" t="inlineStr">
        <is>
          <t>https://www.google.com/maps/search/?api=1&amp;query=32.791925,-117.158430</t>
        </is>
      </c>
      <c r="L155" t="inlineStr"/>
      <c r="M155" t="inlineStr"/>
      <c r="N155" t="inlineStr"/>
      <c r="O155" t="inlineStr"/>
      <c r="P155" t="inlineStr">
        <is>
          <t>pending</t>
        </is>
      </c>
      <c r="Q155" t="inlineStr"/>
      <c r="R155" t="inlineStr"/>
      <c r="S155" t="inlineStr"/>
      <c r="T155" t="inlineStr"/>
      <c r="U155" t="inlineStr"/>
      <c r="V155">
        <f>IF(OR(L155="",S155=""),"",IF(VALUE(L155)=VALUE(S155),"Y","N"))</f>
        <v/>
      </c>
      <c r="W155">
        <f>IF(V155="Y",S155,"")</f>
        <v/>
      </c>
      <c r="X155" t="inlineStr">
        <is>
          <t>unverified: map has 45 mph (OSM tag only); main road: what is posted? 35 or lower opens it to LSVs</t>
        </is>
      </c>
      <c r="Y155" t="inlineStr"/>
      <c r="Z155" t="n">
        <v>1864</v>
      </c>
      <c r="AA155" t="inlineStr">
        <is>
          <t>sd</t>
        </is>
      </c>
      <c r="AB155" t="inlineStr">
        <is>
          <t>sd|32.79193,-117.15843</t>
        </is>
      </c>
    </row>
    <row r="156">
      <c r="A156" t="inlineStr">
        <is>
          <t>SD-B2-155</t>
        </is>
      </c>
      <c r="B156" t="inlineStr">
        <is>
          <t>San Diego area</t>
        </is>
      </c>
      <c r="C156" t="inlineStr">
        <is>
          <t>Genesee Avenue</t>
        </is>
      </c>
      <c r="D156" t="inlineStr">
        <is>
          <t>Lehrer Drive</t>
        </is>
      </c>
      <c r="E156" t="inlineStr">
        <is>
          <t>(see map link)</t>
        </is>
      </c>
      <c r="F156" t="inlineStr">
        <is>
          <t>6044426</t>
        </is>
      </c>
      <c r="G156" t="n">
        <v>45</v>
      </c>
      <c r="H156" t="inlineStr">
        <is>
          <t>tag</t>
        </is>
      </c>
      <c r="I156" t="inlineStr">
        <is>
          <t>no</t>
        </is>
      </c>
      <c r="J156" t="inlineStr">
        <is>
          <t>https://www.google.com/maps/@?api=1&amp;map_action=pano&amp;viewpoint=32.843160,-117.198140&amp;heading=332</t>
        </is>
      </c>
      <c r="K156" t="inlineStr">
        <is>
          <t>https://www.google.com/maps/search/?api=1&amp;query=32.843160,-117.198140</t>
        </is>
      </c>
      <c r="L156" t="inlineStr"/>
      <c r="M156" t="inlineStr"/>
      <c r="N156" t="inlineStr"/>
      <c r="O156" t="inlineStr"/>
      <c r="P156" t="inlineStr">
        <is>
          <t>pending</t>
        </is>
      </c>
      <c r="Q156" t="inlineStr"/>
      <c r="R156" t="inlineStr"/>
      <c r="S156" t="inlineStr"/>
      <c r="T156" t="inlineStr"/>
      <c r="U156" t="inlineStr"/>
      <c r="V156">
        <f>IF(OR(L156="",S156=""),"",IF(VALUE(L156)=VALUE(S156),"Y","N"))</f>
        <v/>
      </c>
      <c r="W156">
        <f>IF(V156="Y",S156,"")</f>
        <v/>
      </c>
      <c r="X156" t="inlineStr">
        <is>
          <t>unverified: map has 45 mph (OSM tag only); main road: what is posted? 35 or lower opens it to LSVs</t>
        </is>
      </c>
      <c r="Y156" t="inlineStr"/>
      <c r="Z156" t="n">
        <v>1569</v>
      </c>
      <c r="AA156" t="inlineStr">
        <is>
          <t>sd</t>
        </is>
      </c>
      <c r="AB156" t="inlineStr">
        <is>
          <t>sd|32.84316,-117.19814</t>
        </is>
      </c>
    </row>
    <row r="157">
      <c r="A157" t="inlineStr">
        <is>
          <t>SD-B2-156</t>
        </is>
      </c>
      <c r="B157" t="inlineStr">
        <is>
          <t>San Diego area</t>
        </is>
      </c>
      <c r="C157" t="inlineStr">
        <is>
          <t>Convoy Street</t>
        </is>
      </c>
      <c r="D157" t="inlineStr">
        <is>
          <t>Ronson Road</t>
        </is>
      </c>
      <c r="E157" t="inlineStr">
        <is>
          <t>Vickers Street</t>
        </is>
      </c>
      <c r="F157" t="inlineStr">
        <is>
          <t>245266123</t>
        </is>
      </c>
      <c r="G157" t="n">
        <v>35</v>
      </c>
      <c r="H157" t="inlineStr">
        <is>
          <t>tag</t>
        </is>
      </c>
      <c r="I157" t="inlineStr">
        <is>
          <t>LSV</t>
        </is>
      </c>
      <c r="J157" t="inlineStr">
        <is>
          <t>https://www.google.com/maps/@?api=1&amp;map_action=pano&amp;viewpoint=32.815240,-117.153930&amp;heading=313</t>
        </is>
      </c>
      <c r="K157" t="inlineStr">
        <is>
          <t>https://www.google.com/maps/search/?api=1&amp;query=32.815240,-117.153930</t>
        </is>
      </c>
      <c r="L157" t="inlineStr"/>
      <c r="M157" t="inlineStr"/>
      <c r="N157" t="inlineStr"/>
      <c r="O157" t="inlineStr"/>
      <c r="P157" t="inlineStr">
        <is>
          <t>pending</t>
        </is>
      </c>
      <c r="Q157" t="inlineStr"/>
      <c r="R157" t="inlineStr"/>
      <c r="S157" t="inlineStr"/>
      <c r="T157" t="inlineStr"/>
      <c r="U157" t="inlineStr"/>
      <c r="V157">
        <f>IF(OR(L157="",S157=""),"",IF(VALUE(L157)=VALUE(S157),"Y","N"))</f>
        <v/>
      </c>
      <c r="W157">
        <f>IF(V157="Y",S157,"")</f>
        <v/>
      </c>
      <c r="X157" t="inlineStr">
        <is>
          <t>unverified: map has 35 mph (OSM tag only); is it 35 (LSV OK) or 40+?</t>
        </is>
      </c>
      <c r="Y157" t="inlineStr"/>
      <c r="Z157" t="n">
        <v>3700</v>
      </c>
      <c r="AA157" t="inlineStr">
        <is>
          <t>sd</t>
        </is>
      </c>
      <c r="AB157" t="inlineStr">
        <is>
          <t>sd|32.81524,-117.15393</t>
        </is>
      </c>
    </row>
    <row r="158">
      <c r="A158" t="inlineStr">
        <is>
          <t>SD-B2-157</t>
        </is>
      </c>
      <c r="B158" t="inlineStr">
        <is>
          <t>San Diego area</t>
        </is>
      </c>
      <c r="C158" t="inlineStr">
        <is>
          <t>Clairemont Mesa Boulevard</t>
        </is>
      </c>
      <c r="D158" t="inlineStr">
        <is>
          <t>Genesee Avenue</t>
        </is>
      </c>
      <c r="E158" t="inlineStr">
        <is>
          <t>Dubois Drive</t>
        </is>
      </c>
      <c r="F158" t="inlineStr">
        <is>
          <t>323574845</t>
        </is>
      </c>
      <c r="G158" t="n">
        <v>35</v>
      </c>
      <c r="H158" t="inlineStr">
        <is>
          <t>tag</t>
        </is>
      </c>
      <c r="I158" t="inlineStr">
        <is>
          <t>LSV</t>
        </is>
      </c>
      <c r="J158" t="inlineStr">
        <is>
          <t>https://www.google.com/maps/@?api=1&amp;map_action=pano&amp;viewpoint=32.827900,-117.210930&amp;heading=279</t>
        </is>
      </c>
      <c r="K158" t="inlineStr">
        <is>
          <t>https://www.google.com/maps/search/?api=1&amp;query=32.827900,-117.210930</t>
        </is>
      </c>
      <c r="L158" t="inlineStr"/>
      <c r="M158" t="inlineStr"/>
      <c r="N158" t="inlineStr"/>
      <c r="O158" t="inlineStr"/>
      <c r="P158" t="inlineStr">
        <is>
          <t>pending</t>
        </is>
      </c>
      <c r="Q158" t="inlineStr"/>
      <c r="R158" t="inlineStr"/>
      <c r="S158" t="inlineStr"/>
      <c r="T158" t="inlineStr"/>
      <c r="U158" t="inlineStr"/>
      <c r="V158">
        <f>IF(OR(L158="",S158=""),"",IF(VALUE(L158)=VALUE(S158),"Y","N"))</f>
        <v/>
      </c>
      <c r="W158">
        <f>IF(V158="Y",S158,"")</f>
        <v/>
      </c>
      <c r="X158" t="inlineStr">
        <is>
          <t>unverified: map has 35 mph (OSM tag only); is it 35 (LSV OK) or 40+?</t>
        </is>
      </c>
      <c r="Y158" t="inlineStr"/>
      <c r="Z158" t="n">
        <v>2685</v>
      </c>
      <c r="AA158" t="inlineStr">
        <is>
          <t>sd</t>
        </is>
      </c>
      <c r="AB158" t="inlineStr">
        <is>
          <t>sd|32.82790,-117.21093</t>
        </is>
      </c>
    </row>
    <row r="159">
      <c r="A159" t="inlineStr">
        <is>
          <t>SD-B2-158</t>
        </is>
      </c>
      <c r="B159" t="inlineStr">
        <is>
          <t>San Diego area</t>
        </is>
      </c>
      <c r="C159" t="inlineStr">
        <is>
          <t>Clairemont Mesa Boulevard</t>
        </is>
      </c>
      <c r="D159" t="inlineStr">
        <is>
          <t>Genesee Avenue</t>
        </is>
      </c>
      <c r="E159" t="inlineStr">
        <is>
          <t>Luna Avenue</t>
        </is>
      </c>
      <c r="F159" t="inlineStr">
        <is>
          <t>323574887</t>
        </is>
      </c>
      <c r="G159" t="n">
        <v>35</v>
      </c>
      <c r="H159" t="inlineStr">
        <is>
          <t>tag</t>
        </is>
      </c>
      <c r="I159" t="inlineStr">
        <is>
          <t>LSV</t>
        </is>
      </c>
      <c r="J159" t="inlineStr">
        <is>
          <t>https://www.google.com/maps/@?api=1&amp;map_action=pano&amp;viewpoint=32.827820,-117.211260&amp;heading=110</t>
        </is>
      </c>
      <c r="K159" t="inlineStr">
        <is>
          <t>https://www.google.com/maps/search/?api=1&amp;query=32.827820,-117.211260</t>
        </is>
      </c>
      <c r="L159" t="inlineStr"/>
      <c r="M159" t="inlineStr"/>
      <c r="N159" t="inlineStr"/>
      <c r="O159" t="inlineStr"/>
      <c r="P159" t="inlineStr">
        <is>
          <t>pending</t>
        </is>
      </c>
      <c r="Q159" t="inlineStr"/>
      <c r="R159" t="inlineStr"/>
      <c r="S159" t="inlineStr"/>
      <c r="T159" t="inlineStr"/>
      <c r="U159" t="inlineStr"/>
      <c r="V159">
        <f>IF(OR(L159="",S159=""),"",IF(VALUE(L159)=VALUE(S159),"Y","N"))</f>
        <v/>
      </c>
      <c r="W159">
        <f>IF(V159="Y",S159,"")</f>
        <v/>
      </c>
      <c r="X159" t="inlineStr">
        <is>
          <t>unverified: map has 35 mph (OSM tag only); is it 35 (LSV OK) or 40+?</t>
        </is>
      </c>
      <c r="Y159" t="inlineStr"/>
      <c r="Z159" t="n">
        <v>2729</v>
      </c>
      <c r="AA159" t="inlineStr">
        <is>
          <t>sd</t>
        </is>
      </c>
      <c r="AB159" t="inlineStr">
        <is>
          <t>sd|32.82782,-117.21126</t>
        </is>
      </c>
    </row>
    <row r="160">
      <c r="A160" t="inlineStr">
        <is>
          <t>SD-B2-159</t>
        </is>
      </c>
      <c r="B160" t="inlineStr">
        <is>
          <t>San Diego area</t>
        </is>
      </c>
      <c r="C160" t="inlineStr">
        <is>
          <t>Miramar Road</t>
        </is>
      </c>
      <c r="D160" t="inlineStr">
        <is>
          <t>Carroll Road</t>
        </is>
      </c>
      <c r="E160" t="inlineStr">
        <is>
          <t>Dowdy Drive</t>
        </is>
      </c>
      <c r="F160" t="inlineStr">
        <is>
          <t>436421698</t>
        </is>
      </c>
      <c r="G160" t="n">
        <v>45</v>
      </c>
      <c r="H160" t="inlineStr">
        <is>
          <t>tag</t>
        </is>
      </c>
      <c r="I160" t="inlineStr">
        <is>
          <t>no</t>
        </is>
      </c>
      <c r="J160" t="inlineStr">
        <is>
          <t>https://www.google.com/maps/@?api=1&amp;map_action=pano&amp;viewpoint=32.877770,-117.171000&amp;heading=259</t>
        </is>
      </c>
      <c r="K160" t="inlineStr">
        <is>
          <t>https://www.google.com/maps/search/?api=1&amp;query=32.877770,-117.171000</t>
        </is>
      </c>
      <c r="L160" t="inlineStr"/>
      <c r="M160" t="inlineStr"/>
      <c r="N160" t="inlineStr"/>
      <c r="O160" t="inlineStr"/>
      <c r="P160" t="inlineStr">
        <is>
          <t>pending</t>
        </is>
      </c>
      <c r="Q160" t="inlineStr"/>
      <c r="R160" t="inlineStr"/>
      <c r="S160" t="inlineStr"/>
      <c r="T160" t="inlineStr"/>
      <c r="U160" t="inlineStr"/>
      <c r="V160">
        <f>IF(OR(L160="",S160=""),"",IF(VALUE(L160)=VALUE(S160),"Y","N"))</f>
        <v/>
      </c>
      <c r="W160">
        <f>IF(V160="Y",S160,"")</f>
        <v/>
      </c>
      <c r="X160" t="inlineStr">
        <is>
          <t>unverified: map has 45 mph (OSM tag only); main road: what is posted? 35 or lower opens it to LSVs</t>
        </is>
      </c>
      <c r="Y160" t="inlineStr"/>
      <c r="Z160" t="n">
        <v>3152</v>
      </c>
      <c r="AA160" t="inlineStr">
        <is>
          <t>sd</t>
        </is>
      </c>
      <c r="AB160" t="inlineStr">
        <is>
          <t>sd|32.87777,-117.17100</t>
        </is>
      </c>
    </row>
    <row r="161">
      <c r="A161" t="inlineStr">
        <is>
          <t>SD-B2-160</t>
        </is>
      </c>
      <c r="B161" t="inlineStr">
        <is>
          <t>San Diego area</t>
        </is>
      </c>
      <c r="C161" t="inlineStr">
        <is>
          <t>La Jolla Village Drive</t>
        </is>
      </c>
      <c r="D161" t="inlineStr">
        <is>
          <t>Miramar Road</t>
        </is>
      </c>
      <c r="E161" t="inlineStr">
        <is>
          <t>Lebon Drive</t>
        </is>
      </c>
      <c r="F161" t="inlineStr">
        <is>
          <t>1031298453</t>
        </is>
      </c>
      <c r="G161" t="n">
        <v>45</v>
      </c>
      <c r="H161" t="inlineStr">
        <is>
          <t>tag</t>
        </is>
      </c>
      <c r="I161" t="inlineStr">
        <is>
          <t>no</t>
        </is>
      </c>
      <c r="J161" t="inlineStr">
        <is>
          <t>https://www.google.com/maps/@?api=1&amp;map_action=pano&amp;viewpoint=32.874640,-117.203490&amp;heading=260</t>
        </is>
      </c>
      <c r="K161" t="inlineStr">
        <is>
          <t>https://www.google.com/maps/search/?api=1&amp;query=32.874640,-117.203490</t>
        </is>
      </c>
      <c r="L161" t="inlineStr"/>
      <c r="M161" t="inlineStr"/>
      <c r="N161" t="inlineStr"/>
      <c r="O161" t="inlineStr"/>
      <c r="P161" t="inlineStr">
        <is>
          <t>pending</t>
        </is>
      </c>
      <c r="Q161" t="inlineStr"/>
      <c r="R161" t="inlineStr"/>
      <c r="S161" t="inlineStr"/>
      <c r="T161" t="inlineStr"/>
      <c r="U161" t="inlineStr"/>
      <c r="V161">
        <f>IF(OR(L161="",S161=""),"",IF(VALUE(L161)=VALUE(S161),"Y","N"))</f>
        <v/>
      </c>
      <c r="W161">
        <f>IF(V161="Y",S161,"")</f>
        <v/>
      </c>
      <c r="X161" t="inlineStr">
        <is>
          <t>unverified: map has 45 mph (OSM tag only); main road: what is posted? 35 or lower opens it to LSVs</t>
        </is>
      </c>
      <c r="Y161" t="inlineStr"/>
      <c r="Z161" t="n">
        <v>3081</v>
      </c>
      <c r="AA161" t="inlineStr">
        <is>
          <t>sd</t>
        </is>
      </c>
      <c r="AB161" t="inlineStr">
        <is>
          <t>sd|32.87464,-117.20349</t>
        </is>
      </c>
    </row>
    <row r="162">
      <c r="A162" t="inlineStr">
        <is>
          <t>SD-B2-161</t>
        </is>
      </c>
      <c r="B162" t="inlineStr">
        <is>
          <t>San Diego area</t>
        </is>
      </c>
      <c r="C162" t="inlineStr">
        <is>
          <t>Del Mar Heights Road</t>
        </is>
      </c>
      <c r="D162" t="inlineStr">
        <is>
          <t>Old Carmel Valley Road</t>
        </is>
      </c>
      <c r="E162" t="inlineStr">
        <is>
          <t>Carmel Valley Road</t>
        </is>
      </c>
      <c r="F162" t="inlineStr">
        <is>
          <t>1090303752</t>
        </is>
      </c>
      <c r="G162" t="n">
        <v>45</v>
      </c>
      <c r="H162" t="inlineStr">
        <is>
          <t>tag</t>
        </is>
      </c>
      <c r="I162" t="inlineStr">
        <is>
          <t>no</t>
        </is>
      </c>
      <c r="J162" t="inlineStr">
        <is>
          <t>https://www.google.com/maps/@?api=1&amp;map_action=pano&amp;viewpoint=32.955780,-117.218330&amp;heading=272</t>
        </is>
      </c>
      <c r="K162" t="inlineStr">
        <is>
          <t>https://www.google.com/maps/search/?api=1&amp;query=32.955780,-117.218330</t>
        </is>
      </c>
      <c r="L162" t="inlineStr"/>
      <c r="M162" t="inlineStr"/>
      <c r="N162" t="inlineStr"/>
      <c r="O162" t="inlineStr"/>
      <c r="P162" t="inlineStr">
        <is>
          <t>pending</t>
        </is>
      </c>
      <c r="Q162" t="inlineStr"/>
      <c r="R162" t="inlineStr"/>
      <c r="S162" t="inlineStr"/>
      <c r="T162" t="inlineStr"/>
      <c r="U162" t="inlineStr"/>
      <c r="V162">
        <f>IF(OR(L162="",S162=""),"",IF(VALUE(L162)=VALUE(S162),"Y","N"))</f>
        <v/>
      </c>
      <c r="W162">
        <f>IF(V162="Y",S162,"")</f>
        <v/>
      </c>
      <c r="X162" t="inlineStr">
        <is>
          <t>unverified: map has 45 mph (OSM tag only); main road: what is posted? 35 or lower opens it to LSVs</t>
        </is>
      </c>
      <c r="Y162" t="inlineStr"/>
      <c r="Z162" t="n">
        <v>4122</v>
      </c>
      <c r="AA162" t="inlineStr">
        <is>
          <t>sd</t>
        </is>
      </c>
      <c r="AB162" t="inlineStr">
        <is>
          <t>sd|32.95578,-117.21833</t>
        </is>
      </c>
    </row>
    <row r="163">
      <c r="A163" t="inlineStr">
        <is>
          <t>SD-B2-162</t>
        </is>
      </c>
      <c r="B163" t="inlineStr">
        <is>
          <t>San Diego area</t>
        </is>
      </c>
      <c r="C163" t="inlineStr">
        <is>
          <t>Del Mar Heights Road</t>
        </is>
      </c>
      <c r="D163" t="inlineStr">
        <is>
          <t>Carmel Valley Road</t>
        </is>
      </c>
      <c r="E163" t="inlineStr">
        <is>
          <t>Casey Driveway</t>
        </is>
      </c>
      <c r="F163" t="inlineStr">
        <is>
          <t>196601894</t>
        </is>
      </c>
      <c r="G163" t="n">
        <v>45</v>
      </c>
      <c r="H163" t="inlineStr">
        <is>
          <t>tag</t>
        </is>
      </c>
      <c r="I163" t="inlineStr">
        <is>
          <t>no</t>
        </is>
      </c>
      <c r="J163" t="inlineStr">
        <is>
          <t>https://www.google.com/maps/@?api=1&amp;map_action=pano&amp;viewpoint=32.955550,-117.214800&amp;heading=92</t>
        </is>
      </c>
      <c r="K163" t="inlineStr">
        <is>
          <t>https://www.google.com/maps/search/?api=1&amp;query=32.955550,-117.214800</t>
        </is>
      </c>
      <c r="L163" t="inlineStr"/>
      <c r="M163" t="inlineStr"/>
      <c r="N163" t="inlineStr"/>
      <c r="O163" t="inlineStr"/>
      <c r="P163" t="inlineStr">
        <is>
          <t>pending</t>
        </is>
      </c>
      <c r="Q163" t="inlineStr"/>
      <c r="R163" t="inlineStr"/>
      <c r="S163" t="inlineStr"/>
      <c r="T163" t="inlineStr"/>
      <c r="U163" t="inlineStr"/>
      <c r="V163">
        <f>IF(OR(L163="",S163=""),"",IF(VALUE(L163)=VALUE(S163),"Y","N"))</f>
        <v/>
      </c>
      <c r="W163">
        <f>IF(V163="Y",S163,"")</f>
        <v/>
      </c>
      <c r="X163" t="inlineStr">
        <is>
          <t>unverified: map has 45 mph (OSM tag only); main road: what is posted? 35 or lower opens it to LSVs</t>
        </is>
      </c>
      <c r="Y163" t="inlineStr"/>
      <c r="Z163" t="n">
        <v>4184</v>
      </c>
      <c r="AA163" t="inlineStr">
        <is>
          <t>sd</t>
        </is>
      </c>
      <c r="AB163" t="inlineStr">
        <is>
          <t>sd|32.95555,-117.21480</t>
        </is>
      </c>
    </row>
    <row r="164">
      <c r="A164" t="inlineStr">
        <is>
          <t>SD-B2-163</t>
        </is>
      </c>
      <c r="B164" t="inlineStr">
        <is>
          <t>San Diego area</t>
        </is>
      </c>
      <c r="C164" t="inlineStr">
        <is>
          <t>North Harbor Drive</t>
        </is>
      </c>
      <c r="D164" t="inlineStr">
        <is>
          <t>Laning Road</t>
        </is>
      </c>
      <c r="E164" t="inlineStr">
        <is>
          <t>Spanish Landing Road</t>
        </is>
      </c>
      <c r="F164" t="inlineStr">
        <is>
          <t>436285836</t>
        </is>
      </c>
      <c r="G164" t="n">
        <v>45</v>
      </c>
      <c r="H164" t="inlineStr">
        <is>
          <t>tag</t>
        </is>
      </c>
      <c r="I164" t="inlineStr">
        <is>
          <t>no</t>
        </is>
      </c>
      <c r="J164" t="inlineStr">
        <is>
          <t>https://www.google.com/maps/@?api=1&amp;map_action=pano&amp;viewpoint=32.729360,-117.206255&amp;heading=264</t>
        </is>
      </c>
      <c r="K164" t="inlineStr">
        <is>
          <t>https://www.google.com/maps/search/?api=1&amp;query=32.729360,-117.206255</t>
        </is>
      </c>
      <c r="L164" t="inlineStr"/>
      <c r="M164" t="inlineStr"/>
      <c r="N164" t="inlineStr"/>
      <c r="O164" t="inlineStr"/>
      <c r="P164" t="inlineStr">
        <is>
          <t>pending</t>
        </is>
      </c>
      <c r="Q164" t="inlineStr"/>
      <c r="R164" t="inlineStr"/>
      <c r="S164" t="inlineStr"/>
      <c r="T164" t="inlineStr"/>
      <c r="U164" t="inlineStr"/>
      <c r="V164">
        <f>IF(OR(L164="",S164=""),"",IF(VALUE(L164)=VALUE(S164),"Y","N"))</f>
        <v/>
      </c>
      <c r="W164">
        <f>IF(V164="Y",S164,"")</f>
        <v/>
      </c>
      <c r="X164" t="inlineStr">
        <is>
          <t>unverified: map has 45 mph (OSM tag only); main road: what is posted? 35 or lower opens it to LSVs</t>
        </is>
      </c>
      <c r="Y164" t="inlineStr"/>
      <c r="Z164" t="n">
        <v>1709</v>
      </c>
      <c r="AA164" t="inlineStr">
        <is>
          <t>sd</t>
        </is>
      </c>
      <c r="AB164" t="inlineStr">
        <is>
          <t>sd|32.72936,-117.20625</t>
        </is>
      </c>
    </row>
    <row r="165">
      <c r="A165" t="inlineStr">
        <is>
          <t>SD-B2-164</t>
        </is>
      </c>
      <c r="B165" t="inlineStr">
        <is>
          <t>San Diego area</t>
        </is>
      </c>
      <c r="C165" t="inlineStr">
        <is>
          <t>La Jolla Village Drive</t>
        </is>
      </c>
      <c r="D165" t="inlineStr">
        <is>
          <t>(see map link)</t>
        </is>
      </c>
      <c r="E165" t="inlineStr">
        <is>
          <t>North Torrey Pines Road</t>
        </is>
      </c>
      <c r="F165" t="inlineStr">
        <is>
          <t>233927978</t>
        </is>
      </c>
      <c r="G165" t="n">
        <v>45</v>
      </c>
      <c r="H165" t="inlineStr">
        <is>
          <t>tag</t>
        </is>
      </c>
      <c r="I165" t="inlineStr">
        <is>
          <t>no</t>
        </is>
      </c>
      <c r="J165" t="inlineStr">
        <is>
          <t>https://www.google.com/maps/@?api=1&amp;map_action=pano&amp;viewpoint=32.870260,-117.221080&amp;heading=89</t>
        </is>
      </c>
      <c r="K165" t="inlineStr">
        <is>
          <t>https://www.google.com/maps/search/?api=1&amp;query=32.870260,-117.221080</t>
        </is>
      </c>
      <c r="L165" t="inlineStr"/>
      <c r="M165" t="inlineStr"/>
      <c r="N165" t="inlineStr"/>
      <c r="O165" t="inlineStr"/>
      <c r="P165" t="inlineStr">
        <is>
          <t>pending</t>
        </is>
      </c>
      <c r="Q165" t="inlineStr"/>
      <c r="R165" t="inlineStr"/>
      <c r="S165" t="inlineStr"/>
      <c r="T165" t="inlineStr"/>
      <c r="U165" t="inlineStr"/>
      <c r="V165">
        <f>IF(OR(L165="",S165=""),"",IF(VALUE(L165)=VALUE(S165),"Y","N"))</f>
        <v/>
      </c>
      <c r="W165">
        <f>IF(V165="Y",S165,"")</f>
        <v/>
      </c>
      <c r="X165" t="inlineStr">
        <is>
          <t>unverified: map has 45 mph (OSM tag only); main road: what is posted? 35 or lower opens it to LSVs</t>
        </is>
      </c>
      <c r="Y165" t="inlineStr"/>
      <c r="Z165" t="n">
        <v>4176</v>
      </c>
      <c r="AA165" t="inlineStr">
        <is>
          <t>sd</t>
        </is>
      </c>
      <c r="AB165" t="inlineStr">
        <is>
          <t>sd|32.87026,-117.22108</t>
        </is>
      </c>
    </row>
    <row r="166">
      <c r="A166" t="inlineStr">
        <is>
          <t>SD-B2-165</t>
        </is>
      </c>
      <c r="B166" t="inlineStr">
        <is>
          <t>San Diego area</t>
        </is>
      </c>
      <c r="C166" t="inlineStr">
        <is>
          <t>Genesee Avenue</t>
        </is>
      </c>
      <c r="D166" t="inlineStr">
        <is>
          <t>Regents Road</t>
        </is>
      </c>
      <c r="E166" t="inlineStr">
        <is>
          <t>Scripps Hospital Drive</t>
        </is>
      </c>
      <c r="F166" t="inlineStr">
        <is>
          <t>1107522037</t>
        </is>
      </c>
      <c r="G166" t="n">
        <v>45</v>
      </c>
      <c r="H166" t="inlineStr">
        <is>
          <t>tag</t>
        </is>
      </c>
      <c r="I166" t="inlineStr">
        <is>
          <t>no</t>
        </is>
      </c>
      <c r="J166" t="inlineStr">
        <is>
          <t>https://www.google.com/maps/@?api=1&amp;map_action=pano&amp;viewpoint=32.886190,-117.223840&amp;heading=115</t>
        </is>
      </c>
      <c r="K166" t="inlineStr">
        <is>
          <t>https://www.google.com/maps/search/?api=1&amp;query=32.886190,-117.223840</t>
        </is>
      </c>
      <c r="L166" t="inlineStr"/>
      <c r="M166" t="inlineStr"/>
      <c r="N166" t="inlineStr"/>
      <c r="O166" t="inlineStr"/>
      <c r="P166" t="inlineStr">
        <is>
          <t>pending</t>
        </is>
      </c>
      <c r="Q166" t="inlineStr"/>
      <c r="R166" t="inlineStr"/>
      <c r="S166" t="inlineStr"/>
      <c r="T166" t="inlineStr"/>
      <c r="U166" t="inlineStr"/>
      <c r="V166">
        <f>IF(OR(L166="",S166=""),"",IF(VALUE(L166)=VALUE(S166),"Y","N"))</f>
        <v/>
      </c>
      <c r="W166">
        <f>IF(V166="Y",S166,"")</f>
        <v/>
      </c>
      <c r="X166" t="inlineStr">
        <is>
          <t>unverified: map has 45 mph (OSM tag only); main road: what is posted? 35 or lower opens it to LSVs</t>
        </is>
      </c>
      <c r="Y166" t="inlineStr"/>
      <c r="Z166" t="n">
        <v>1556</v>
      </c>
      <c r="AA166" t="inlineStr">
        <is>
          <t>sd</t>
        </is>
      </c>
      <c r="AB166" t="inlineStr">
        <is>
          <t>sd|32.88619,-117.22384</t>
        </is>
      </c>
    </row>
    <row r="167">
      <c r="A167" t="inlineStr">
        <is>
          <t>SD-B2-166</t>
        </is>
      </c>
      <c r="B167" t="inlineStr">
        <is>
          <t>San Diego area</t>
        </is>
      </c>
      <c r="C167" t="inlineStr">
        <is>
          <t>Genesee Avenue</t>
        </is>
      </c>
      <c r="D167" t="inlineStr">
        <is>
          <t>Centurion Square</t>
        </is>
      </c>
      <c r="E167" t="inlineStr">
        <is>
          <t>Executive Drive</t>
        </is>
      </c>
      <c r="F167" t="inlineStr">
        <is>
          <t>103615721</t>
        </is>
      </c>
      <c r="G167" t="n">
        <v>45</v>
      </c>
      <c r="H167" t="inlineStr">
        <is>
          <t>tag</t>
        </is>
      </c>
      <c r="I167" t="inlineStr">
        <is>
          <t>no</t>
        </is>
      </c>
      <c r="J167" t="inlineStr">
        <is>
          <t>https://www.google.com/maps/@?api=1&amp;map_action=pano&amp;viewpoint=32.858000,-117.205680&amp;heading=145</t>
        </is>
      </c>
      <c r="K167" t="inlineStr">
        <is>
          <t>https://www.google.com/maps/search/?api=1&amp;query=32.858000,-117.205680</t>
        </is>
      </c>
      <c r="L167" t="inlineStr"/>
      <c r="M167" t="inlineStr"/>
      <c r="N167" t="inlineStr"/>
      <c r="O167" t="inlineStr"/>
      <c r="P167" t="inlineStr">
        <is>
          <t>pending</t>
        </is>
      </c>
      <c r="Q167" t="inlineStr"/>
      <c r="R167" t="inlineStr"/>
      <c r="S167" t="inlineStr"/>
      <c r="T167" t="inlineStr"/>
      <c r="U167" t="inlineStr"/>
      <c r="V167">
        <f>IF(OR(L167="",S167=""),"",IF(VALUE(L167)=VALUE(S167),"Y","N"))</f>
        <v/>
      </c>
      <c r="W167">
        <f>IF(V167="Y",S167,"")</f>
        <v/>
      </c>
      <c r="X167" t="inlineStr">
        <is>
          <t>unverified: map has 45 mph (OSM tag only); main road: what is posted? 35 or lower opens it to LSVs</t>
        </is>
      </c>
      <c r="Y167" t="inlineStr"/>
      <c r="Z167" t="n">
        <v>3877</v>
      </c>
      <c r="AA167" t="inlineStr">
        <is>
          <t>sd</t>
        </is>
      </c>
      <c r="AB167" t="inlineStr">
        <is>
          <t>sd|32.85800,-117.20568</t>
        </is>
      </c>
    </row>
    <row r="168">
      <c r="A168" t="inlineStr">
        <is>
          <t>SD-B2-167</t>
        </is>
      </c>
      <c r="B168" t="inlineStr">
        <is>
          <t>San Diego area</t>
        </is>
      </c>
      <c r="C168" t="inlineStr">
        <is>
          <t>Genesee Avenue</t>
        </is>
      </c>
      <c r="D168" t="inlineStr">
        <is>
          <t>Decoro Street</t>
        </is>
      </c>
      <c r="E168" t="inlineStr">
        <is>
          <t>Governor Drive</t>
        </is>
      </c>
      <c r="F168" t="inlineStr">
        <is>
          <t>436322178</t>
        </is>
      </c>
      <c r="G168" t="n">
        <v>45</v>
      </c>
      <c r="H168" t="inlineStr">
        <is>
          <t>tag</t>
        </is>
      </c>
      <c r="I168" t="inlineStr">
        <is>
          <t>no</t>
        </is>
      </c>
      <c r="J168" t="inlineStr">
        <is>
          <t>https://www.google.com/maps/@?api=1&amp;map_action=pano&amp;viewpoint=32.860095,-117.207915&amp;heading=308</t>
        </is>
      </c>
      <c r="K168" t="inlineStr">
        <is>
          <t>https://www.google.com/maps/search/?api=1&amp;query=32.860095,-117.207915</t>
        </is>
      </c>
      <c r="L168" t="inlineStr"/>
      <c r="M168" t="inlineStr"/>
      <c r="N168" t="inlineStr"/>
      <c r="O168" t="inlineStr"/>
      <c r="P168" t="inlineStr">
        <is>
          <t>pending</t>
        </is>
      </c>
      <c r="Q168" t="inlineStr"/>
      <c r="R168" t="inlineStr"/>
      <c r="S168" t="inlineStr"/>
      <c r="T168" t="inlineStr"/>
      <c r="U168" t="inlineStr"/>
      <c r="V168">
        <f>IF(OR(L168="",S168=""),"",IF(VALUE(L168)=VALUE(S168),"Y","N"))</f>
        <v/>
      </c>
      <c r="W168">
        <f>IF(V168="Y",S168,"")</f>
        <v/>
      </c>
      <c r="X168" t="inlineStr">
        <is>
          <t>unverified: map has 45 mph (OSM tag only); main road: what is posted? 35 or lower opens it to LSVs</t>
        </is>
      </c>
      <c r="Y168" t="inlineStr"/>
      <c r="Z168" t="n">
        <v>3079</v>
      </c>
      <c r="AA168" t="inlineStr">
        <is>
          <t>sd</t>
        </is>
      </c>
      <c r="AB168" t="inlineStr">
        <is>
          <t>sd|32.86010,-117.20791</t>
        </is>
      </c>
    </row>
    <row r="169">
      <c r="A169" t="inlineStr">
        <is>
          <t>SD-B2-168</t>
        </is>
      </c>
      <c r="B169" t="inlineStr">
        <is>
          <t>San Diego area</t>
        </is>
      </c>
      <c r="C169" t="inlineStr">
        <is>
          <t>Sorrento Valley Road</t>
        </is>
      </c>
      <c r="D169" t="inlineStr">
        <is>
          <t>(see map link)</t>
        </is>
      </c>
      <c r="E169" t="inlineStr">
        <is>
          <t>Carroll Canyon Road</t>
        </is>
      </c>
      <c r="F169" t="inlineStr">
        <is>
          <t>436415538</t>
        </is>
      </c>
      <c r="G169" t="n">
        <v>45</v>
      </c>
      <c r="H169" t="inlineStr">
        <is>
          <t>tag</t>
        </is>
      </c>
      <c r="I169" t="inlineStr">
        <is>
          <t>no</t>
        </is>
      </c>
      <c r="J169" t="inlineStr">
        <is>
          <t>https://www.google.com/maps/@?api=1&amp;map_action=pano&amp;viewpoint=32.893160,-117.215200&amp;heading=309</t>
        </is>
      </c>
      <c r="K169" t="inlineStr">
        <is>
          <t>https://www.google.com/maps/search/?api=1&amp;query=32.893160,-117.215200</t>
        </is>
      </c>
      <c r="L169" t="inlineStr"/>
      <c r="M169" t="inlineStr"/>
      <c r="N169" t="inlineStr"/>
      <c r="O169" t="inlineStr"/>
      <c r="P169" t="inlineStr">
        <is>
          <t>pending</t>
        </is>
      </c>
      <c r="Q169" t="inlineStr"/>
      <c r="R169" t="inlineStr"/>
      <c r="S169" t="inlineStr"/>
      <c r="T169" t="inlineStr"/>
      <c r="U169" t="inlineStr"/>
      <c r="V169">
        <f>IF(OR(L169="",S169=""),"",IF(VALUE(L169)=VALUE(S169),"Y","N"))</f>
        <v/>
      </c>
      <c r="W169">
        <f>IF(V169="Y",S169,"")</f>
        <v/>
      </c>
      <c r="X169" t="inlineStr">
        <is>
          <t>unverified: map has 45 mph (OSM tag only); main road: what is posted? 35 or lower opens it to LSVs</t>
        </is>
      </c>
      <c r="Y169" t="inlineStr"/>
      <c r="Z169" t="n">
        <v>1828</v>
      </c>
      <c r="AA169" t="inlineStr">
        <is>
          <t>sd</t>
        </is>
      </c>
      <c r="AB169" t="inlineStr">
        <is>
          <t>sd|32.89316,-117.21520</t>
        </is>
      </c>
    </row>
    <row r="170">
      <c r="A170" t="inlineStr">
        <is>
          <t>SD-B2-169</t>
        </is>
      </c>
      <c r="B170" t="inlineStr">
        <is>
          <t>San Diego area</t>
        </is>
      </c>
      <c r="C170" t="inlineStr">
        <is>
          <t>Sorrento Valley Road</t>
        </is>
      </c>
      <c r="D170" t="inlineStr">
        <is>
          <t>(see map link)</t>
        </is>
      </c>
      <c r="E170" t="inlineStr">
        <is>
          <t>Arbutus Street</t>
        </is>
      </c>
      <c r="F170" t="inlineStr">
        <is>
          <t>390370818</t>
        </is>
      </c>
      <c r="G170" t="n">
        <v>45</v>
      </c>
      <c r="H170" t="inlineStr">
        <is>
          <t>tag</t>
        </is>
      </c>
      <c r="I170" t="inlineStr">
        <is>
          <t>no</t>
        </is>
      </c>
      <c r="J170" t="inlineStr">
        <is>
          <t>https://www.google.com/maps/@?api=1&amp;map_action=pano&amp;viewpoint=32.892850,-117.214990&amp;heading=130</t>
        </is>
      </c>
      <c r="K170" t="inlineStr">
        <is>
          <t>https://www.google.com/maps/search/?api=1&amp;query=32.892850,-117.214990</t>
        </is>
      </c>
      <c r="L170" t="inlineStr"/>
      <c r="M170" t="inlineStr"/>
      <c r="N170" t="inlineStr"/>
      <c r="O170" t="inlineStr"/>
      <c r="P170" t="inlineStr">
        <is>
          <t>pending</t>
        </is>
      </c>
      <c r="Q170" t="inlineStr"/>
      <c r="R170" t="inlineStr"/>
      <c r="S170" t="inlineStr"/>
      <c r="T170" t="inlineStr"/>
      <c r="U170" t="inlineStr"/>
      <c r="V170">
        <f>IF(OR(L170="",S170=""),"",IF(VALUE(L170)=VALUE(S170),"Y","N"))</f>
        <v/>
      </c>
      <c r="W170">
        <f>IF(V170="Y",S170,"")</f>
        <v/>
      </c>
      <c r="X170" t="inlineStr">
        <is>
          <t>unverified: map has 45 mph (OSM tag only); main road: what is posted? 35 or lower opens it to LSVs</t>
        </is>
      </c>
      <c r="Y170" t="inlineStr"/>
      <c r="Z170" t="n">
        <v>1529</v>
      </c>
      <c r="AA170" t="inlineStr">
        <is>
          <t>sd</t>
        </is>
      </c>
      <c r="AB170" t="inlineStr">
        <is>
          <t>sd|32.89285,-117.21499</t>
        </is>
      </c>
    </row>
    <row r="171">
      <c r="A171" t="inlineStr">
        <is>
          <t>SD-B2-170</t>
        </is>
      </c>
      <c r="B171" t="inlineStr">
        <is>
          <t>San Diego area</t>
        </is>
      </c>
      <c r="C171" t="inlineStr">
        <is>
          <t>El Camino Real</t>
        </is>
      </c>
      <c r="D171" t="inlineStr">
        <is>
          <t>(see map link)</t>
        </is>
      </c>
      <c r="E171" t="inlineStr">
        <is>
          <t>Caminito Court</t>
        </is>
      </c>
      <c r="F171" t="inlineStr">
        <is>
          <t>1342261314</t>
        </is>
      </c>
      <c r="G171" t="n">
        <v>45</v>
      </c>
      <c r="H171" t="inlineStr">
        <is>
          <t>tag</t>
        </is>
      </c>
      <c r="I171" t="inlineStr">
        <is>
          <t>no</t>
        </is>
      </c>
      <c r="J171" t="inlineStr">
        <is>
          <t>https://www.google.com/maps/@?api=1&amp;map_action=pano&amp;viewpoint=32.946890,-117.237880&amp;heading=210</t>
        </is>
      </c>
      <c r="K171" t="inlineStr">
        <is>
          <t>https://www.google.com/maps/search/?api=1&amp;query=32.946890,-117.237880</t>
        </is>
      </c>
      <c r="L171" t="inlineStr"/>
      <c r="M171" t="inlineStr"/>
      <c r="N171" t="inlineStr"/>
      <c r="O171" t="inlineStr"/>
      <c r="P171" t="inlineStr">
        <is>
          <t>pending</t>
        </is>
      </c>
      <c r="Q171" t="inlineStr"/>
      <c r="R171" t="inlineStr"/>
      <c r="S171" t="inlineStr"/>
      <c r="T171" t="inlineStr"/>
      <c r="U171" t="inlineStr"/>
      <c r="V171">
        <f>IF(OR(L171="",S171=""),"",IF(VALUE(L171)=VALUE(S171),"Y","N"))</f>
        <v/>
      </c>
      <c r="W171">
        <f>IF(V171="Y",S171,"")</f>
        <v/>
      </c>
      <c r="X171" t="inlineStr">
        <is>
          <t>unverified: map has 45 mph (OSM tag only); main road: what is posted? 35 or lower opens it to LSVs</t>
        </is>
      </c>
      <c r="Y171" t="inlineStr"/>
      <c r="Z171" t="n">
        <v>2516</v>
      </c>
      <c r="AA171" t="inlineStr">
        <is>
          <t>sd</t>
        </is>
      </c>
      <c r="AB171" t="inlineStr">
        <is>
          <t>sd|32.94689,-117.23788</t>
        </is>
      </c>
    </row>
    <row r="172">
      <c r="A172" t="inlineStr">
        <is>
          <t>SD-B2-171</t>
        </is>
      </c>
      <c r="B172" t="inlineStr">
        <is>
          <t>San Diego area</t>
        </is>
      </c>
      <c r="C172" t="inlineStr">
        <is>
          <t>El Camino Real</t>
        </is>
      </c>
      <c r="D172" t="inlineStr">
        <is>
          <t>Donahue Driveway</t>
        </is>
      </c>
      <c r="E172" t="inlineStr">
        <is>
          <t>High Bluff Drive</t>
        </is>
      </c>
      <c r="F172" t="inlineStr">
        <is>
          <t>1086859298</t>
        </is>
      </c>
      <c r="G172" t="n">
        <v>45</v>
      </c>
      <c r="H172" t="inlineStr">
        <is>
          <t>tag</t>
        </is>
      </c>
      <c r="I172" t="inlineStr">
        <is>
          <t>no</t>
        </is>
      </c>
      <c r="J172" t="inlineStr">
        <is>
          <t>https://www.google.com/maps/@?api=1&amp;map_action=pano&amp;viewpoint=32.974420,-117.233290&amp;heading=81</t>
        </is>
      </c>
      <c r="K172" t="inlineStr">
        <is>
          <t>https://www.google.com/maps/search/?api=1&amp;query=32.974420,-117.233290</t>
        </is>
      </c>
      <c r="L172" t="inlineStr"/>
      <c r="M172" t="inlineStr"/>
      <c r="N172" t="inlineStr"/>
      <c r="O172" t="inlineStr"/>
      <c r="P172" t="inlineStr">
        <is>
          <t>pending</t>
        </is>
      </c>
      <c r="Q172" t="inlineStr"/>
      <c r="R172" t="inlineStr"/>
      <c r="S172" t="inlineStr"/>
      <c r="T172" t="inlineStr"/>
      <c r="U172" t="inlineStr"/>
      <c r="V172">
        <f>IF(OR(L172="",S172=""),"",IF(VALUE(L172)=VALUE(S172),"Y","N"))</f>
        <v/>
      </c>
      <c r="W172">
        <f>IF(V172="Y",S172,"")</f>
        <v/>
      </c>
      <c r="X172" t="inlineStr">
        <is>
          <t>unverified: map has 45 mph (OSM tag only); main road: what is posted? 35 or lower opens it to LSVs</t>
        </is>
      </c>
      <c r="Y172" t="inlineStr"/>
      <c r="Z172" t="n">
        <v>5255</v>
      </c>
      <c r="AA172" t="inlineStr">
        <is>
          <t>sd</t>
        </is>
      </c>
      <c r="AB172" t="inlineStr">
        <is>
          <t>sd|32.97442,-117.23329</t>
        </is>
      </c>
    </row>
    <row r="173">
      <c r="A173" t="inlineStr">
        <is>
          <t>SD-B2-172</t>
        </is>
      </c>
      <c r="B173" t="inlineStr">
        <is>
          <t>San Diego area</t>
        </is>
      </c>
      <c r="C173" t="inlineStr">
        <is>
          <t>Via de la Valle</t>
        </is>
      </c>
      <c r="D173" t="inlineStr">
        <is>
          <t>Las Palomas</t>
        </is>
      </c>
      <c r="E173" t="inlineStr">
        <is>
          <t>Cancha de Golf</t>
        </is>
      </c>
      <c r="F173" t="inlineStr">
        <is>
          <t>251548781</t>
        </is>
      </c>
      <c r="G173" t="n">
        <v>45</v>
      </c>
      <c r="H173" t="inlineStr">
        <is>
          <t>tag</t>
        </is>
      </c>
      <c r="I173" t="inlineStr">
        <is>
          <t>no</t>
        </is>
      </c>
      <c r="J173" t="inlineStr">
        <is>
          <t>https://www.google.com/maps/@?api=1&amp;map_action=pano&amp;viewpoint=32.998080,-117.206930&amp;heading=37</t>
        </is>
      </c>
      <c r="K173" t="inlineStr">
        <is>
          <t>https://www.google.com/maps/search/?api=1&amp;query=32.998080,-117.206930</t>
        </is>
      </c>
      <c r="L173" t="inlineStr"/>
      <c r="M173" t="inlineStr"/>
      <c r="N173" t="inlineStr"/>
      <c r="O173" t="inlineStr"/>
      <c r="P173" t="inlineStr">
        <is>
          <t>pending</t>
        </is>
      </c>
      <c r="Q173" t="inlineStr"/>
      <c r="R173" t="inlineStr"/>
      <c r="S173" t="inlineStr"/>
      <c r="T173" t="inlineStr"/>
      <c r="U173" t="inlineStr"/>
      <c r="V173">
        <f>IF(OR(L173="",S173=""),"",IF(VALUE(L173)=VALUE(S173),"Y","N"))</f>
        <v/>
      </c>
      <c r="W173">
        <f>IF(V173="Y",S173,"")</f>
        <v/>
      </c>
      <c r="X173" t="inlineStr">
        <is>
          <t>unverified: map has 45 mph (OSM tag only); main road: what is posted? 35 or lower opens it to LSVs</t>
        </is>
      </c>
      <c r="Y173" t="inlineStr"/>
      <c r="Z173" t="n">
        <v>1682</v>
      </c>
      <c r="AA173" t="inlineStr">
        <is>
          <t>sd</t>
        </is>
      </c>
      <c r="AB173" t="inlineStr">
        <is>
          <t>sd|32.99808,-117.20693</t>
        </is>
      </c>
    </row>
    <row r="174">
      <c r="A174" t="inlineStr">
        <is>
          <t>SD-B2-173</t>
        </is>
      </c>
      <c r="B174" t="inlineStr">
        <is>
          <t>San Diego area</t>
        </is>
      </c>
      <c r="C174" t="inlineStr">
        <is>
          <t>Manchester Avenue</t>
        </is>
      </c>
      <c r="D174" t="inlineStr">
        <is>
          <t>(see map link)</t>
        </is>
      </c>
      <c r="E174" t="inlineStr">
        <is>
          <t>Mira Costa College Road</t>
        </is>
      </c>
      <c r="F174" t="inlineStr">
        <is>
          <t>222593888</t>
        </is>
      </c>
      <c r="G174" t="n">
        <v>45</v>
      </c>
      <c r="H174" t="inlineStr">
        <is>
          <t>tag</t>
        </is>
      </c>
      <c r="I174" t="inlineStr">
        <is>
          <t>no</t>
        </is>
      </c>
      <c r="J174" t="inlineStr">
        <is>
          <t>https://www.google.com/maps/@?api=1&amp;map_action=pano&amp;viewpoint=33.017250,-117.255850&amp;heading=32</t>
        </is>
      </c>
      <c r="K174" t="inlineStr">
        <is>
          <t>https://www.google.com/maps/search/?api=1&amp;query=33.017250,-117.255850</t>
        </is>
      </c>
      <c r="L174" t="inlineStr"/>
      <c r="M174" t="inlineStr"/>
      <c r="N174" t="inlineStr"/>
      <c r="O174" t="inlineStr"/>
      <c r="P174" t="inlineStr">
        <is>
          <t>pending</t>
        </is>
      </c>
      <c r="Q174" t="inlineStr"/>
      <c r="R174" t="inlineStr"/>
      <c r="S174" t="inlineStr"/>
      <c r="T174" t="inlineStr"/>
      <c r="U174" t="inlineStr"/>
      <c r="V174">
        <f>IF(OR(L174="",S174=""),"",IF(VALUE(L174)=VALUE(S174),"Y","N"))</f>
        <v/>
      </c>
      <c r="W174">
        <f>IF(V174="Y",S174,"")</f>
        <v/>
      </c>
      <c r="X174" t="inlineStr">
        <is>
          <t>unverified: map has 45 mph (OSM tag only); main road: what is posted? 35 or lower opens it to LSVs</t>
        </is>
      </c>
      <c r="Y174" t="inlineStr"/>
      <c r="Z174" t="n">
        <v>1545</v>
      </c>
      <c r="AA174" t="inlineStr">
        <is>
          <t>sd</t>
        </is>
      </c>
      <c r="AB174" t="inlineStr">
        <is>
          <t>sd|33.01725,-117.25585</t>
        </is>
      </c>
    </row>
    <row r="175">
      <c r="A175" t="inlineStr">
        <is>
          <t>SD-B2-174</t>
        </is>
      </c>
      <c r="B175" t="inlineStr">
        <is>
          <t>San Diego area</t>
        </is>
      </c>
      <c r="C175" t="inlineStr">
        <is>
          <t>Encinitas Boulevard</t>
        </is>
      </c>
      <c r="D175" t="inlineStr">
        <is>
          <t>Via Cantebria</t>
        </is>
      </c>
      <c r="E175" t="inlineStr">
        <is>
          <t>Delphinium Street</t>
        </is>
      </c>
      <c r="F175" t="inlineStr">
        <is>
          <t>6006094</t>
        </is>
      </c>
      <c r="G175" t="n">
        <v>45</v>
      </c>
      <c r="H175" t="inlineStr">
        <is>
          <t>tag</t>
        </is>
      </c>
      <c r="I175" t="inlineStr">
        <is>
          <t>no</t>
        </is>
      </c>
      <c r="J175" t="inlineStr">
        <is>
          <t>https://www.google.com/maps/@?api=1&amp;map_action=pano&amp;viewpoint=33.046095,-117.265740&amp;heading=93</t>
        </is>
      </c>
      <c r="K175" t="inlineStr">
        <is>
          <t>https://www.google.com/maps/search/?api=1&amp;query=33.046095,-117.265740</t>
        </is>
      </c>
      <c r="L175" t="inlineStr"/>
      <c r="M175" t="inlineStr"/>
      <c r="N175" t="inlineStr"/>
      <c r="O175" t="inlineStr"/>
      <c r="P175" t="inlineStr">
        <is>
          <t>pending</t>
        </is>
      </c>
      <c r="Q175" t="inlineStr"/>
      <c r="R175" t="inlineStr"/>
      <c r="S175" t="inlineStr"/>
      <c r="T175" t="inlineStr"/>
      <c r="U175" t="inlineStr"/>
      <c r="V175">
        <f>IF(OR(L175="",S175=""),"",IF(VALUE(L175)=VALUE(S175),"Y","N"))</f>
        <v/>
      </c>
      <c r="W175">
        <f>IF(V175="Y",S175,"")</f>
        <v/>
      </c>
      <c r="X175" t="inlineStr">
        <is>
          <t>unverified: map has 45 mph (OSM tag only); main road: what is posted? 35 or lower opens it to LSVs</t>
        </is>
      </c>
      <c r="Y175" t="inlineStr"/>
      <c r="Z175" t="n">
        <v>1552</v>
      </c>
      <c r="AA175" t="inlineStr">
        <is>
          <t>sd</t>
        </is>
      </c>
      <c r="AB175" t="inlineStr">
        <is>
          <t>sd|33.04610,-117.26574</t>
        </is>
      </c>
    </row>
    <row r="176">
      <c r="A176" t="inlineStr">
        <is>
          <t>SD-B2-175</t>
        </is>
      </c>
      <c r="B176" t="inlineStr">
        <is>
          <t>San Diego area</t>
        </is>
      </c>
      <c r="C176" t="inlineStr">
        <is>
          <t>College Boulevard</t>
        </is>
      </c>
      <c r="D176" t="inlineStr">
        <is>
          <t>Tamarack Avenue</t>
        </is>
      </c>
      <c r="E176" t="inlineStr">
        <is>
          <t>Bobcat Boulevard</t>
        </is>
      </c>
      <c r="F176" t="inlineStr">
        <is>
          <t>647954797</t>
        </is>
      </c>
      <c r="G176" t="n">
        <v>45</v>
      </c>
      <c r="H176" t="inlineStr">
        <is>
          <t>tag</t>
        </is>
      </c>
      <c r="I176" t="inlineStr">
        <is>
          <t>no</t>
        </is>
      </c>
      <c r="J176" t="inlineStr">
        <is>
          <t>https://www.google.com/maps/@?api=1&amp;map_action=pano&amp;viewpoint=33.157920,-117.290050&amp;heading=312</t>
        </is>
      </c>
      <c r="K176" t="inlineStr">
        <is>
          <t>https://www.google.com/maps/search/?api=1&amp;query=33.157920,-117.290050</t>
        </is>
      </c>
      <c r="L176" t="inlineStr"/>
      <c r="M176" t="inlineStr"/>
      <c r="N176" t="inlineStr"/>
      <c r="O176" t="inlineStr"/>
      <c r="P176" t="inlineStr">
        <is>
          <t>pending</t>
        </is>
      </c>
      <c r="Q176" t="inlineStr"/>
      <c r="R176" t="inlineStr"/>
      <c r="S176" t="inlineStr"/>
      <c r="T176" t="inlineStr"/>
      <c r="U176" t="inlineStr"/>
      <c r="V176">
        <f>IF(OR(L176="",S176=""),"",IF(VALUE(L176)=VALUE(S176),"Y","N"))</f>
        <v/>
      </c>
      <c r="W176">
        <f>IF(V176="Y",S176,"")</f>
        <v/>
      </c>
      <c r="X176" t="inlineStr">
        <is>
          <t>unverified: map has 45 mph (OSM tag only); main road: what is posted? 35 or lower opens it to LSVs</t>
        </is>
      </c>
      <c r="Y176" t="inlineStr"/>
      <c r="Z176" t="n">
        <v>3182</v>
      </c>
      <c r="AA176" t="inlineStr">
        <is>
          <t>sd</t>
        </is>
      </c>
      <c r="AB176" t="inlineStr">
        <is>
          <t>sd|33.15792,-117.29005</t>
        </is>
      </c>
    </row>
    <row r="177">
      <c r="A177" t="inlineStr">
        <is>
          <t>SD-B2-176</t>
        </is>
      </c>
      <c r="B177" t="inlineStr">
        <is>
          <t>San Diego area</t>
        </is>
      </c>
      <c r="C177" t="inlineStr">
        <is>
          <t>College Boulevard</t>
        </is>
      </c>
      <c r="D177" t="inlineStr">
        <is>
          <t>Cannon Road</t>
        </is>
      </c>
      <c r="E177" t="inlineStr">
        <is>
          <t>Barnard Drive</t>
        </is>
      </c>
      <c r="F177" t="inlineStr">
        <is>
          <t>436399224</t>
        </is>
      </c>
      <c r="G177" t="n">
        <v>35</v>
      </c>
      <c r="H177" t="inlineStr">
        <is>
          <t>tag</t>
        </is>
      </c>
      <c r="I177" t="inlineStr">
        <is>
          <t>LSV</t>
        </is>
      </c>
      <c r="J177" t="inlineStr">
        <is>
          <t>https://www.google.com/maps/@?api=1&amp;map_action=pano&amp;viewpoint=33.156920,-117.288950&amp;heading=132</t>
        </is>
      </c>
      <c r="K177" t="inlineStr">
        <is>
          <t>https://www.google.com/maps/search/?api=1&amp;query=33.156920,-117.288950</t>
        </is>
      </c>
      <c r="L177" t="inlineStr"/>
      <c r="M177" t="inlineStr"/>
      <c r="N177" t="inlineStr"/>
      <c r="O177" t="inlineStr"/>
      <c r="P177" t="inlineStr">
        <is>
          <t>pending</t>
        </is>
      </c>
      <c r="Q177" t="inlineStr"/>
      <c r="R177" t="inlineStr"/>
      <c r="S177" t="inlineStr"/>
      <c r="T177" t="inlineStr"/>
      <c r="U177" t="inlineStr"/>
      <c r="V177">
        <f>IF(OR(L177="",S177=""),"",IF(VALUE(L177)=VALUE(S177),"Y","N"))</f>
        <v/>
      </c>
      <c r="W177">
        <f>IF(V177="Y",S177,"")</f>
        <v/>
      </c>
      <c r="X177" t="inlineStr">
        <is>
          <t>unverified: map has 35 mph (OSM tag only); is it 35 (LSV OK) or 40+?</t>
        </is>
      </c>
      <c r="Y177" t="inlineStr"/>
      <c r="Z177" t="n">
        <v>3947</v>
      </c>
      <c r="AA177" t="inlineStr">
        <is>
          <t>sd</t>
        </is>
      </c>
      <c r="AB177" t="inlineStr">
        <is>
          <t>sd|33.15692,-117.28895</t>
        </is>
      </c>
    </row>
    <row r="178">
      <c r="A178" t="inlineStr">
        <is>
          <t>SD-B2-177</t>
        </is>
      </c>
      <c r="B178" t="inlineStr">
        <is>
          <t>San Diego area</t>
        </is>
      </c>
      <c r="C178" t="inlineStr">
        <is>
          <t>Carlsbad Village Drive</t>
        </is>
      </c>
      <c r="D178" t="inlineStr">
        <is>
          <t>Harwich Drive</t>
        </is>
      </c>
      <c r="E178" t="inlineStr">
        <is>
          <t>College Boulevard</t>
        </is>
      </c>
      <c r="F178" t="inlineStr">
        <is>
          <t>225875516</t>
        </is>
      </c>
      <c r="G178" t="n">
        <v>40</v>
      </c>
      <c r="H178" t="inlineStr">
        <is>
          <t>tag</t>
        </is>
      </c>
      <c r="I178" t="inlineStr">
        <is>
          <t>no</t>
        </is>
      </c>
      <c r="J178" t="inlineStr">
        <is>
          <t>https://www.google.com/maps/@?api=1&amp;map_action=pano&amp;viewpoint=33.172240,-117.309600&amp;heading=120</t>
        </is>
      </c>
      <c r="K178" t="inlineStr">
        <is>
          <t>https://www.google.com/maps/search/?api=1&amp;query=33.172240,-117.309600</t>
        </is>
      </c>
      <c r="L178" t="inlineStr"/>
      <c r="M178" t="inlineStr"/>
      <c r="N178" t="inlineStr"/>
      <c r="O178" t="inlineStr"/>
      <c r="P178" t="inlineStr">
        <is>
          <t>pending</t>
        </is>
      </c>
      <c r="Q178" t="inlineStr"/>
      <c r="R178" t="inlineStr"/>
      <c r="S178" t="inlineStr"/>
      <c r="T178" t="inlineStr"/>
      <c r="U178" t="inlineStr"/>
      <c r="V178">
        <f>IF(OR(L178="",S178=""),"",IF(VALUE(L178)=VALUE(S178),"Y","N"))</f>
        <v/>
      </c>
      <c r="W178">
        <f>IF(V178="Y",S178,"")</f>
        <v/>
      </c>
      <c r="X178" t="inlineStr">
        <is>
          <t>unverified: map has 40 mph (OSM tag only); is it 35 (LSV OK) or 40+?</t>
        </is>
      </c>
      <c r="Y178" t="inlineStr"/>
      <c r="Z178" t="n">
        <v>5430</v>
      </c>
      <c r="AA178" t="inlineStr">
        <is>
          <t>sd</t>
        </is>
      </c>
      <c r="AB178" t="inlineStr">
        <is>
          <t>sd|33.17224,-117.30960</t>
        </is>
      </c>
    </row>
    <row r="179">
      <c r="A179" t="inlineStr">
        <is>
          <t>SD-B2-178</t>
        </is>
      </c>
      <c r="B179" t="inlineStr">
        <is>
          <t>San Diego area</t>
        </is>
      </c>
      <c r="C179" t="inlineStr">
        <is>
          <t>College Boulevard</t>
        </is>
      </c>
      <c r="D179" t="inlineStr">
        <is>
          <t>(see map link)</t>
        </is>
      </c>
      <c r="E179" t="inlineStr">
        <is>
          <t>Adams Street</t>
        </is>
      </c>
      <c r="F179" t="inlineStr">
        <is>
          <t>1342570672</t>
        </is>
      </c>
      <c r="G179" t="n">
        <v>45</v>
      </c>
      <c r="H179" t="inlineStr">
        <is>
          <t>tag</t>
        </is>
      </c>
      <c r="I179" t="inlineStr">
        <is>
          <t>no</t>
        </is>
      </c>
      <c r="J179" t="inlineStr">
        <is>
          <t>https://www.google.com/maps/@?api=1&amp;map_action=pano&amp;viewpoint=33.248530,-117.293520&amp;heading=113</t>
        </is>
      </c>
      <c r="K179" t="inlineStr">
        <is>
          <t>https://www.google.com/maps/search/?api=1&amp;query=33.248530,-117.293520</t>
        </is>
      </c>
      <c r="L179" t="inlineStr"/>
      <c r="M179" t="inlineStr"/>
      <c r="N179" t="inlineStr"/>
      <c r="O179" t="inlineStr"/>
      <c r="P179" t="inlineStr">
        <is>
          <t>pending</t>
        </is>
      </c>
      <c r="Q179" t="inlineStr"/>
      <c r="R179" t="inlineStr"/>
      <c r="S179" t="inlineStr"/>
      <c r="T179" t="inlineStr"/>
      <c r="U179" t="inlineStr"/>
      <c r="V179">
        <f>IF(OR(L179="",S179=""),"",IF(VALUE(L179)=VALUE(S179),"Y","N"))</f>
        <v/>
      </c>
      <c r="W179">
        <f>IF(V179="Y",S179,"")</f>
        <v/>
      </c>
      <c r="X179" t="inlineStr">
        <is>
          <t>unverified: map has 45 mph (OSM tag only); main road: what is posted? 35 or lower opens it to LSVs</t>
        </is>
      </c>
      <c r="Y179" t="inlineStr"/>
      <c r="Z179" t="n">
        <v>1630</v>
      </c>
      <c r="AA179" t="inlineStr">
        <is>
          <t>sd</t>
        </is>
      </c>
      <c r="AB179" t="inlineStr">
        <is>
          <t>sd|33.24853,-117.29352</t>
        </is>
      </c>
    </row>
    <row r="180">
      <c r="A180" t="inlineStr">
        <is>
          <t>SD-B2-179</t>
        </is>
      </c>
      <c r="B180" t="inlineStr">
        <is>
          <t>San Diego area</t>
        </is>
      </c>
      <c r="C180" t="inlineStr">
        <is>
          <t>College Boulevard</t>
        </is>
      </c>
      <c r="D180" t="inlineStr">
        <is>
          <t>(see map link)</t>
        </is>
      </c>
      <c r="E180" t="inlineStr">
        <is>
          <t>Olive Avenue</t>
        </is>
      </c>
      <c r="F180" t="inlineStr">
        <is>
          <t>1342567984</t>
        </is>
      </c>
      <c r="G180" t="n">
        <v>45</v>
      </c>
      <c r="H180" t="inlineStr">
        <is>
          <t>tag</t>
        </is>
      </c>
      <c r="I180" t="inlineStr">
        <is>
          <t>no</t>
        </is>
      </c>
      <c r="J180" t="inlineStr">
        <is>
          <t>https://www.google.com/maps/@?api=1&amp;map_action=pano&amp;viewpoint=33.233410,-117.292540&amp;heading=15</t>
        </is>
      </c>
      <c r="K180" t="inlineStr">
        <is>
          <t>https://www.google.com/maps/search/?api=1&amp;query=33.233410,-117.292540</t>
        </is>
      </c>
      <c r="L180" t="inlineStr"/>
      <c r="M180" t="inlineStr"/>
      <c r="N180" t="inlineStr"/>
      <c r="O180" t="inlineStr"/>
      <c r="P180" t="inlineStr">
        <is>
          <t>pending</t>
        </is>
      </c>
      <c r="Q180" t="inlineStr"/>
      <c r="R180" t="inlineStr"/>
      <c r="S180" t="inlineStr"/>
      <c r="T180" t="inlineStr"/>
      <c r="U180" t="inlineStr"/>
      <c r="V180">
        <f>IF(OR(L180="",S180=""),"",IF(VALUE(L180)=VALUE(S180),"Y","N"))</f>
        <v/>
      </c>
      <c r="W180">
        <f>IF(V180="Y",S180,"")</f>
        <v/>
      </c>
      <c r="X180" t="inlineStr">
        <is>
          <t>unverified: map has 45 mph (OSM tag only); main road: what is posted? 35 or lower opens it to LSVs</t>
        </is>
      </c>
      <c r="Y180" t="inlineStr"/>
      <c r="Z180" t="n">
        <v>4763</v>
      </c>
      <c r="AA180" t="inlineStr">
        <is>
          <t>sd</t>
        </is>
      </c>
      <c r="AB180" t="inlineStr">
        <is>
          <t>sd|33.23341,-117.29254</t>
        </is>
      </c>
    </row>
    <row r="181">
      <c r="A181" t="inlineStr">
        <is>
          <t>SD-B2-180</t>
        </is>
      </c>
      <c r="B181" t="inlineStr">
        <is>
          <t>San Diego area</t>
        </is>
      </c>
      <c r="C181" t="inlineStr">
        <is>
          <t>Balboa Avenue</t>
        </is>
      </c>
      <c r="D181" t="inlineStr">
        <is>
          <t>Mercury Street</t>
        </is>
      </c>
      <c r="E181" t="inlineStr">
        <is>
          <t>Convoy Street</t>
        </is>
      </c>
      <c r="F181" t="inlineStr">
        <is>
          <t>621439879</t>
        </is>
      </c>
      <c r="G181" t="n">
        <v>35</v>
      </c>
      <c r="H181" t="inlineStr">
        <is>
          <t>tag</t>
        </is>
      </c>
      <c r="I181" t="inlineStr">
        <is>
          <t>LSV</t>
        </is>
      </c>
      <c r="J181" t="inlineStr">
        <is>
          <t>https://www.google.com/maps/@?api=1&amp;map_action=pano&amp;viewpoint=32.821735,-117.148125&amp;heading=91</t>
        </is>
      </c>
      <c r="K181" t="inlineStr">
        <is>
          <t>https://www.google.com/maps/search/?api=1&amp;query=32.821735,-117.148125</t>
        </is>
      </c>
      <c r="L181" t="inlineStr"/>
      <c r="M181" t="inlineStr"/>
      <c r="N181" t="inlineStr"/>
      <c r="O181" t="inlineStr"/>
      <c r="P181" t="inlineStr">
        <is>
          <t>pending</t>
        </is>
      </c>
      <c r="Q181" t="inlineStr"/>
      <c r="R181" t="inlineStr"/>
      <c r="S181" t="inlineStr"/>
      <c r="T181" t="inlineStr"/>
      <c r="U181" t="inlineStr"/>
      <c r="V181">
        <f>IF(OR(L181="",S181=""),"",IF(VALUE(L181)=VALUE(S181),"Y","N"))</f>
        <v/>
      </c>
      <c r="W181">
        <f>IF(V181="Y",S181,"")</f>
        <v/>
      </c>
      <c r="X181" t="inlineStr">
        <is>
          <t>unverified: map has 35 mph (OSM tag only); is it 35 (LSV OK) or 40+?</t>
        </is>
      </c>
      <c r="Y181" t="inlineStr"/>
      <c r="Z181" t="n">
        <v>1498</v>
      </c>
      <c r="AA181" t="inlineStr">
        <is>
          <t>sd</t>
        </is>
      </c>
      <c r="AB181" t="inlineStr">
        <is>
          <t>sd|32.82174,-117.14812</t>
        </is>
      </c>
    </row>
    <row r="182">
      <c r="A182" t="inlineStr">
        <is>
          <t>SD-B2-181</t>
        </is>
      </c>
      <c r="B182" t="inlineStr">
        <is>
          <t>San Diego area</t>
        </is>
      </c>
      <c r="C182" t="inlineStr">
        <is>
          <t>Home Avenue</t>
        </is>
      </c>
      <c r="D182" t="inlineStr">
        <is>
          <t>Beech Street</t>
        </is>
      </c>
      <c r="E182" t="inlineStr">
        <is>
          <t>Gateway Drive</t>
        </is>
      </c>
      <c r="F182" t="inlineStr">
        <is>
          <t>1339556036</t>
        </is>
      </c>
      <c r="G182" t="inlineStr"/>
      <c r="H182" t="inlineStr">
        <is>
          <t>inferred</t>
        </is>
      </c>
      <c r="I182" t="inlineStr">
        <is>
          <t>no</t>
        </is>
      </c>
      <c r="J182" t="inlineStr">
        <is>
          <t>https://www.google.com/maps/@?api=1&amp;map_action=pano&amp;viewpoint=32.720840,-117.109590&amp;heading=57</t>
        </is>
      </c>
      <c r="K182" t="inlineStr">
        <is>
          <t>https://www.google.com/maps/search/?api=1&amp;query=32.720840,-117.109590</t>
        </is>
      </c>
      <c r="L182" t="inlineStr"/>
      <c r="M182" t="inlineStr"/>
      <c r="N182" t="inlineStr"/>
      <c r="O182" t="inlineStr"/>
      <c r="P182" t="inlineStr">
        <is>
          <t>pending</t>
        </is>
      </c>
      <c r="Q182" t="inlineStr"/>
      <c r="R182" t="inlineStr"/>
      <c r="S182" t="inlineStr"/>
      <c r="T182" t="inlineStr"/>
      <c r="U182" t="inlineStr"/>
      <c r="V182">
        <f>IF(OR(L182="",S182=""),"",IF(VALUE(L182)=VALUE(S182),"Y","N"))</f>
        <v/>
      </c>
      <c r="W182">
        <f>IF(V182="Y",S182,"")</f>
        <v/>
      </c>
      <c r="X182" t="inlineStr">
        <is>
          <t>unverified: map has no limit (guessed from road type); main road: what is posted? 35 or lower opens it to LSVs</t>
        </is>
      </c>
      <c r="Y182" t="inlineStr"/>
      <c r="Z182" t="n">
        <v>1136</v>
      </c>
      <c r="AA182" t="inlineStr">
        <is>
          <t>sd</t>
        </is>
      </c>
      <c r="AB182" t="inlineStr">
        <is>
          <t>sd|32.72084,-117.10959</t>
        </is>
      </c>
    </row>
    <row r="183">
      <c r="A183" t="inlineStr">
        <is>
          <t>SD-B2-182</t>
        </is>
      </c>
      <c r="B183" t="inlineStr">
        <is>
          <t>San Diego area</t>
        </is>
      </c>
      <c r="C183" t="inlineStr">
        <is>
          <t>Ocean View Boulevard</t>
        </is>
      </c>
      <c r="D183" t="inlineStr">
        <is>
          <t>Commercial Street</t>
        </is>
      </c>
      <c r="E183" t="inlineStr">
        <is>
          <t>25th Street</t>
        </is>
      </c>
      <c r="F183" t="inlineStr">
        <is>
          <t>5972267</t>
        </is>
      </c>
      <c r="G183" t="inlineStr"/>
      <c r="H183" t="inlineStr">
        <is>
          <t>inferred</t>
        </is>
      </c>
      <c r="I183" t="inlineStr">
        <is>
          <t>no</t>
        </is>
      </c>
      <c r="J183" t="inlineStr">
        <is>
          <t>https://www.google.com/maps/@?api=1&amp;map_action=pano&amp;viewpoint=32.703850,-117.137845&amp;heading=130</t>
        </is>
      </c>
      <c r="K183" t="inlineStr">
        <is>
          <t>https://www.google.com/maps/search/?api=1&amp;query=32.703850,-117.137845</t>
        </is>
      </c>
      <c r="L183" t="inlineStr"/>
      <c r="M183" t="inlineStr"/>
      <c r="N183" t="inlineStr"/>
      <c r="O183" t="inlineStr"/>
      <c r="P183" t="inlineStr">
        <is>
          <t>pending</t>
        </is>
      </c>
      <c r="Q183" t="inlineStr"/>
      <c r="R183" t="inlineStr"/>
      <c r="S183" t="inlineStr"/>
      <c r="T183" t="inlineStr"/>
      <c r="U183" t="inlineStr"/>
      <c r="V183">
        <f>IF(OR(L183="",S183=""),"",IF(VALUE(L183)=VALUE(S183),"Y","N"))</f>
        <v/>
      </c>
      <c r="W183">
        <f>IF(V183="Y",S183,"")</f>
        <v/>
      </c>
      <c r="X183" t="inlineStr">
        <is>
          <t>unverified: map has no limit (guessed from road type); main road: what is posted? 35 or lower opens it to LSVs</t>
        </is>
      </c>
      <c r="Y183" t="inlineStr"/>
      <c r="Z183" t="n">
        <v>1361</v>
      </c>
      <c r="AA183" t="inlineStr">
        <is>
          <t>sd</t>
        </is>
      </c>
      <c r="AB183" t="inlineStr">
        <is>
          <t>sd|32.70385,-117.13784</t>
        </is>
      </c>
    </row>
    <row r="184">
      <c r="A184" t="inlineStr">
        <is>
          <t>SD-B2-183</t>
        </is>
      </c>
      <c r="B184" t="inlineStr">
        <is>
          <t>San Diego area</t>
        </is>
      </c>
      <c r="C184" t="inlineStr">
        <is>
          <t>25th Street</t>
        </is>
      </c>
      <c r="D184" t="inlineStr">
        <is>
          <t>East F Street</t>
        </is>
      </c>
      <c r="E184" t="inlineStr">
        <is>
          <t>Commercial Street</t>
        </is>
      </c>
      <c r="F184" t="inlineStr">
        <is>
          <t>1091336330</t>
        </is>
      </c>
      <c r="G184" t="inlineStr"/>
      <c r="H184" t="inlineStr">
        <is>
          <t>inferred</t>
        </is>
      </c>
      <c r="I184" t="inlineStr">
        <is>
          <t>no</t>
        </is>
      </c>
      <c r="J184" t="inlineStr">
        <is>
          <t>https://www.google.com/maps/@?api=1&amp;map_action=pano&amp;viewpoint=32.715025,-117.140285&amp;heading=359</t>
        </is>
      </c>
      <c r="K184" t="inlineStr">
        <is>
          <t>https://www.google.com/maps/search/?api=1&amp;query=32.715025,-117.140285</t>
        </is>
      </c>
      <c r="L184" t="inlineStr"/>
      <c r="M184" t="inlineStr"/>
      <c r="N184" t="inlineStr"/>
      <c r="O184" t="inlineStr"/>
      <c r="P184" t="inlineStr">
        <is>
          <t>pending</t>
        </is>
      </c>
      <c r="Q184" t="inlineStr"/>
      <c r="R184" t="inlineStr"/>
      <c r="S184" t="inlineStr"/>
      <c r="T184" t="inlineStr"/>
      <c r="U184" t="inlineStr"/>
      <c r="V184">
        <f>IF(OR(L184="",S184=""),"",IF(VALUE(L184)=VALUE(S184),"Y","N"))</f>
        <v/>
      </c>
      <c r="W184">
        <f>IF(V184="Y",S184,"")</f>
        <v/>
      </c>
      <c r="X184" t="inlineStr">
        <is>
          <t>unverified: map has no limit (guessed from road type); main road: what is posted? 35 or lower opens it to LSVs</t>
        </is>
      </c>
      <c r="Y184" t="inlineStr"/>
      <c r="Z184" t="n">
        <v>1344</v>
      </c>
      <c r="AA184" t="inlineStr">
        <is>
          <t>sd</t>
        </is>
      </c>
      <c r="AB184" t="inlineStr">
        <is>
          <t>sd|32.71502,-117.14029</t>
        </is>
      </c>
    </row>
    <row r="185">
      <c r="A185" t="inlineStr">
        <is>
          <t>SD-B2-184</t>
        </is>
      </c>
      <c r="B185" t="inlineStr">
        <is>
          <t>San Diego area</t>
        </is>
      </c>
      <c r="C185" t="inlineStr">
        <is>
          <t>East B Street</t>
        </is>
      </c>
      <c r="D185" t="inlineStr">
        <is>
          <t>North 19th Street</t>
        </is>
      </c>
      <c r="E185" t="inlineStr">
        <is>
          <t>4th Avenue</t>
        </is>
      </c>
      <c r="F185" t="inlineStr">
        <is>
          <t>1346631241</t>
        </is>
      </c>
      <c r="G185" t="inlineStr"/>
      <c r="H185" t="inlineStr">
        <is>
          <t>inferred</t>
        </is>
      </c>
      <c r="I185" t="inlineStr">
        <is>
          <t>no</t>
        </is>
      </c>
      <c r="J185" t="inlineStr">
        <is>
          <t>https://www.google.com/maps/@?api=1&amp;map_action=pano&amp;viewpoint=32.717860,-117.150180&amp;heading=270</t>
        </is>
      </c>
      <c r="K185" t="inlineStr">
        <is>
          <t>https://www.google.com/maps/search/?api=1&amp;query=32.717860,-117.150180</t>
        </is>
      </c>
      <c r="L185" t="inlineStr"/>
      <c r="M185" t="inlineStr"/>
      <c r="N185" t="inlineStr"/>
      <c r="O185" t="inlineStr"/>
      <c r="P185" t="inlineStr">
        <is>
          <t>pending</t>
        </is>
      </c>
      <c r="Q185" t="inlineStr"/>
      <c r="R185" t="inlineStr"/>
      <c r="S185" t="inlineStr"/>
      <c r="T185" t="inlineStr"/>
      <c r="U185" t="inlineStr"/>
      <c r="V185">
        <f>IF(OR(L185="",S185=""),"",IF(VALUE(L185)=VALUE(S185),"Y","N"))</f>
        <v/>
      </c>
      <c r="W185">
        <f>IF(V185="Y",S185,"")</f>
        <v/>
      </c>
      <c r="X185" t="inlineStr">
        <is>
          <t>unverified: map has no limit (guessed from road type); main road: what is posted? 35 or lower opens it to LSVs</t>
        </is>
      </c>
      <c r="Y185" t="inlineStr"/>
      <c r="Z185" t="n">
        <v>1343</v>
      </c>
      <c r="AA185" t="inlineStr">
        <is>
          <t>sd</t>
        </is>
      </c>
      <c r="AB185" t="inlineStr">
        <is>
          <t>sd|32.71786,-117.15018</t>
        </is>
      </c>
    </row>
    <row r="186">
      <c r="A186" t="inlineStr">
        <is>
          <t>SD-B2-185</t>
        </is>
      </c>
      <c r="B186" t="inlineStr">
        <is>
          <t>San Diego area</t>
        </is>
      </c>
      <c r="C186" t="inlineStr">
        <is>
          <t>El Fuerte Street</t>
        </is>
      </c>
      <c r="D186" t="inlineStr">
        <is>
          <t>Greenhaven Drive</t>
        </is>
      </c>
      <c r="E186" t="inlineStr">
        <is>
          <t>Palomar Airport Road</t>
        </is>
      </c>
      <c r="F186" t="inlineStr">
        <is>
          <t>476608611</t>
        </is>
      </c>
      <c r="G186" t="inlineStr"/>
      <c r="H186" t="inlineStr">
        <is>
          <t>inferred</t>
        </is>
      </c>
      <c r="I186" t="inlineStr">
        <is>
          <t>no</t>
        </is>
      </c>
      <c r="J186" t="inlineStr">
        <is>
          <t>https://www.google.com/maps/@?api=1&amp;map_action=pano&amp;viewpoint=33.122220,-117.249110&amp;heading=185</t>
        </is>
      </c>
      <c r="K186" t="inlineStr">
        <is>
          <t>https://www.google.com/maps/search/?api=1&amp;query=33.122220,-117.249110</t>
        </is>
      </c>
      <c r="L186" t="inlineStr"/>
      <c r="M186" t="inlineStr"/>
      <c r="N186" t="inlineStr"/>
      <c r="O186" t="inlineStr"/>
      <c r="P186" t="inlineStr">
        <is>
          <t>pending</t>
        </is>
      </c>
      <c r="Q186" t="inlineStr"/>
      <c r="R186" t="inlineStr"/>
      <c r="S186" t="inlineStr"/>
      <c r="T186" t="inlineStr"/>
      <c r="U186" t="inlineStr"/>
      <c r="V186">
        <f>IF(OR(L186="",S186=""),"",IF(VALUE(L186)=VALUE(S186),"Y","N"))</f>
        <v/>
      </c>
      <c r="W186">
        <f>IF(V186="Y",S186,"")</f>
        <v/>
      </c>
      <c r="X186" t="inlineStr">
        <is>
          <t>unverified: map has no limit (guessed from road type); main road: what is posted? 35 or lower opens it to LSVs</t>
        </is>
      </c>
      <c r="Y186" t="inlineStr"/>
      <c r="Z186" t="n">
        <v>1335</v>
      </c>
      <c r="AA186" t="inlineStr">
        <is>
          <t>sd</t>
        </is>
      </c>
      <c r="AB186" t="inlineStr">
        <is>
          <t>sd|33.12222,-117.24911</t>
        </is>
      </c>
    </row>
    <row r="187">
      <c r="A187" t="inlineStr">
        <is>
          <t>SD-B2-186</t>
        </is>
      </c>
      <c r="B187" t="inlineStr">
        <is>
          <t>San Diego area</t>
        </is>
      </c>
      <c r="C187" t="inlineStr">
        <is>
          <t>El Fuerte Street</t>
        </is>
      </c>
      <c r="D187" t="inlineStr">
        <is>
          <t>Palomar Airport Road</t>
        </is>
      </c>
      <c r="E187" t="inlineStr">
        <is>
          <t>Greenhaven Drive</t>
        </is>
      </c>
      <c r="F187" t="inlineStr">
        <is>
          <t>1018921474</t>
        </is>
      </c>
      <c r="G187" t="inlineStr"/>
      <c r="H187" t="inlineStr">
        <is>
          <t>inferred</t>
        </is>
      </c>
      <c r="I187" t="inlineStr">
        <is>
          <t>no</t>
        </is>
      </c>
      <c r="J187" t="inlineStr">
        <is>
          <t>https://www.google.com/maps/@?api=1&amp;map_action=pano&amp;viewpoint=33.125850,-117.248770&amp;heading=350</t>
        </is>
      </c>
      <c r="K187" t="inlineStr">
        <is>
          <t>https://www.google.com/maps/search/?api=1&amp;query=33.125850,-117.248770</t>
        </is>
      </c>
      <c r="L187" t="inlineStr"/>
      <c r="M187" t="inlineStr"/>
      <c r="N187" t="inlineStr"/>
      <c r="O187" t="inlineStr"/>
      <c r="P187" t="inlineStr">
        <is>
          <t>pending</t>
        </is>
      </c>
      <c r="Q187" t="inlineStr"/>
      <c r="R187" t="inlineStr"/>
      <c r="S187" t="inlineStr"/>
      <c r="T187" t="inlineStr"/>
      <c r="U187" t="inlineStr"/>
      <c r="V187">
        <f>IF(OR(L187="",S187=""),"",IF(VALUE(L187)=VALUE(S187),"Y","N"))</f>
        <v/>
      </c>
      <c r="W187">
        <f>IF(V187="Y",S187,"")</f>
        <v/>
      </c>
      <c r="X187" t="inlineStr">
        <is>
          <t>unverified: map has no limit (guessed from road type); main road: what is posted? 35 or lower opens it to LSVs</t>
        </is>
      </c>
      <c r="Y187" t="inlineStr"/>
      <c r="Z187" t="n">
        <v>1329</v>
      </c>
      <c r="AA187" t="inlineStr">
        <is>
          <t>sd</t>
        </is>
      </c>
      <c r="AB187" t="inlineStr">
        <is>
          <t>sd|33.12585,-117.24877</t>
        </is>
      </c>
    </row>
    <row r="188">
      <c r="A188" t="inlineStr">
        <is>
          <t>SD-B2-187</t>
        </is>
      </c>
      <c r="B188" t="inlineStr">
        <is>
          <t>San Diego area</t>
        </is>
      </c>
      <c r="C188" t="inlineStr">
        <is>
          <t>Talbot Street</t>
        </is>
      </c>
      <c r="D188" t="inlineStr">
        <is>
          <t>Manor Way</t>
        </is>
      </c>
      <c r="E188" t="inlineStr">
        <is>
          <t>Scott Street</t>
        </is>
      </c>
      <c r="F188" t="inlineStr"/>
      <c r="G188" t="inlineStr"/>
      <c r="H188" t="inlineStr">
        <is>
          <t>inferred</t>
        </is>
      </c>
      <c r="I188" t="inlineStr">
        <is>
          <t>no</t>
        </is>
      </c>
      <c r="J188" t="inlineStr">
        <is>
          <t>https://www.google.com/maps/@?api=1&amp;map_action=pano&amp;viewpoint=32.721200,-117.237850&amp;heading=283</t>
        </is>
      </c>
      <c r="K188" t="inlineStr">
        <is>
          <t>https://www.google.com/maps/search/?api=1&amp;query=32.721200,-117.237850</t>
        </is>
      </c>
      <c r="L188" t="inlineStr"/>
      <c r="M188" t="inlineStr"/>
      <c r="N188" t="inlineStr"/>
      <c r="O188" t="inlineStr"/>
      <c r="P188" t="inlineStr">
        <is>
          <t>pending</t>
        </is>
      </c>
      <c r="Q188" t="inlineStr"/>
      <c r="R188" t="inlineStr"/>
      <c r="S188" t="inlineStr"/>
      <c r="T188" t="inlineStr"/>
      <c r="U188" t="inlineStr"/>
      <c r="V188">
        <f>IF(OR(L188="",S188=""),"",IF(VALUE(L188)=VALUE(S188),"Y","N"))</f>
        <v/>
      </c>
      <c r="W188">
        <f>IF(V188="Y",S188,"")</f>
        <v/>
      </c>
      <c r="X188" t="inlineStr">
        <is>
          <t>unverified: map has no limit (guessed from road type); main road: what is posted? 35 or lower opens it to LSVs</t>
        </is>
      </c>
      <c r="Y188" t="inlineStr"/>
      <c r="Z188" t="n">
        <v>1325</v>
      </c>
      <c r="AA188" t="inlineStr">
        <is>
          <t>sd</t>
        </is>
      </c>
      <c r="AB188" t="inlineStr">
        <is>
          <t>sd|32.72120,-117.23785</t>
        </is>
      </c>
    </row>
    <row r="189">
      <c r="A189" t="inlineStr">
        <is>
          <t>SD-B2-188</t>
        </is>
      </c>
      <c r="B189" t="inlineStr">
        <is>
          <t>San Diego area</t>
        </is>
      </c>
      <c r="C189" t="inlineStr">
        <is>
          <t>Federal Boulevard</t>
        </is>
      </c>
      <c r="D189" t="inlineStr">
        <is>
          <t>East Ash Street</t>
        </is>
      </c>
      <c r="E189" t="inlineStr">
        <is>
          <t>(see map link)</t>
        </is>
      </c>
      <c r="F189" t="inlineStr">
        <is>
          <t>1346673024</t>
        </is>
      </c>
      <c r="G189" t="inlineStr"/>
      <c r="H189" t="inlineStr">
        <is>
          <t>inferred</t>
        </is>
      </c>
      <c r="I189" t="inlineStr">
        <is>
          <t>no</t>
        </is>
      </c>
      <c r="J189" t="inlineStr">
        <is>
          <t>https://www.google.com/maps/@?api=1&amp;map_action=pano&amp;viewpoint=32.719950,-117.105380&amp;heading=70</t>
        </is>
      </c>
      <c r="K189" t="inlineStr">
        <is>
          <t>https://www.google.com/maps/search/?api=1&amp;query=32.719950,-117.105380</t>
        </is>
      </c>
      <c r="L189" t="inlineStr"/>
      <c r="M189" t="inlineStr"/>
      <c r="N189" t="inlineStr"/>
      <c r="O189" t="inlineStr"/>
      <c r="P189" t="inlineStr">
        <is>
          <t>pending</t>
        </is>
      </c>
      <c r="Q189" t="inlineStr"/>
      <c r="R189" t="inlineStr"/>
      <c r="S189" t="inlineStr"/>
      <c r="T189" t="inlineStr"/>
      <c r="U189" t="inlineStr"/>
      <c r="V189">
        <f>IF(OR(L189="",S189=""),"",IF(VALUE(L189)=VALUE(S189),"Y","N"))</f>
        <v/>
      </c>
      <c r="W189">
        <f>IF(V189="Y",S189,"")</f>
        <v/>
      </c>
      <c r="X189" t="inlineStr">
        <is>
          <t>unverified: map has no limit (guessed from road type); main road: what is posted? 35 or lower opens it to LSVs</t>
        </is>
      </c>
      <c r="Y189" t="inlineStr"/>
      <c r="Z189" t="n">
        <v>1308</v>
      </c>
      <c r="AA189" t="inlineStr">
        <is>
          <t>sd</t>
        </is>
      </c>
      <c r="AB189" t="inlineStr">
        <is>
          <t>sd|32.71995,-117.10538</t>
        </is>
      </c>
    </row>
    <row r="190">
      <c r="A190" t="inlineStr">
        <is>
          <t>SD-B2-189</t>
        </is>
      </c>
      <c r="B190" t="inlineStr">
        <is>
          <t>San Diego area</t>
        </is>
      </c>
      <c r="C190" t="inlineStr">
        <is>
          <t>North El Camino Real</t>
        </is>
      </c>
      <c r="D190" t="inlineStr">
        <is>
          <t>Encinitas Boulevard</t>
        </is>
      </c>
      <c r="E190" t="inlineStr">
        <is>
          <t>Garden View Road</t>
        </is>
      </c>
      <c r="F190" t="inlineStr">
        <is>
          <t>436259897</t>
        </is>
      </c>
      <c r="G190" t="n">
        <v>30</v>
      </c>
      <c r="H190" t="inlineStr">
        <is>
          <t>tag</t>
        </is>
      </c>
      <c r="I190" t="inlineStr">
        <is>
          <t>LSV</t>
        </is>
      </c>
      <c r="J190" t="inlineStr">
        <is>
          <t>https://www.google.com/maps/@?api=1&amp;map_action=pano&amp;viewpoint=33.054525,-117.261685&amp;heading=345</t>
        </is>
      </c>
      <c r="K190" t="inlineStr">
        <is>
          <t>https://www.google.com/maps/search/?api=1&amp;query=33.054525,-117.261685</t>
        </is>
      </c>
      <c r="L190" t="inlineStr"/>
      <c r="M190" t="inlineStr"/>
      <c r="N190" t="inlineStr"/>
      <c r="O190" t="inlineStr"/>
      <c r="P190" t="inlineStr">
        <is>
          <t>pending</t>
        </is>
      </c>
      <c r="Q190" t="inlineStr"/>
      <c r="R190" t="inlineStr"/>
      <c r="S190" t="inlineStr"/>
      <c r="T190" t="inlineStr"/>
      <c r="U190" t="inlineStr"/>
      <c r="V190">
        <f>IF(OR(L190="",S190=""),"",IF(VALUE(L190)=VALUE(S190),"Y","N"))</f>
        <v/>
      </c>
      <c r="W190">
        <f>IF(V190="Y",S190,"")</f>
        <v/>
      </c>
      <c r="X190" t="inlineStr">
        <is>
          <t>unverified: map has 30 mph (OSM tag only); is it 25 (carts OK) or 30+?</t>
        </is>
      </c>
      <c r="Y190" t="inlineStr"/>
      <c r="Z190" t="n">
        <v>1413</v>
      </c>
      <c r="AA190" t="inlineStr">
        <is>
          <t>sd</t>
        </is>
      </c>
      <c r="AB190" t="inlineStr">
        <is>
          <t>sd|33.05452,-117.26168</t>
        </is>
      </c>
    </row>
    <row r="191">
      <c r="A191" t="inlineStr">
        <is>
          <t>SD-B2-190</t>
        </is>
      </c>
      <c r="B191" t="inlineStr">
        <is>
          <t>San Diego area</t>
        </is>
      </c>
      <c r="C191" t="inlineStr">
        <is>
          <t>Carmel Canyon Road</t>
        </is>
      </c>
      <c r="D191" t="inlineStr">
        <is>
          <t>Del Mar Heights Road</t>
        </is>
      </c>
      <c r="E191" t="inlineStr">
        <is>
          <t>Caminito Campaneo</t>
        </is>
      </c>
      <c r="F191" t="inlineStr">
        <is>
          <t>1077369753</t>
        </is>
      </c>
      <c r="G191" t="inlineStr"/>
      <c r="H191" t="inlineStr">
        <is>
          <t>inferred</t>
        </is>
      </c>
      <c r="I191" t="inlineStr">
        <is>
          <t>no</t>
        </is>
      </c>
      <c r="J191" t="inlineStr">
        <is>
          <t>https://www.google.com/maps/@?api=1&amp;map_action=pano&amp;viewpoint=32.947460,-117.214620&amp;heading=215</t>
        </is>
      </c>
      <c r="K191" t="inlineStr">
        <is>
          <t>https://www.google.com/maps/search/?api=1&amp;query=32.947460,-117.214620</t>
        </is>
      </c>
      <c r="L191" t="inlineStr"/>
      <c r="M191" t="inlineStr"/>
      <c r="N191" t="inlineStr"/>
      <c r="O191" t="inlineStr"/>
      <c r="P191" t="inlineStr">
        <is>
          <t>pending</t>
        </is>
      </c>
      <c r="Q191" t="inlineStr"/>
      <c r="R191" t="inlineStr"/>
      <c r="S191" t="inlineStr"/>
      <c r="T191" t="inlineStr"/>
      <c r="U191" t="inlineStr"/>
      <c r="V191">
        <f>IF(OR(L191="",S191=""),"",IF(VALUE(L191)=VALUE(S191),"Y","N"))</f>
        <v/>
      </c>
      <c r="W191">
        <f>IF(V191="Y",S191,"")</f>
        <v/>
      </c>
      <c r="X191" t="inlineStr">
        <is>
          <t>unverified: map has no limit (guessed from road type); main road: what is posted? 35 or lower opens it to LSVs</t>
        </is>
      </c>
      <c r="Y191" t="inlineStr"/>
      <c r="Z191" t="n">
        <v>1303</v>
      </c>
      <c r="AA191" t="inlineStr">
        <is>
          <t>sd</t>
        </is>
      </c>
      <c r="AB191" t="inlineStr">
        <is>
          <t>sd|32.94746,-117.21462</t>
        </is>
      </c>
    </row>
    <row r="192">
      <c r="A192" t="inlineStr">
        <is>
          <t>SD-B2-191</t>
        </is>
      </c>
      <c r="B192" t="inlineStr">
        <is>
          <t>San Diego area</t>
        </is>
      </c>
      <c r="C192" t="inlineStr">
        <is>
          <t>Balboa Avenue</t>
        </is>
      </c>
      <c r="D192" t="inlineStr">
        <is>
          <t>(see map link)</t>
        </is>
      </c>
      <c r="E192" t="inlineStr">
        <is>
          <t>Moraga Avenue</t>
        </is>
      </c>
      <c r="F192" t="inlineStr">
        <is>
          <t>436407458</t>
        </is>
      </c>
      <c r="G192" t="n">
        <v>45</v>
      </c>
      <c r="H192" t="inlineStr">
        <is>
          <t>tag</t>
        </is>
      </c>
      <c r="I192" t="inlineStr">
        <is>
          <t>no</t>
        </is>
      </c>
      <c r="J192" t="inlineStr">
        <is>
          <t>https://www.google.com/maps/@?api=1&amp;map_action=pano&amp;viewpoint=32.811410,-117.204140&amp;heading=251</t>
        </is>
      </c>
      <c r="K192" t="inlineStr">
        <is>
          <t>https://www.google.com/maps/search/?api=1&amp;query=32.811410,-117.204140</t>
        </is>
      </c>
      <c r="L192" t="inlineStr"/>
      <c r="M192" t="inlineStr"/>
      <c r="N192" t="inlineStr"/>
      <c r="O192" t="inlineStr"/>
      <c r="P192" t="inlineStr">
        <is>
          <t>pending</t>
        </is>
      </c>
      <c r="Q192" t="inlineStr"/>
      <c r="R192" t="inlineStr"/>
      <c r="S192" t="inlineStr"/>
      <c r="T192" t="inlineStr"/>
      <c r="U192" t="inlineStr"/>
      <c r="V192">
        <f>IF(OR(L192="",S192=""),"",IF(VALUE(L192)=VALUE(S192),"Y","N"))</f>
        <v/>
      </c>
      <c r="W192">
        <f>IF(V192="Y",S192,"")</f>
        <v/>
      </c>
      <c r="X192" t="inlineStr">
        <is>
          <t>unverified: map has 45 mph (OSM tag only); main road: what is posted? 35 or lower opens it to LSVs</t>
        </is>
      </c>
      <c r="Y192" t="inlineStr"/>
      <c r="Z192" t="n">
        <v>1411</v>
      </c>
      <c r="AA192" t="inlineStr">
        <is>
          <t>sd</t>
        </is>
      </c>
      <c r="AB192" t="inlineStr">
        <is>
          <t>sd|32.81141,-117.20414</t>
        </is>
      </c>
    </row>
    <row r="193">
      <c r="A193" t="inlineStr">
        <is>
          <t>SD-B2-192</t>
        </is>
      </c>
      <c r="B193" t="inlineStr">
        <is>
          <t>San Diego area</t>
        </is>
      </c>
      <c r="C193" t="inlineStr">
        <is>
          <t>Taylor Street</t>
        </is>
      </c>
      <c r="D193" t="inlineStr">
        <is>
          <t>Morena Boulevard</t>
        </is>
      </c>
      <c r="E193" t="inlineStr">
        <is>
          <t>Congress Street</t>
        </is>
      </c>
      <c r="F193" t="inlineStr">
        <is>
          <t>233700525</t>
        </is>
      </c>
      <c r="G193" t="n">
        <v>35</v>
      </c>
      <c r="H193" t="inlineStr">
        <is>
          <t>tag</t>
        </is>
      </c>
      <c r="I193" t="inlineStr">
        <is>
          <t>LSV</t>
        </is>
      </c>
      <c r="J193" t="inlineStr">
        <is>
          <t>https://www.google.com/maps/@?api=1&amp;map_action=pano&amp;viewpoint=32.760340,-117.194900&amp;heading=78</t>
        </is>
      </c>
      <c r="K193" t="inlineStr">
        <is>
          <t>https://www.google.com/maps/search/?api=1&amp;query=32.760340,-117.194900</t>
        </is>
      </c>
      <c r="L193" t="inlineStr"/>
      <c r="M193" t="inlineStr"/>
      <c r="N193" t="inlineStr"/>
      <c r="O193" t="inlineStr"/>
      <c r="P193" t="inlineStr">
        <is>
          <t>pending</t>
        </is>
      </c>
      <c r="Q193" t="inlineStr"/>
      <c r="R193" t="inlineStr"/>
      <c r="S193" t="inlineStr"/>
      <c r="T193" t="inlineStr"/>
      <c r="U193" t="inlineStr"/>
      <c r="V193">
        <f>IF(OR(L193="",S193=""),"",IF(VALUE(L193)=VALUE(S193),"Y","N"))</f>
        <v/>
      </c>
      <c r="W193">
        <f>IF(V193="Y",S193,"")</f>
        <v/>
      </c>
      <c r="X193" t="inlineStr">
        <is>
          <t>unverified: map has 35 mph (OSM tag only); is it 35 (LSV OK) or 40+?</t>
        </is>
      </c>
      <c r="Y193" t="inlineStr"/>
      <c r="Z193" t="n">
        <v>1398</v>
      </c>
      <c r="AA193" t="inlineStr">
        <is>
          <t>sd</t>
        </is>
      </c>
      <c r="AB193" t="inlineStr">
        <is>
          <t>sd|32.76034,-117.19490</t>
        </is>
      </c>
    </row>
    <row r="194">
      <c r="A194" t="inlineStr">
        <is>
          <t>SD-B2-193</t>
        </is>
      </c>
      <c r="B194" t="inlineStr">
        <is>
          <t>San Diego area</t>
        </is>
      </c>
      <c r="C194" t="inlineStr">
        <is>
          <t>Sequence Drive</t>
        </is>
      </c>
      <c r="D194" t="inlineStr">
        <is>
          <t>(see map link)</t>
        </is>
      </c>
      <c r="E194" t="inlineStr">
        <is>
          <t>Genetic Center Drive</t>
        </is>
      </c>
      <c r="F194" t="inlineStr">
        <is>
          <t>5974358</t>
        </is>
      </c>
      <c r="G194" t="inlineStr"/>
      <c r="H194" t="inlineStr">
        <is>
          <t>inferred</t>
        </is>
      </c>
      <c r="I194" t="inlineStr">
        <is>
          <t>no</t>
        </is>
      </c>
      <c r="J194" t="inlineStr">
        <is>
          <t>https://www.google.com/maps/@?api=1&amp;map_action=pano&amp;viewpoint=32.908870,-117.183430&amp;heading=291</t>
        </is>
      </c>
      <c r="K194" t="inlineStr">
        <is>
          <t>https://www.google.com/maps/search/?api=1&amp;query=32.908870,-117.183430</t>
        </is>
      </c>
      <c r="L194" t="inlineStr"/>
      <c r="M194" t="inlineStr"/>
      <c r="N194" t="inlineStr"/>
      <c r="O194" t="inlineStr"/>
      <c r="P194" t="inlineStr">
        <is>
          <t>pending</t>
        </is>
      </c>
      <c r="Q194" t="inlineStr"/>
      <c r="R194" t="inlineStr"/>
      <c r="S194" t="inlineStr"/>
      <c r="T194" t="inlineStr"/>
      <c r="U194" t="inlineStr"/>
      <c r="V194">
        <f>IF(OR(L194="",S194=""),"",IF(VALUE(L194)=VALUE(S194),"Y","N"))</f>
        <v/>
      </c>
      <c r="W194">
        <f>IF(V194="Y",S194,"")</f>
        <v/>
      </c>
      <c r="X194" t="inlineStr">
        <is>
          <t>unverified: map has no limit (guessed from road type); main road: what is posted? 35 or lower opens it to LSVs</t>
        </is>
      </c>
      <c r="Y194" t="inlineStr"/>
      <c r="Z194" t="n">
        <v>1287</v>
      </c>
      <c r="AA194" t="inlineStr">
        <is>
          <t>sd</t>
        </is>
      </c>
      <c r="AB194" t="inlineStr">
        <is>
          <t>sd|32.90887,-117.18343</t>
        </is>
      </c>
    </row>
    <row r="195">
      <c r="A195" t="inlineStr">
        <is>
          <t>SD-B2-194</t>
        </is>
      </c>
      <c r="B195" t="inlineStr">
        <is>
          <t>San Diego area</t>
        </is>
      </c>
      <c r="C195" t="inlineStr">
        <is>
          <t>Ulric Street</t>
        </is>
      </c>
      <c r="D195" t="inlineStr">
        <is>
          <t>(see map link)</t>
        </is>
      </c>
      <c r="E195" t="inlineStr">
        <is>
          <t>Friars Road</t>
        </is>
      </c>
      <c r="F195" t="inlineStr">
        <is>
          <t>1444513529</t>
        </is>
      </c>
      <c r="G195" t="inlineStr"/>
      <c r="H195" t="inlineStr">
        <is>
          <t>inferred</t>
        </is>
      </c>
      <c r="I195" t="inlineStr">
        <is>
          <t>no</t>
        </is>
      </c>
      <c r="J195" t="inlineStr">
        <is>
          <t>https://www.google.com/maps/@?api=1&amp;map_action=pano&amp;viewpoint=32.776290,-117.169150&amp;heading=188</t>
        </is>
      </c>
      <c r="K195" t="inlineStr">
        <is>
          <t>https://www.google.com/maps/search/?api=1&amp;query=32.776290,-117.169150</t>
        </is>
      </c>
      <c r="L195" t="inlineStr"/>
      <c r="M195" t="inlineStr"/>
      <c r="N195" t="inlineStr"/>
      <c r="O195" t="inlineStr"/>
      <c r="P195" t="inlineStr">
        <is>
          <t>pending</t>
        </is>
      </c>
      <c r="Q195" t="inlineStr"/>
      <c r="R195" t="inlineStr"/>
      <c r="S195" t="inlineStr"/>
      <c r="T195" t="inlineStr"/>
      <c r="U195" t="inlineStr"/>
      <c r="V195">
        <f>IF(OR(L195="",S195=""),"",IF(VALUE(L195)=VALUE(S195),"Y","N"))</f>
        <v/>
      </c>
      <c r="W195">
        <f>IF(V195="Y",S195,"")</f>
        <v/>
      </c>
      <c r="X195" t="inlineStr">
        <is>
          <t>unverified: map has no limit (guessed from road type); main road: what is posted? 35 or lower opens it to LSVs</t>
        </is>
      </c>
      <c r="Y195" t="inlineStr"/>
      <c r="Z195" t="n">
        <v>1285</v>
      </c>
      <c r="AA195" t="inlineStr">
        <is>
          <t>sd</t>
        </is>
      </c>
      <c r="AB195" t="inlineStr">
        <is>
          <t>sd|32.77629,-117.16915</t>
        </is>
      </c>
    </row>
    <row r="196">
      <c r="A196" t="inlineStr">
        <is>
          <t>SD-B2-195</t>
        </is>
      </c>
      <c r="B196" t="inlineStr">
        <is>
          <t>San Diego area</t>
        </is>
      </c>
      <c r="C196" t="inlineStr">
        <is>
          <t>Mountain Vista Drive</t>
        </is>
      </c>
      <c r="D196" t="inlineStr">
        <is>
          <t>Gardendale Road</t>
        </is>
      </c>
      <c r="E196" t="inlineStr">
        <is>
          <t>Dunsmore Court</t>
        </is>
      </c>
      <c r="F196" t="inlineStr">
        <is>
          <t>436259873</t>
        </is>
      </c>
      <c r="G196" t="inlineStr"/>
      <c r="H196" t="inlineStr">
        <is>
          <t>inferred</t>
        </is>
      </c>
      <c r="I196" t="inlineStr">
        <is>
          <t>no</t>
        </is>
      </c>
      <c r="J196" t="inlineStr">
        <is>
          <t>https://www.google.com/maps/@?api=1&amp;map_action=pano&amp;viewpoint=33.051925,-117.257085&amp;heading=91</t>
        </is>
      </c>
      <c r="K196" t="inlineStr">
        <is>
          <t>https://www.google.com/maps/search/?api=1&amp;query=33.051925,-117.257085</t>
        </is>
      </c>
      <c r="L196" t="inlineStr"/>
      <c r="M196" t="inlineStr"/>
      <c r="N196" t="inlineStr"/>
      <c r="O196" t="inlineStr"/>
      <c r="P196" t="inlineStr">
        <is>
          <t>pending</t>
        </is>
      </c>
      <c r="Q196" t="inlineStr"/>
      <c r="R196" t="inlineStr"/>
      <c r="S196" t="inlineStr"/>
      <c r="T196" t="inlineStr"/>
      <c r="U196" t="inlineStr"/>
      <c r="V196">
        <f>IF(OR(L196="",S196=""),"",IF(VALUE(L196)=VALUE(S196),"Y","N"))</f>
        <v/>
      </c>
      <c r="W196">
        <f>IF(V196="Y",S196,"")</f>
        <v/>
      </c>
      <c r="X196" t="inlineStr">
        <is>
          <t>unverified: map has no limit (guessed from road type); main road: what is posted? 35 or lower opens it to LSVs</t>
        </is>
      </c>
      <c r="Y196" t="inlineStr"/>
      <c r="Z196" t="n">
        <v>1269</v>
      </c>
      <c r="AA196" t="inlineStr">
        <is>
          <t>sd</t>
        </is>
      </c>
      <c r="AB196" t="inlineStr">
        <is>
          <t>sd|33.05192,-117.25709</t>
        </is>
      </c>
    </row>
    <row r="197">
      <c r="A197" t="inlineStr">
        <is>
          <t>SD-B2-196</t>
        </is>
      </c>
      <c r="B197" t="inlineStr">
        <is>
          <t>San Diego area</t>
        </is>
      </c>
      <c r="C197" t="inlineStr">
        <is>
          <t>Pacific Highway</t>
        </is>
      </c>
      <c r="D197" t="inlineStr">
        <is>
          <t>East Mission Bay Drive</t>
        </is>
      </c>
      <c r="E197" t="inlineStr">
        <is>
          <t>Anna Avenue</t>
        </is>
      </c>
      <c r="F197" t="inlineStr"/>
      <c r="G197" t="inlineStr"/>
      <c r="H197" t="inlineStr">
        <is>
          <t>inferred</t>
        </is>
      </c>
      <c r="I197" t="inlineStr">
        <is>
          <t>no</t>
        </is>
      </c>
      <c r="J197" t="inlineStr">
        <is>
          <t>https://www.google.com/maps/@?api=1&amp;map_action=pano&amp;viewpoint=32.761390,-117.203090&amp;heading=343</t>
        </is>
      </c>
      <c r="K197" t="inlineStr">
        <is>
          <t>https://www.google.com/maps/search/?api=1&amp;query=32.761390,-117.203090</t>
        </is>
      </c>
      <c r="L197" t="inlineStr"/>
      <c r="M197" t="inlineStr"/>
      <c r="N197" t="inlineStr"/>
      <c r="O197" t="inlineStr"/>
      <c r="P197" t="inlineStr">
        <is>
          <t>pending</t>
        </is>
      </c>
      <c r="Q197" t="inlineStr"/>
      <c r="R197" t="inlineStr"/>
      <c r="S197" t="inlineStr"/>
      <c r="T197" t="inlineStr"/>
      <c r="U197" t="inlineStr"/>
      <c r="V197">
        <f>IF(OR(L197="",S197=""),"",IF(VALUE(L197)=VALUE(S197),"Y","N"))</f>
        <v/>
      </c>
      <c r="W197">
        <f>IF(V197="Y",S197,"")</f>
        <v/>
      </c>
      <c r="X197" t="inlineStr">
        <is>
          <t>unverified: map has no limit (guessed from road type); main road: what is posted? 35 or lower opens it to LSVs</t>
        </is>
      </c>
      <c r="Y197" t="inlineStr"/>
      <c r="Z197" t="n">
        <v>1056</v>
      </c>
      <c r="AA197" t="inlineStr">
        <is>
          <t>sd</t>
        </is>
      </c>
      <c r="AB197" t="inlineStr">
        <is>
          <t>sd|32.76139,-117.20309</t>
        </is>
      </c>
    </row>
    <row r="198">
      <c r="A198" t="inlineStr">
        <is>
          <t>SD-B2-197</t>
        </is>
      </c>
      <c r="B198" t="inlineStr">
        <is>
          <t>San Diego area</t>
        </is>
      </c>
      <c r="C198" t="inlineStr">
        <is>
          <t>Sunset Drive</t>
        </is>
      </c>
      <c r="D198" t="inlineStr">
        <is>
          <t>Melrose Way</t>
        </is>
      </c>
      <c r="E198" t="inlineStr">
        <is>
          <t>South Emerald Drive</t>
        </is>
      </c>
      <c r="F198" t="inlineStr">
        <is>
          <t>225812323</t>
        </is>
      </c>
      <c r="G198" t="inlineStr"/>
      <c r="H198" t="inlineStr">
        <is>
          <t>inferred</t>
        </is>
      </c>
      <c r="I198" t="inlineStr">
        <is>
          <t>no</t>
        </is>
      </c>
      <c r="J198" t="inlineStr">
        <is>
          <t>https://www.google.com/maps/@?api=1&amp;map_action=pano&amp;viewpoint=33.182570,-117.268490&amp;heading=261</t>
        </is>
      </c>
      <c r="K198" t="inlineStr">
        <is>
          <t>https://www.google.com/maps/search/?api=1&amp;query=33.182570,-117.268490</t>
        </is>
      </c>
      <c r="L198" t="inlineStr"/>
      <c r="M198" t="inlineStr"/>
      <c r="N198" t="inlineStr"/>
      <c r="O198" t="inlineStr"/>
      <c r="P198" t="inlineStr">
        <is>
          <t>pending</t>
        </is>
      </c>
      <c r="Q198" t="inlineStr"/>
      <c r="R198" t="inlineStr"/>
      <c r="S198" t="inlineStr"/>
      <c r="T198" t="inlineStr"/>
      <c r="U198" t="inlineStr"/>
      <c r="V198">
        <f>IF(OR(L198="",S198=""),"",IF(VALUE(L198)=VALUE(S198),"Y","N"))</f>
        <v/>
      </c>
      <c r="W198">
        <f>IF(V198="Y",S198,"")</f>
        <v/>
      </c>
      <c r="X198" t="inlineStr">
        <is>
          <t>unverified: map has no limit (guessed from road type); main road: what is posted? 35 or lower opens it to LSVs</t>
        </is>
      </c>
      <c r="Y198" t="inlineStr"/>
      <c r="Z198" t="n">
        <v>1260</v>
      </c>
      <c r="AA198" t="inlineStr">
        <is>
          <t>sd</t>
        </is>
      </c>
      <c r="AB198" t="inlineStr">
        <is>
          <t>sd|33.18257,-117.26849</t>
        </is>
      </c>
    </row>
    <row r="199">
      <c r="A199" t="inlineStr">
        <is>
          <t>SD-B2-198</t>
        </is>
      </c>
      <c r="B199" t="inlineStr">
        <is>
          <t>San Diego area</t>
        </is>
      </c>
      <c r="C199" t="inlineStr">
        <is>
          <t>California Street</t>
        </is>
      </c>
      <c r="D199" t="inlineStr">
        <is>
          <t>(see map link)</t>
        </is>
      </c>
      <c r="E199" t="inlineStr">
        <is>
          <t>Belleaire Street</t>
        </is>
      </c>
      <c r="F199" t="inlineStr"/>
      <c r="G199" t="inlineStr"/>
      <c r="H199" t="inlineStr">
        <is>
          <t>inferred</t>
        </is>
      </c>
      <c r="I199" t="inlineStr">
        <is>
          <t>no</t>
        </is>
      </c>
      <c r="J199" t="inlineStr">
        <is>
          <t>https://www.google.com/maps/@?api=1&amp;map_action=pano&amp;viewpoint=33.187185,-117.353520&amp;heading=55</t>
        </is>
      </c>
      <c r="K199" t="inlineStr">
        <is>
          <t>https://www.google.com/maps/search/?api=1&amp;query=33.187185,-117.353520</t>
        </is>
      </c>
      <c r="L199" t="inlineStr"/>
      <c r="M199" t="inlineStr"/>
      <c r="N199" t="inlineStr"/>
      <c r="O199" t="inlineStr"/>
      <c r="P199" t="inlineStr">
        <is>
          <t>pending</t>
        </is>
      </c>
      <c r="Q199" t="inlineStr"/>
      <c r="R199" t="inlineStr"/>
      <c r="S199" t="inlineStr"/>
      <c r="T199" t="inlineStr"/>
      <c r="U199" t="inlineStr"/>
      <c r="V199">
        <f>IF(OR(L199="",S199=""),"",IF(VALUE(L199)=VALUE(S199),"Y","N"))</f>
        <v/>
      </c>
      <c r="W199">
        <f>IF(V199="Y",S199,"")</f>
        <v/>
      </c>
      <c r="X199" t="inlineStr">
        <is>
          <t>unverified: map has no limit (guessed from road type); main road: what is posted? 35 or lower opens it to LSVs</t>
        </is>
      </c>
      <c r="Y199" t="inlineStr"/>
      <c r="Z199" t="n">
        <v>1256</v>
      </c>
      <c r="AA199" t="inlineStr">
        <is>
          <t>sd</t>
        </is>
      </c>
      <c r="AB199" t="inlineStr">
        <is>
          <t>sd|33.18718,-117.35352</t>
        </is>
      </c>
    </row>
    <row r="200">
      <c r="A200" t="inlineStr">
        <is>
          <t>SD-B2-199</t>
        </is>
      </c>
      <c r="B200" t="inlineStr">
        <is>
          <t>San Diego area</t>
        </is>
      </c>
      <c r="C200" t="inlineStr">
        <is>
          <t>Ingraham Street</t>
        </is>
      </c>
      <c r="D200" t="inlineStr">
        <is>
          <t>Vacation Road</t>
        </is>
      </c>
      <c r="E200" t="inlineStr">
        <is>
          <t>Riviera Drive</t>
        </is>
      </c>
      <c r="F200" t="inlineStr">
        <is>
          <t>436424558</t>
        </is>
      </c>
      <c r="G200" t="n">
        <v>45</v>
      </c>
      <c r="H200" t="inlineStr">
        <is>
          <t>tag</t>
        </is>
      </c>
      <c r="I200" t="inlineStr">
        <is>
          <t>no</t>
        </is>
      </c>
      <c r="J200" t="inlineStr">
        <is>
          <t>https://www.google.com/maps/@?api=1&amp;map_action=pano&amp;viewpoint=32.770605,-117.234310&amp;heading=171</t>
        </is>
      </c>
      <c r="K200" t="inlineStr">
        <is>
          <t>https://www.google.com/maps/search/?api=1&amp;query=32.770605,-117.234310</t>
        </is>
      </c>
      <c r="L200" t="inlineStr"/>
      <c r="M200" t="inlineStr"/>
      <c r="N200" t="inlineStr"/>
      <c r="O200" t="inlineStr"/>
      <c r="P200" t="inlineStr">
        <is>
          <t>pending</t>
        </is>
      </c>
      <c r="Q200" t="inlineStr"/>
      <c r="R200" t="inlineStr"/>
      <c r="S200" t="inlineStr"/>
      <c r="T200" t="inlineStr"/>
      <c r="U200" t="inlineStr"/>
      <c r="V200">
        <f>IF(OR(L200="",S200=""),"",IF(VALUE(L200)=VALUE(S200),"Y","N"))</f>
        <v/>
      </c>
      <c r="W200">
        <f>IF(V200="Y",S200,"")</f>
        <v/>
      </c>
      <c r="X200" t="inlineStr">
        <is>
          <t>unverified: map has 45 mph (OSM tag only); main road: what is posted? 35 or lower opens it to LSVs</t>
        </is>
      </c>
      <c r="Y200" t="inlineStr"/>
      <c r="Z200" t="n">
        <v>1357</v>
      </c>
      <c r="AA200" t="inlineStr">
        <is>
          <t>sd</t>
        </is>
      </c>
      <c r="AB200" t="inlineStr">
        <is>
          <t>sd|32.77061,-117.23431</t>
        </is>
      </c>
    </row>
    <row r="201">
      <c r="A201" t="inlineStr">
        <is>
          <t>SD-B2-200</t>
        </is>
      </c>
      <c r="B201" t="inlineStr">
        <is>
          <t>San Diego area</t>
        </is>
      </c>
      <c r="C201" t="inlineStr">
        <is>
          <t>Genesee Avenue</t>
        </is>
      </c>
      <c r="D201" t="inlineStr">
        <is>
          <t>Osler Street</t>
        </is>
      </c>
      <c r="E201" t="inlineStr">
        <is>
          <t>Marlesta Drive</t>
        </is>
      </c>
      <c r="F201" t="inlineStr">
        <is>
          <t>337740462</t>
        </is>
      </c>
      <c r="G201" t="n">
        <v>45</v>
      </c>
      <c r="H201" t="inlineStr">
        <is>
          <t>tag</t>
        </is>
      </c>
      <c r="I201" t="inlineStr">
        <is>
          <t>no</t>
        </is>
      </c>
      <c r="J201" t="inlineStr">
        <is>
          <t>https://www.google.com/maps/@?api=1&amp;map_action=pano&amp;viewpoint=32.801020,-117.173490&amp;heading=329</t>
        </is>
      </c>
      <c r="K201" t="inlineStr">
        <is>
          <t>https://www.google.com/maps/search/?api=1&amp;query=32.801020,-117.173490</t>
        </is>
      </c>
      <c r="L201" t="inlineStr"/>
      <c r="M201" t="inlineStr"/>
      <c r="N201" t="inlineStr"/>
      <c r="O201" t="inlineStr"/>
      <c r="P201" t="inlineStr">
        <is>
          <t>pending</t>
        </is>
      </c>
      <c r="Q201" t="inlineStr"/>
      <c r="R201" t="inlineStr"/>
      <c r="S201" t="inlineStr"/>
      <c r="T201" t="inlineStr"/>
      <c r="U201" t="inlineStr"/>
      <c r="V201">
        <f>IF(OR(L201="",S201=""),"",IF(VALUE(L201)=VALUE(S201),"Y","N"))</f>
        <v/>
      </c>
      <c r="W201">
        <f>IF(V201="Y",S201,"")</f>
        <v/>
      </c>
      <c r="X201" t="inlineStr">
        <is>
          <t>unverified: map has 45 mph (OSM tag only); main road: what is posted? 35 or lower opens it to LSVs</t>
        </is>
      </c>
      <c r="Y201" t="inlineStr"/>
      <c r="Z201" t="n">
        <v>1340</v>
      </c>
      <c r="AA201" t="inlineStr">
        <is>
          <t>sd</t>
        </is>
      </c>
      <c r="AB201" t="inlineStr">
        <is>
          <t>sd|32.80102,-117.17349</t>
        </is>
      </c>
    </row>
    <row r="202">
      <c r="A202" t="inlineStr">
        <is>
          <t>SD-B2-201</t>
        </is>
      </c>
      <c r="B202" t="inlineStr">
        <is>
          <t>San Diego area</t>
        </is>
      </c>
      <c r="C202" t="inlineStr">
        <is>
          <t>Mesa Drive</t>
        </is>
      </c>
      <c r="D202" t="inlineStr">
        <is>
          <t>(see map link)</t>
        </is>
      </c>
      <c r="E202" t="inlineStr">
        <is>
          <t>South El Camino Real</t>
        </is>
      </c>
      <c r="F202" t="inlineStr">
        <is>
          <t>5984341</t>
        </is>
      </c>
      <c r="G202" t="inlineStr"/>
      <c r="H202" t="inlineStr">
        <is>
          <t>inferred</t>
        </is>
      </c>
      <c r="I202" t="inlineStr">
        <is>
          <t>no</t>
        </is>
      </c>
      <c r="J202" t="inlineStr">
        <is>
          <t>https://www.google.com/maps/@?api=1&amp;map_action=pano&amp;viewpoint=33.211880,-117.338550&amp;heading=283</t>
        </is>
      </c>
      <c r="K202" t="inlineStr">
        <is>
          <t>https://www.google.com/maps/search/?api=1&amp;query=33.211880,-117.338550</t>
        </is>
      </c>
      <c r="L202" t="inlineStr"/>
      <c r="M202" t="inlineStr"/>
      <c r="N202" t="inlineStr"/>
      <c r="O202" t="inlineStr"/>
      <c r="P202" t="inlineStr">
        <is>
          <t>pending</t>
        </is>
      </c>
      <c r="Q202" t="inlineStr"/>
      <c r="R202" t="inlineStr"/>
      <c r="S202" t="inlineStr"/>
      <c r="T202" t="inlineStr"/>
      <c r="U202" t="inlineStr"/>
      <c r="V202">
        <f>IF(OR(L202="",S202=""),"",IF(VALUE(L202)=VALUE(S202),"Y","N"))</f>
        <v/>
      </c>
      <c r="W202">
        <f>IF(V202="Y",S202,"")</f>
        <v/>
      </c>
      <c r="X202" t="inlineStr">
        <is>
          <t>unverified: map has no limit (guessed from road type); main road: what is posted? 35 or lower opens it to LSVs</t>
        </is>
      </c>
      <c r="Y202" t="inlineStr"/>
      <c r="Z202" t="n">
        <v>1218</v>
      </c>
      <c r="AA202" t="inlineStr">
        <is>
          <t>sd</t>
        </is>
      </c>
      <c r="AB202" t="inlineStr">
        <is>
          <t>sd|33.21188,-117.33855</t>
        </is>
      </c>
    </row>
    <row r="203">
      <c r="A203" t="inlineStr">
        <is>
          <t>SD-B2-202</t>
        </is>
      </c>
      <c r="B203" t="inlineStr">
        <is>
          <t>San Diego area</t>
        </is>
      </c>
      <c r="C203" t="inlineStr">
        <is>
          <t>Rio San Diego Drive</t>
        </is>
      </c>
      <c r="D203" t="inlineStr">
        <is>
          <t>(see map link)</t>
        </is>
      </c>
      <c r="E203" t="inlineStr">
        <is>
          <t>Gill Village Way</t>
        </is>
      </c>
      <c r="F203" t="inlineStr">
        <is>
          <t>6006415</t>
        </is>
      </c>
      <c r="G203" t="inlineStr"/>
      <c r="H203" t="inlineStr">
        <is>
          <t>inferred</t>
        </is>
      </c>
      <c r="I203" t="inlineStr">
        <is>
          <t>no</t>
        </is>
      </c>
      <c r="J203" t="inlineStr">
        <is>
          <t>https://www.google.com/maps/@?api=1&amp;map_action=pano&amp;viewpoint=32.776190,-117.138490&amp;heading=280</t>
        </is>
      </c>
      <c r="K203" t="inlineStr">
        <is>
          <t>https://www.google.com/maps/search/?api=1&amp;query=32.776190,-117.138490</t>
        </is>
      </c>
      <c r="L203" t="inlineStr"/>
      <c r="M203" t="inlineStr"/>
      <c r="N203" t="inlineStr"/>
      <c r="O203" t="inlineStr"/>
      <c r="P203" t="inlineStr">
        <is>
          <t>pending</t>
        </is>
      </c>
      <c r="Q203" t="inlineStr"/>
      <c r="R203" t="inlineStr"/>
      <c r="S203" t="inlineStr"/>
      <c r="T203" t="inlineStr"/>
      <c r="U203" t="inlineStr"/>
      <c r="V203">
        <f>IF(OR(L203="",S203=""),"",IF(VALUE(L203)=VALUE(S203),"Y","N"))</f>
        <v/>
      </c>
      <c r="W203">
        <f>IF(V203="Y",S203,"")</f>
        <v/>
      </c>
      <c r="X203" t="inlineStr">
        <is>
          <t>unverified: map has no limit (guessed from road type); main road: what is posted? 35 or lower opens it to LSVs</t>
        </is>
      </c>
      <c r="Y203" t="inlineStr"/>
      <c r="Z203" t="n">
        <v>1217</v>
      </c>
      <c r="AA203" t="inlineStr">
        <is>
          <t>sd</t>
        </is>
      </c>
      <c r="AB203" t="inlineStr">
        <is>
          <t>sd|32.77619,-117.13849</t>
        </is>
      </c>
    </row>
    <row r="204">
      <c r="A204" t="inlineStr">
        <is>
          <t>SD-B2-203</t>
        </is>
      </c>
      <c r="B204" t="inlineStr">
        <is>
          <t>San Diego area</t>
        </is>
      </c>
      <c r="C204" t="inlineStr">
        <is>
          <t>Admiral Boland Way</t>
        </is>
      </c>
      <c r="D204" t="inlineStr">
        <is>
          <t>(see map link)</t>
        </is>
      </c>
      <c r="E204" t="inlineStr">
        <is>
          <t>West Washington Street</t>
        </is>
      </c>
      <c r="F204" t="inlineStr">
        <is>
          <t>507725783</t>
        </is>
      </c>
      <c r="G204" t="inlineStr"/>
      <c r="H204" t="inlineStr">
        <is>
          <t>inferred</t>
        </is>
      </c>
      <c r="I204" t="inlineStr">
        <is>
          <t>no</t>
        </is>
      </c>
      <c r="J204" t="inlineStr">
        <is>
          <t>https://www.google.com/maps/@?api=1&amp;map_action=pano&amp;viewpoint=32.736820,-117.184270&amp;heading=313</t>
        </is>
      </c>
      <c r="K204" t="inlineStr">
        <is>
          <t>https://www.google.com/maps/search/?api=1&amp;query=32.736820,-117.184270</t>
        </is>
      </c>
      <c r="L204" t="inlineStr"/>
      <c r="M204" t="inlineStr"/>
      <c r="N204" t="inlineStr"/>
      <c r="O204" t="inlineStr"/>
      <c r="P204" t="inlineStr">
        <is>
          <t>pending</t>
        </is>
      </c>
      <c r="Q204" t="inlineStr"/>
      <c r="R204" t="inlineStr"/>
      <c r="S204" t="inlineStr"/>
      <c r="T204" t="inlineStr"/>
      <c r="U204" t="inlineStr"/>
      <c r="V204">
        <f>IF(OR(L204="",S204=""),"",IF(VALUE(L204)=VALUE(S204),"Y","N"))</f>
        <v/>
      </c>
      <c r="W204">
        <f>IF(V204="Y",S204,"")</f>
        <v/>
      </c>
      <c r="X204" t="inlineStr">
        <is>
          <t>unverified: map has no limit (guessed from road type); main road: what is posted? 35 or lower opens it to LSVs</t>
        </is>
      </c>
      <c r="Y204" t="inlineStr"/>
      <c r="Z204" t="n">
        <v>1212</v>
      </c>
      <c r="AA204" t="inlineStr">
        <is>
          <t>sd</t>
        </is>
      </c>
      <c r="AB204" t="inlineStr">
        <is>
          <t>sd|32.73682,-117.18427</t>
        </is>
      </c>
    </row>
    <row r="205">
      <c r="A205" t="inlineStr">
        <is>
          <t>SD-B2-204</t>
        </is>
      </c>
      <c r="B205" t="inlineStr">
        <is>
          <t>San Diego area</t>
        </is>
      </c>
      <c r="C205" t="inlineStr">
        <is>
          <t>Balboa Avenue</t>
        </is>
      </c>
      <c r="D205" t="inlineStr">
        <is>
          <t>Genesee Avenue</t>
        </is>
      </c>
      <c r="E205" t="inlineStr">
        <is>
          <t>Mount Culebra Avenue</t>
        </is>
      </c>
      <c r="F205" t="inlineStr">
        <is>
          <t>1028887258</t>
        </is>
      </c>
      <c r="G205" t="n">
        <v>45</v>
      </c>
      <c r="H205" t="inlineStr">
        <is>
          <t>tag</t>
        </is>
      </c>
      <c r="I205" t="inlineStr">
        <is>
          <t>no</t>
        </is>
      </c>
      <c r="J205" t="inlineStr">
        <is>
          <t>https://www.google.com/maps/@?api=1&amp;map_action=pano&amp;viewpoint=32.817345,-117.187150&amp;heading=66</t>
        </is>
      </c>
      <c r="K205" t="inlineStr">
        <is>
          <t>https://www.google.com/maps/search/?api=1&amp;query=32.817345,-117.187150</t>
        </is>
      </c>
      <c r="L205" t="inlineStr"/>
      <c r="M205" t="inlineStr"/>
      <c r="N205" t="inlineStr"/>
      <c r="O205" t="inlineStr"/>
      <c r="P205" t="inlineStr">
        <is>
          <t>pending</t>
        </is>
      </c>
      <c r="Q205" t="inlineStr"/>
      <c r="R205" t="inlineStr"/>
      <c r="S205" t="inlineStr"/>
      <c r="T205" t="inlineStr"/>
      <c r="U205" t="inlineStr"/>
      <c r="V205">
        <f>IF(OR(L205="",S205=""),"",IF(VALUE(L205)=VALUE(S205),"Y","N"))</f>
        <v/>
      </c>
      <c r="W205">
        <f>IF(V205="Y",S205,"")</f>
        <v/>
      </c>
      <c r="X205" t="inlineStr">
        <is>
          <t>unverified: map has 45 mph (OSM tag only); main road: what is posted? 35 or lower opens it to LSVs</t>
        </is>
      </c>
      <c r="Y205" t="inlineStr"/>
      <c r="Z205" t="n">
        <v>1310</v>
      </c>
      <c r="AA205" t="inlineStr">
        <is>
          <t>sd</t>
        </is>
      </c>
      <c r="AB205" t="inlineStr">
        <is>
          <t>sd|32.81735,-117.18715</t>
        </is>
      </c>
    </row>
    <row r="206">
      <c r="A206" t="inlineStr">
        <is>
          <t>SD-B2-205</t>
        </is>
      </c>
      <c r="B206" t="inlineStr">
        <is>
          <t>San Diego area</t>
        </is>
      </c>
      <c r="C206" t="inlineStr">
        <is>
          <t>Ocean View Boulevard</t>
        </is>
      </c>
      <c r="D206" t="inlineStr">
        <is>
          <t>(see map link)</t>
        </is>
      </c>
      <c r="E206" t="inlineStr">
        <is>
          <t>Cuyamaca Avenue</t>
        </is>
      </c>
      <c r="F206" t="inlineStr">
        <is>
          <t>26427044</t>
        </is>
      </c>
      <c r="G206" t="inlineStr"/>
      <c r="H206" t="inlineStr">
        <is>
          <t>inferred</t>
        </is>
      </c>
      <c r="I206" t="inlineStr">
        <is>
          <t>no</t>
        </is>
      </c>
      <c r="J206" t="inlineStr">
        <is>
          <t>https://www.google.com/maps/@?api=1&amp;map_action=pano&amp;viewpoint=32.700495,-117.100755&amp;heading=90</t>
        </is>
      </c>
      <c r="K206" t="inlineStr">
        <is>
          <t>https://www.google.com/maps/search/?api=1&amp;query=32.700495,-117.100755</t>
        </is>
      </c>
      <c r="L206" t="inlineStr"/>
      <c r="M206" t="inlineStr"/>
      <c r="N206" t="inlineStr"/>
      <c r="O206" t="inlineStr"/>
      <c r="P206" t="inlineStr">
        <is>
          <t>pending</t>
        </is>
      </c>
      <c r="Q206" t="inlineStr"/>
      <c r="R206" t="inlineStr"/>
      <c r="S206" t="inlineStr"/>
      <c r="T206" t="inlineStr"/>
      <c r="U206" t="inlineStr"/>
      <c r="V206">
        <f>IF(OR(L206="",S206=""),"",IF(VALUE(L206)=VALUE(S206),"Y","N"))</f>
        <v/>
      </c>
      <c r="W206">
        <f>IF(V206="Y",S206,"")</f>
        <v/>
      </c>
      <c r="X206" t="inlineStr">
        <is>
          <t>unverified: map has no limit (guessed from road type); main road: what is posted? 35 or lower opens it to LSVs</t>
        </is>
      </c>
      <c r="Y206" t="inlineStr"/>
      <c r="Z206" t="n">
        <v>1202</v>
      </c>
      <c r="AA206" t="inlineStr">
        <is>
          <t>sd</t>
        </is>
      </c>
      <c r="AB206" t="inlineStr">
        <is>
          <t>sd|32.70050,-117.10075</t>
        </is>
      </c>
    </row>
    <row r="207">
      <c r="A207" t="inlineStr">
        <is>
          <t>SD-B2-206</t>
        </is>
      </c>
      <c r="B207" t="inlineStr">
        <is>
          <t>San Diego area</t>
        </is>
      </c>
      <c r="C207" t="inlineStr">
        <is>
          <t>Tidelands Avenue</t>
        </is>
      </c>
      <c r="D207" t="inlineStr">
        <is>
          <t>Bay Marina Drive</t>
        </is>
      </c>
      <c r="E207" t="inlineStr">
        <is>
          <t>West 19th Street</t>
        </is>
      </c>
      <c r="F207" t="inlineStr">
        <is>
          <t>5996135</t>
        </is>
      </c>
      <c r="G207" t="n">
        <v>25</v>
      </c>
      <c r="H207" t="inlineStr">
        <is>
          <t>inferred</t>
        </is>
      </c>
      <c r="I207" t="inlineStr">
        <is>
          <t>cart+LSV</t>
        </is>
      </c>
      <c r="J207" t="inlineStr">
        <is>
          <t>https://www.google.com/maps/@?api=1&amp;map_action=pano&amp;viewpoint=32.653950,-117.113125&amp;heading=162</t>
        </is>
      </c>
      <c r="K207" t="inlineStr">
        <is>
          <t>https://www.google.com/maps/search/?api=1&amp;query=32.653950,-117.113125</t>
        </is>
      </c>
      <c r="L207" t="inlineStr"/>
      <c r="M207" t="inlineStr"/>
      <c r="N207" t="inlineStr"/>
      <c r="O207" t="inlineStr"/>
      <c r="P207" t="inlineStr">
        <is>
          <t>pending</t>
        </is>
      </c>
      <c r="Q207" t="inlineStr"/>
      <c r="R207" t="inlineStr"/>
      <c r="S207" t="inlineStr"/>
      <c r="T207" t="inlineStr"/>
      <c r="U207" t="inlineStr"/>
      <c r="V207">
        <f>IF(OR(L207="",S207=""),"",IF(VALUE(L207)=VALUE(S207),"Y","N"))</f>
        <v/>
      </c>
      <c r="W207">
        <f>IF(V207="Y",S207,"")</f>
        <v/>
      </c>
      <c r="X207" t="inlineStr">
        <is>
          <t>unverified: map has 25 mph (guessed from road type); is it 25 (carts OK) or 30+?</t>
        </is>
      </c>
      <c r="Y207" t="inlineStr"/>
      <c r="Z207" t="n">
        <v>2152</v>
      </c>
      <c r="AA207" t="inlineStr">
        <is>
          <t>sd</t>
        </is>
      </c>
      <c r="AB207" t="inlineStr">
        <is>
          <t>sd|32.65395,-117.11312</t>
        </is>
      </c>
    </row>
    <row r="208">
      <c r="A208" t="inlineStr">
        <is>
          <t>SD-B2-207</t>
        </is>
      </c>
      <c r="B208" t="inlineStr">
        <is>
          <t>San Diego area</t>
        </is>
      </c>
      <c r="C208" t="inlineStr">
        <is>
          <t>8th Street</t>
        </is>
      </c>
      <c r="D208" t="inlineStr">
        <is>
          <t>F Avenue</t>
        </is>
      </c>
      <c r="E208" t="inlineStr">
        <is>
          <t>Balboa Avenue</t>
        </is>
      </c>
      <c r="F208" t="inlineStr">
        <is>
          <t>6051459</t>
        </is>
      </c>
      <c r="G208" t="n">
        <v>25</v>
      </c>
      <c r="H208" t="inlineStr">
        <is>
          <t>inferred</t>
        </is>
      </c>
      <c r="I208" t="inlineStr">
        <is>
          <t>cart+LSV</t>
        </is>
      </c>
      <c r="J208" t="inlineStr">
        <is>
          <t>https://www.google.com/maps/@?api=1&amp;map_action=pano&amp;viewpoint=32.692735,-117.187640&amp;heading=116</t>
        </is>
      </c>
      <c r="K208" t="inlineStr">
        <is>
          <t>https://www.google.com/maps/search/?api=1&amp;query=32.692735,-117.187640</t>
        </is>
      </c>
      <c r="L208" t="inlineStr"/>
      <c r="M208" t="inlineStr"/>
      <c r="N208" t="inlineStr"/>
      <c r="O208" t="inlineStr"/>
      <c r="P208" t="inlineStr">
        <is>
          <t>pending</t>
        </is>
      </c>
      <c r="Q208" t="inlineStr"/>
      <c r="R208" t="inlineStr"/>
      <c r="S208" t="inlineStr"/>
      <c r="T208" t="inlineStr"/>
      <c r="U208" t="inlineStr"/>
      <c r="V208">
        <f>IF(OR(L208="",S208=""),"",IF(VALUE(L208)=VALUE(S208),"Y","N"))</f>
        <v/>
      </c>
      <c r="W208">
        <f>IF(V208="Y",S208,"")</f>
        <v/>
      </c>
      <c r="X208" t="inlineStr">
        <is>
          <t>unverified: map has 25 mph (guessed from road type); is it 25 (carts OK) or 30+?</t>
        </is>
      </c>
      <c r="Y208" t="inlineStr"/>
      <c r="Z208" t="n">
        <v>1713</v>
      </c>
      <c r="AA208" t="inlineStr">
        <is>
          <t>sd</t>
        </is>
      </c>
      <c r="AB208" t="inlineStr">
        <is>
          <t>sd|32.69273,-117.18764</t>
        </is>
      </c>
    </row>
    <row r="209">
      <c r="A209" t="inlineStr">
        <is>
          <t>SD-B2-208</t>
        </is>
      </c>
      <c r="B209" t="inlineStr">
        <is>
          <t>San Diego area</t>
        </is>
      </c>
      <c r="C209" t="inlineStr">
        <is>
          <t>D Avenue</t>
        </is>
      </c>
      <c r="D209" t="inlineStr">
        <is>
          <t>1st Street</t>
        </is>
      </c>
      <c r="E209" t="inlineStr">
        <is>
          <t>10th Street</t>
        </is>
      </c>
      <c r="F209" t="inlineStr">
        <is>
          <t>6053706</t>
        </is>
      </c>
      <c r="G209" t="n">
        <v>25</v>
      </c>
      <c r="H209" t="inlineStr">
        <is>
          <t>inferred</t>
        </is>
      </c>
      <c r="I209" t="inlineStr">
        <is>
          <t>cart+LSV</t>
        </is>
      </c>
      <c r="J209" t="inlineStr">
        <is>
          <t>https://www.google.com/maps/@?api=1&amp;map_action=pano&amp;viewpoint=32.691400,-117.178120&amp;heading=206</t>
        </is>
      </c>
      <c r="K209" t="inlineStr">
        <is>
          <t>https://www.google.com/maps/search/?api=1&amp;query=32.691400,-117.178120</t>
        </is>
      </c>
      <c r="L209" t="inlineStr"/>
      <c r="M209" t="inlineStr"/>
      <c r="N209" t="inlineStr"/>
      <c r="O209" t="inlineStr"/>
      <c r="P209" t="inlineStr">
        <is>
          <t>pending</t>
        </is>
      </c>
      <c r="Q209" t="inlineStr"/>
      <c r="R209" t="inlineStr"/>
      <c r="S209" t="inlineStr"/>
      <c r="T209" t="inlineStr"/>
      <c r="U209" t="inlineStr"/>
      <c r="V209">
        <f>IF(OR(L209="",S209=""),"",IF(VALUE(L209)=VALUE(S209),"Y","N"))</f>
        <v/>
      </c>
      <c r="W209">
        <f>IF(V209="Y",S209,"")</f>
        <v/>
      </c>
      <c r="X209" t="inlineStr">
        <is>
          <t>unverified: map has 25 mph (guessed from road type); is it 25 (carts OK) or 30+?</t>
        </is>
      </c>
      <c r="Y209" t="inlineStr"/>
      <c r="Z209" t="n">
        <v>1587</v>
      </c>
      <c r="AA209" t="inlineStr">
        <is>
          <t>sd</t>
        </is>
      </c>
      <c r="AB209" t="inlineStr">
        <is>
          <t>sd|32.69140,-117.17812</t>
        </is>
      </c>
    </row>
    <row r="210">
      <c r="A210" t="inlineStr">
        <is>
          <t>SD-B2-209</t>
        </is>
      </c>
      <c r="B210" t="inlineStr">
        <is>
          <t>San Diego area</t>
        </is>
      </c>
      <c r="C210" t="inlineStr">
        <is>
          <t>2nd Avenue</t>
        </is>
      </c>
      <c r="D210" t="inlineStr">
        <is>
          <t>Cedar Street</t>
        </is>
      </c>
      <c r="E210" t="inlineStr">
        <is>
          <t>Nutmeg Street</t>
        </is>
      </c>
      <c r="F210" t="inlineStr">
        <is>
          <t>1079838033</t>
        </is>
      </c>
      <c r="G210" t="n">
        <v>25</v>
      </c>
      <c r="H210" t="inlineStr">
        <is>
          <t>inferred</t>
        </is>
      </c>
      <c r="I210" t="inlineStr">
        <is>
          <t>cart+LSV</t>
        </is>
      </c>
      <c r="J210" t="inlineStr">
        <is>
          <t>https://www.google.com/maps/@?api=1&amp;map_action=pano&amp;viewpoint=32.719360,-117.162935&amp;heading=180</t>
        </is>
      </c>
      <c r="K210" t="inlineStr">
        <is>
          <t>https://www.google.com/maps/search/?api=1&amp;query=32.719360,-117.162935</t>
        </is>
      </c>
      <c r="L210" t="inlineStr"/>
      <c r="M210" t="inlineStr"/>
      <c r="N210" t="inlineStr"/>
      <c r="O210" t="inlineStr"/>
      <c r="P210" t="inlineStr">
        <is>
          <t>pending</t>
        </is>
      </c>
      <c r="Q210" t="inlineStr"/>
      <c r="R210" t="inlineStr"/>
      <c r="S210" t="inlineStr"/>
      <c r="T210" t="inlineStr"/>
      <c r="U210" t="inlineStr"/>
      <c r="V210">
        <f>IF(OR(L210="",S210=""),"",IF(VALUE(L210)=VALUE(S210),"Y","N"))</f>
        <v/>
      </c>
      <c r="W210">
        <f>IF(V210="Y",S210,"")</f>
        <v/>
      </c>
      <c r="X210" t="inlineStr">
        <is>
          <t>unverified: map has 25 mph (guessed from road type); is it 25 (carts OK) or 30+?</t>
        </is>
      </c>
      <c r="Y210" t="inlineStr"/>
      <c r="Z210" t="n">
        <v>1707</v>
      </c>
      <c r="AA210" t="inlineStr">
        <is>
          <t>sd</t>
        </is>
      </c>
      <c r="AB210" t="inlineStr">
        <is>
          <t>sd|32.71936,-117.16294</t>
        </is>
      </c>
    </row>
    <row r="211">
      <c r="A211" t="inlineStr">
        <is>
          <t>SD-B2-210</t>
        </is>
      </c>
      <c r="B211" t="inlineStr">
        <is>
          <t>San Diego area</t>
        </is>
      </c>
      <c r="C211" t="inlineStr">
        <is>
          <t>K Street</t>
        </is>
      </c>
      <c r="D211" t="inlineStr">
        <is>
          <t>22nd Street</t>
        </is>
      </c>
      <c r="E211" t="inlineStr">
        <is>
          <t>North 20th Street</t>
        </is>
      </c>
      <c r="F211" t="inlineStr">
        <is>
          <t>5965886</t>
        </is>
      </c>
      <c r="G211" t="n">
        <v>25</v>
      </c>
      <c r="H211" t="inlineStr">
        <is>
          <t>inferred</t>
        </is>
      </c>
      <c r="I211" t="inlineStr">
        <is>
          <t>cart+LSV</t>
        </is>
      </c>
      <c r="J211" t="inlineStr">
        <is>
          <t>https://www.google.com/maps/@?api=1&amp;map_action=pano&amp;viewpoint=32.708425,-117.141335&amp;heading=89</t>
        </is>
      </c>
      <c r="K211" t="inlineStr">
        <is>
          <t>https://www.google.com/maps/search/?api=1&amp;query=32.708425,-117.141335</t>
        </is>
      </c>
      <c r="L211" t="inlineStr"/>
      <c r="M211" t="inlineStr"/>
      <c r="N211" t="inlineStr"/>
      <c r="O211" t="inlineStr"/>
      <c r="P211" t="inlineStr">
        <is>
          <t>pending</t>
        </is>
      </c>
      <c r="Q211" t="inlineStr"/>
      <c r="R211" t="inlineStr"/>
      <c r="S211" t="inlineStr"/>
      <c r="T211" t="inlineStr"/>
      <c r="U211" t="inlineStr"/>
      <c r="V211">
        <f>IF(OR(L211="",S211=""),"",IF(VALUE(L211)=VALUE(S211),"Y","N"))</f>
        <v/>
      </c>
      <c r="W211">
        <f>IF(V211="Y",S211,"")</f>
        <v/>
      </c>
      <c r="X211" t="inlineStr">
        <is>
          <t>unverified: map has 25 mph (guessed from road type); is it 25 (carts OK) or 30+?</t>
        </is>
      </c>
      <c r="Y211" t="inlineStr"/>
      <c r="Z211" t="n">
        <v>2098</v>
      </c>
      <c r="AA211" t="inlineStr">
        <is>
          <t>sd</t>
        </is>
      </c>
      <c r="AB211" t="inlineStr">
        <is>
          <t>sd|32.70843,-117.14133</t>
        </is>
      </c>
    </row>
    <row r="212">
      <c r="A212" t="inlineStr">
        <is>
          <t>SD-B2-211</t>
        </is>
      </c>
      <c r="B212" t="inlineStr">
        <is>
          <t>San Diego area</t>
        </is>
      </c>
      <c r="C212" t="inlineStr">
        <is>
          <t>Via Las Cumbres</t>
        </is>
      </c>
      <c r="D212" t="inlineStr">
        <is>
          <t>(see map link)</t>
        </is>
      </c>
      <c r="E212" t="inlineStr">
        <is>
          <t>Camino Costanero</t>
        </is>
      </c>
      <c r="F212" t="inlineStr">
        <is>
          <t>233076346</t>
        </is>
      </c>
      <c r="G212" t="n">
        <v>25</v>
      </c>
      <c r="H212" t="inlineStr">
        <is>
          <t>inferred</t>
        </is>
      </c>
      <c r="I212" t="inlineStr">
        <is>
          <t>cart+LSV</t>
        </is>
      </c>
      <c r="J212" t="inlineStr">
        <is>
          <t>https://www.google.com/maps/@?api=1&amp;map_action=pano&amp;viewpoint=32.774490,-117.179950&amp;heading=346</t>
        </is>
      </c>
      <c r="K212" t="inlineStr">
        <is>
          <t>https://www.google.com/maps/search/?api=1&amp;query=32.774490,-117.179950</t>
        </is>
      </c>
      <c r="L212" t="inlineStr"/>
      <c r="M212" t="inlineStr"/>
      <c r="N212" t="inlineStr"/>
      <c r="O212" t="inlineStr"/>
      <c r="P212" t="inlineStr">
        <is>
          <t>pending</t>
        </is>
      </c>
      <c r="Q212" t="inlineStr"/>
      <c r="R212" t="inlineStr"/>
      <c r="S212" t="inlineStr"/>
      <c r="T212" t="inlineStr"/>
      <c r="U212" t="inlineStr"/>
      <c r="V212">
        <f>IF(OR(L212="",S212=""),"",IF(VALUE(L212)=VALUE(S212),"Y","N"))</f>
        <v/>
      </c>
      <c r="W212">
        <f>IF(V212="Y",S212,"")</f>
        <v/>
      </c>
      <c r="X212" t="inlineStr">
        <is>
          <t>unverified: map has 25 mph (guessed from road type); is it 25 (carts OK) or 30+?</t>
        </is>
      </c>
      <c r="Y212" t="inlineStr"/>
      <c r="Z212" t="n">
        <v>1642</v>
      </c>
      <c r="AA212" t="inlineStr">
        <is>
          <t>sd</t>
        </is>
      </c>
      <c r="AB212" t="inlineStr">
        <is>
          <t>sd|32.77449,-117.17995</t>
        </is>
      </c>
    </row>
    <row r="213">
      <c r="A213" t="inlineStr">
        <is>
          <t>SD-B2-212</t>
        </is>
      </c>
      <c r="B213" t="inlineStr">
        <is>
          <t>San Diego area</t>
        </is>
      </c>
      <c r="C213" t="inlineStr">
        <is>
          <t>Camino del Rio South</t>
        </is>
      </c>
      <c r="D213" t="inlineStr">
        <is>
          <t>(see map link)</t>
        </is>
      </c>
      <c r="E213" t="inlineStr">
        <is>
          <t>(see map link)</t>
        </is>
      </c>
      <c r="F213" t="inlineStr">
        <is>
          <t>1060421200</t>
        </is>
      </c>
      <c r="G213" t="n">
        <v>25</v>
      </c>
      <c r="H213" t="inlineStr">
        <is>
          <t>inferred</t>
        </is>
      </c>
      <c r="I213" t="inlineStr">
        <is>
          <t>cart+LSV</t>
        </is>
      </c>
      <c r="J213" t="inlineStr">
        <is>
          <t>https://www.google.com/maps/@?api=1&amp;map_action=pano&amp;viewpoint=32.771980,-117.128240&amp;heading=234</t>
        </is>
      </c>
      <c r="K213" t="inlineStr">
        <is>
          <t>https://www.google.com/maps/search/?api=1&amp;query=32.771980,-117.128240</t>
        </is>
      </c>
      <c r="L213" t="inlineStr"/>
      <c r="M213" t="inlineStr"/>
      <c r="N213" t="inlineStr"/>
      <c r="O213" t="inlineStr"/>
      <c r="P213" t="inlineStr">
        <is>
          <t>pending</t>
        </is>
      </c>
      <c r="Q213" t="inlineStr"/>
      <c r="R213" t="inlineStr"/>
      <c r="S213" t="inlineStr"/>
      <c r="T213" t="inlineStr"/>
      <c r="U213" t="inlineStr"/>
      <c r="V213">
        <f>IF(OR(L213="",S213=""),"",IF(VALUE(L213)=VALUE(S213),"Y","N"))</f>
        <v/>
      </c>
      <c r="W213">
        <f>IF(V213="Y",S213,"")</f>
        <v/>
      </c>
      <c r="X213" t="inlineStr">
        <is>
          <t>unverified: map has 25 mph (guessed from road type); is it 25 (carts OK) or 30+?</t>
        </is>
      </c>
      <c r="Y213" t="inlineStr"/>
      <c r="Z213" t="n">
        <v>1548</v>
      </c>
      <c r="AA213" t="inlineStr">
        <is>
          <t>sd</t>
        </is>
      </c>
      <c r="AB213" t="inlineStr">
        <is>
          <t>sd|32.77198,-117.12824</t>
        </is>
      </c>
    </row>
    <row r="214">
      <c r="A214" t="inlineStr">
        <is>
          <t>SD-B2-213</t>
        </is>
      </c>
      <c r="B214" t="inlineStr">
        <is>
          <t>San Diego area</t>
        </is>
      </c>
      <c r="C214" t="inlineStr">
        <is>
          <t>Kearny Mesa Road</t>
        </is>
      </c>
      <c r="D214" t="inlineStr">
        <is>
          <t>Clairemont Mesa Boulevard</t>
        </is>
      </c>
      <c r="E214" t="inlineStr">
        <is>
          <t>Engineer Road</t>
        </is>
      </c>
      <c r="F214" t="inlineStr">
        <is>
          <t>283724286</t>
        </is>
      </c>
      <c r="G214" t="n">
        <v>25</v>
      </c>
      <c r="H214" t="inlineStr">
        <is>
          <t>inferred</t>
        </is>
      </c>
      <c r="I214" t="inlineStr">
        <is>
          <t>cart+LSV</t>
        </is>
      </c>
      <c r="J214" t="inlineStr">
        <is>
          <t>https://www.google.com/maps/@?api=1&amp;map_action=pano&amp;viewpoint=32.837715,-117.137045&amp;heading=35</t>
        </is>
      </c>
      <c r="K214" t="inlineStr">
        <is>
          <t>https://www.google.com/maps/search/?api=1&amp;query=32.837715,-117.137045</t>
        </is>
      </c>
      <c r="L214" t="inlineStr"/>
      <c r="M214" t="inlineStr"/>
      <c r="N214" t="inlineStr"/>
      <c r="O214" t="inlineStr"/>
      <c r="P214" t="inlineStr">
        <is>
          <t>pending</t>
        </is>
      </c>
      <c r="Q214" t="inlineStr"/>
      <c r="R214" t="inlineStr"/>
      <c r="S214" t="inlineStr"/>
      <c r="T214" t="inlineStr"/>
      <c r="U214" t="inlineStr"/>
      <c r="V214">
        <f>IF(OR(L214="",S214=""),"",IF(VALUE(L214)=VALUE(S214),"Y","N"))</f>
        <v/>
      </c>
      <c r="W214">
        <f>IF(V214="Y",S214,"")</f>
        <v/>
      </c>
      <c r="X214" t="inlineStr">
        <is>
          <t>unverified: map has 25 mph (guessed from road type); is it 25 (carts OK) or 30+?</t>
        </is>
      </c>
      <c r="Y214" t="inlineStr"/>
      <c r="Z214" t="n">
        <v>1955</v>
      </c>
      <c r="AA214" t="inlineStr">
        <is>
          <t>sd</t>
        </is>
      </c>
      <c r="AB214" t="inlineStr">
        <is>
          <t>sd|32.83772,-117.13705</t>
        </is>
      </c>
    </row>
    <row r="215">
      <c r="A215" t="inlineStr">
        <is>
          <t>SD-B2-214</t>
        </is>
      </c>
      <c r="B215" t="inlineStr">
        <is>
          <t>San Diego area</t>
        </is>
      </c>
      <c r="C215" t="inlineStr">
        <is>
          <t>Pacific Highlands Ranch Parkway</t>
        </is>
      </c>
      <c r="D215" t="inlineStr">
        <is>
          <t>(see map link)</t>
        </is>
      </c>
      <c r="E215" t="inlineStr">
        <is>
          <t>Blue Dawn Trail</t>
        </is>
      </c>
      <c r="F215" t="inlineStr">
        <is>
          <t>1080262670</t>
        </is>
      </c>
      <c r="G215" t="n">
        <v>25</v>
      </c>
      <c r="H215" t="inlineStr">
        <is>
          <t>inferred</t>
        </is>
      </c>
      <c r="I215" t="inlineStr">
        <is>
          <t>cart+LSV</t>
        </is>
      </c>
      <c r="J215" t="inlineStr">
        <is>
          <t>https://www.google.com/maps/@?api=1&amp;map_action=pano&amp;viewpoint=32.961690,-117.188850&amp;heading=90</t>
        </is>
      </c>
      <c r="K215" t="inlineStr">
        <is>
          <t>https://www.google.com/maps/search/?api=1&amp;query=32.961690,-117.188850</t>
        </is>
      </c>
      <c r="L215" t="inlineStr"/>
      <c r="M215" t="inlineStr"/>
      <c r="N215" t="inlineStr"/>
      <c r="O215" t="inlineStr"/>
      <c r="P215" t="inlineStr">
        <is>
          <t>pending</t>
        </is>
      </c>
      <c r="Q215" t="inlineStr"/>
      <c r="R215" t="inlineStr"/>
      <c r="S215" t="inlineStr"/>
      <c r="T215" t="inlineStr"/>
      <c r="U215" t="inlineStr"/>
      <c r="V215">
        <f>IF(OR(L215="",S215=""),"",IF(VALUE(L215)=VALUE(S215),"Y","N"))</f>
        <v/>
      </c>
      <c r="W215">
        <f>IF(V215="Y",S215,"")</f>
        <v/>
      </c>
      <c r="X215" t="inlineStr">
        <is>
          <t>unverified: map has 25 mph (guessed from road type); is it 25 (carts OK) or 30+?</t>
        </is>
      </c>
      <c r="Y215" t="inlineStr"/>
      <c r="Z215" t="n">
        <v>1881</v>
      </c>
      <c r="AA215" t="inlineStr">
        <is>
          <t>sd</t>
        </is>
      </c>
      <c r="AB215" t="inlineStr">
        <is>
          <t>sd|32.96169,-117.18885</t>
        </is>
      </c>
    </row>
    <row r="216">
      <c r="A216" t="inlineStr">
        <is>
          <t>SD-B2-215</t>
        </is>
      </c>
      <c r="B216" t="inlineStr">
        <is>
          <t>San Diego area</t>
        </is>
      </c>
      <c r="C216" t="inlineStr">
        <is>
          <t>Dormouse Road</t>
        </is>
      </c>
      <c r="D216" t="inlineStr">
        <is>
          <t>Rufus Court</t>
        </is>
      </c>
      <c r="E216" t="inlineStr">
        <is>
          <t>Salix Place</t>
        </is>
      </c>
      <c r="F216" t="inlineStr">
        <is>
          <t>1457682668</t>
        </is>
      </c>
      <c r="G216" t="n">
        <v>25</v>
      </c>
      <c r="H216" t="inlineStr">
        <is>
          <t>inferred</t>
        </is>
      </c>
      <c r="I216" t="inlineStr">
        <is>
          <t>cart+LSV</t>
        </is>
      </c>
      <c r="J216" t="inlineStr">
        <is>
          <t>https://www.google.com/maps/@?api=1&amp;map_action=pano&amp;viewpoint=32.942070,-117.159760&amp;heading=188</t>
        </is>
      </c>
      <c r="K216" t="inlineStr">
        <is>
          <t>https://www.google.com/maps/search/?api=1&amp;query=32.942070,-117.159760</t>
        </is>
      </c>
      <c r="L216" t="inlineStr"/>
      <c r="M216" t="inlineStr"/>
      <c r="N216" t="inlineStr"/>
      <c r="O216" t="inlineStr"/>
      <c r="P216" t="inlineStr">
        <is>
          <t>pending</t>
        </is>
      </c>
      <c r="Q216" t="inlineStr"/>
      <c r="R216" t="inlineStr"/>
      <c r="S216" t="inlineStr"/>
      <c r="T216" t="inlineStr"/>
      <c r="U216" t="inlineStr"/>
      <c r="V216">
        <f>IF(OR(L216="",S216=""),"",IF(VALUE(L216)=VALUE(S216),"Y","N"))</f>
        <v/>
      </c>
      <c r="W216">
        <f>IF(V216="Y",S216,"")</f>
        <v/>
      </c>
      <c r="X216" t="inlineStr">
        <is>
          <t>unverified: map has 25 mph (guessed from road type); is it 25 (carts OK) or 30+?</t>
        </is>
      </c>
      <c r="Y216" t="inlineStr"/>
      <c r="Z216" t="n">
        <v>1602</v>
      </c>
      <c r="AA216" t="inlineStr">
        <is>
          <t>sd</t>
        </is>
      </c>
      <c r="AB216" t="inlineStr">
        <is>
          <t>sd|32.94207,-117.15976</t>
        </is>
      </c>
    </row>
    <row r="217">
      <c r="A217" t="inlineStr">
        <is>
          <t>SD-B2-216</t>
        </is>
      </c>
      <c r="B217" t="inlineStr">
        <is>
          <t>San Diego area</t>
        </is>
      </c>
      <c r="C217" t="inlineStr">
        <is>
          <t>Park Village Road</t>
        </is>
      </c>
      <c r="D217" t="inlineStr">
        <is>
          <t>Licia Way</t>
        </is>
      </c>
      <c r="E217" t="inlineStr">
        <is>
          <t>Celome Way</t>
        </is>
      </c>
      <c r="F217" t="inlineStr">
        <is>
          <t>1090557602</t>
        </is>
      </c>
      <c r="G217" t="n">
        <v>25</v>
      </c>
      <c r="H217" t="inlineStr">
        <is>
          <t>inferred</t>
        </is>
      </c>
      <c r="I217" t="inlineStr">
        <is>
          <t>cart+LSV</t>
        </is>
      </c>
      <c r="J217" t="inlineStr">
        <is>
          <t>https://www.google.com/maps/@?api=1&amp;map_action=pano&amp;viewpoint=32.938525,-117.162440&amp;heading=247</t>
        </is>
      </c>
      <c r="K217" t="inlineStr">
        <is>
          <t>https://www.google.com/maps/search/?api=1&amp;query=32.938525,-117.162440</t>
        </is>
      </c>
      <c r="L217" t="inlineStr"/>
      <c r="M217" t="inlineStr"/>
      <c r="N217" t="inlineStr"/>
      <c r="O217" t="inlineStr"/>
      <c r="P217" t="inlineStr">
        <is>
          <t>pending</t>
        </is>
      </c>
      <c r="Q217" t="inlineStr"/>
      <c r="R217" t="inlineStr"/>
      <c r="S217" t="inlineStr"/>
      <c r="T217" t="inlineStr"/>
      <c r="U217" t="inlineStr"/>
      <c r="V217">
        <f>IF(OR(L217="",S217=""),"",IF(VALUE(L217)=VALUE(S217),"Y","N"))</f>
        <v/>
      </c>
      <c r="W217">
        <f>IF(V217="Y",S217,"")</f>
        <v/>
      </c>
      <c r="X217" t="inlineStr">
        <is>
          <t>unverified: map has 25 mph (guessed from road type); is it 25 (carts OK) or 30+?</t>
        </is>
      </c>
      <c r="Y217" t="inlineStr"/>
      <c r="Z217" t="n">
        <v>1958</v>
      </c>
      <c r="AA217" t="inlineStr">
        <is>
          <t>sd</t>
        </is>
      </c>
      <c r="AB217" t="inlineStr">
        <is>
          <t>sd|32.93852,-117.16244</t>
        </is>
      </c>
    </row>
    <row r="218">
      <c r="A218" t="inlineStr">
        <is>
          <t>SD-B2-217</t>
        </is>
      </c>
      <c r="B218" t="inlineStr">
        <is>
          <t>San Diego area</t>
        </is>
      </c>
      <c r="C218" t="inlineStr">
        <is>
          <t>Torrey Santa Fe Road</t>
        </is>
      </c>
      <c r="D218" t="inlineStr">
        <is>
          <t>Camino del Sur</t>
        </is>
      </c>
      <c r="E218" t="inlineStr">
        <is>
          <t>Via Canyon Drive</t>
        </is>
      </c>
      <c r="F218" t="inlineStr">
        <is>
          <t>178597032</t>
        </is>
      </c>
      <c r="G218" t="n">
        <v>25</v>
      </c>
      <c r="H218" t="inlineStr">
        <is>
          <t>inferred</t>
        </is>
      </c>
      <c r="I218" t="inlineStr">
        <is>
          <t>cart+LSV</t>
        </is>
      </c>
      <c r="J218" t="inlineStr">
        <is>
          <t>https://www.google.com/maps/@?api=1&amp;map_action=pano&amp;viewpoint=32.960030,-117.157310&amp;heading=298</t>
        </is>
      </c>
      <c r="K218" t="inlineStr">
        <is>
          <t>https://www.google.com/maps/search/?api=1&amp;query=32.960030,-117.157310</t>
        </is>
      </c>
      <c r="L218" t="inlineStr"/>
      <c r="M218" t="inlineStr"/>
      <c r="N218" t="inlineStr"/>
      <c r="O218" t="inlineStr"/>
      <c r="P218" t="inlineStr">
        <is>
          <t>pending</t>
        </is>
      </c>
      <c r="Q218" t="inlineStr"/>
      <c r="R218" t="inlineStr"/>
      <c r="S218" t="inlineStr"/>
      <c r="T218" t="inlineStr"/>
      <c r="U218" t="inlineStr"/>
      <c r="V218">
        <f>IF(OR(L218="",S218=""),"",IF(VALUE(L218)=VALUE(S218),"Y","N"))</f>
        <v/>
      </c>
      <c r="W218">
        <f>IF(V218="Y",S218,"")</f>
        <v/>
      </c>
      <c r="X218" t="inlineStr">
        <is>
          <t>unverified: map has 25 mph (guessed from road type); is it 25 (carts OK) or 30+?</t>
        </is>
      </c>
      <c r="Y218" t="inlineStr"/>
      <c r="Z218" t="n">
        <v>1938</v>
      </c>
      <c r="AA218" t="inlineStr">
        <is>
          <t>sd</t>
        </is>
      </c>
      <c r="AB218" t="inlineStr">
        <is>
          <t>sd|32.96003,-117.15731</t>
        </is>
      </c>
    </row>
    <row r="219">
      <c r="A219" t="inlineStr">
        <is>
          <t>SD-B2-218</t>
        </is>
      </c>
      <c r="B219" t="inlineStr">
        <is>
          <t>San Diego area</t>
        </is>
      </c>
      <c r="C219" t="inlineStr">
        <is>
          <t>Las Colinas</t>
        </is>
      </c>
      <c r="D219" t="inlineStr">
        <is>
          <t>Via de la Valle</t>
        </is>
      </c>
      <c r="E219" t="inlineStr">
        <is>
          <t>El Mirador</t>
        </is>
      </c>
      <c r="F219" t="inlineStr">
        <is>
          <t>5983619</t>
        </is>
      </c>
      <c r="G219" t="n">
        <v>25</v>
      </c>
      <c r="H219" t="inlineStr">
        <is>
          <t>inferred</t>
        </is>
      </c>
      <c r="I219" t="inlineStr">
        <is>
          <t>cart+LSV</t>
        </is>
      </c>
      <c r="J219" t="inlineStr">
        <is>
          <t>https://www.google.com/maps/@?api=1&amp;map_action=pano&amp;viewpoint=33.018810,-117.195760&amp;heading=164</t>
        </is>
      </c>
      <c r="K219" t="inlineStr">
        <is>
          <t>https://www.google.com/maps/search/?api=1&amp;query=33.018810,-117.195760</t>
        </is>
      </c>
      <c r="L219" t="inlineStr"/>
      <c r="M219" t="inlineStr"/>
      <c r="N219" t="inlineStr"/>
      <c r="O219" t="inlineStr"/>
      <c r="P219" t="inlineStr">
        <is>
          <t>pending</t>
        </is>
      </c>
      <c r="Q219" t="inlineStr"/>
      <c r="R219" t="inlineStr"/>
      <c r="S219" t="inlineStr"/>
      <c r="T219" t="inlineStr"/>
      <c r="U219" t="inlineStr"/>
      <c r="V219">
        <f>IF(OR(L219="",S219=""),"",IF(VALUE(L219)=VALUE(S219),"Y","N"))</f>
        <v/>
      </c>
      <c r="W219">
        <f>IF(V219="Y",S219,"")</f>
        <v/>
      </c>
      <c r="X219" t="inlineStr">
        <is>
          <t>unverified: map has 25 mph (guessed from road type); is it 25 (carts OK) or 30+?</t>
        </is>
      </c>
      <c r="Y219" t="inlineStr"/>
      <c r="Z219" t="n">
        <v>2583</v>
      </c>
      <c r="AA219" t="inlineStr">
        <is>
          <t>sd</t>
        </is>
      </c>
      <c r="AB219" t="inlineStr">
        <is>
          <t>sd|33.01881,-117.19576</t>
        </is>
      </c>
    </row>
    <row r="220">
      <c r="A220" t="inlineStr">
        <is>
          <t>SD-B2-219</t>
        </is>
      </c>
      <c r="B220" t="inlineStr">
        <is>
          <t>San Diego area</t>
        </is>
      </c>
      <c r="C220" t="inlineStr">
        <is>
          <t>San Elijo Avenue</t>
        </is>
      </c>
      <c r="D220" t="inlineStr">
        <is>
          <t>El Montevideo</t>
        </is>
      </c>
      <c r="E220" t="inlineStr">
        <is>
          <t>La Granada</t>
        </is>
      </c>
      <c r="F220" t="inlineStr">
        <is>
          <t>6002022</t>
        </is>
      </c>
      <c r="G220" t="n">
        <v>25</v>
      </c>
      <c r="H220" t="inlineStr">
        <is>
          <t>inferred</t>
        </is>
      </c>
      <c r="I220" t="inlineStr">
        <is>
          <t>cart+LSV</t>
        </is>
      </c>
      <c r="J220" t="inlineStr">
        <is>
          <t>https://www.google.com/maps/@?api=1&amp;map_action=pano&amp;viewpoint=33.033700,-117.203210&amp;heading=217</t>
        </is>
      </c>
      <c r="K220" t="inlineStr">
        <is>
          <t>https://www.google.com/maps/search/?api=1&amp;query=33.033700,-117.203210</t>
        </is>
      </c>
      <c r="L220" t="inlineStr"/>
      <c r="M220" t="inlineStr"/>
      <c r="N220" t="inlineStr"/>
      <c r="O220" t="inlineStr"/>
      <c r="P220" t="inlineStr">
        <is>
          <t>pending</t>
        </is>
      </c>
      <c r="Q220" t="inlineStr"/>
      <c r="R220" t="inlineStr"/>
      <c r="S220" t="inlineStr"/>
      <c r="T220" t="inlineStr"/>
      <c r="U220" t="inlineStr"/>
      <c r="V220">
        <f>IF(OR(L220="",S220=""),"",IF(VALUE(L220)=VALUE(S220),"Y","N"))</f>
        <v/>
      </c>
      <c r="W220">
        <f>IF(V220="Y",S220,"")</f>
        <v/>
      </c>
      <c r="X220" t="inlineStr">
        <is>
          <t>unverified: map has 25 mph (guessed from road type); is it 25 (carts OK) or 30+?</t>
        </is>
      </c>
      <c r="Y220" t="inlineStr"/>
      <c r="Z220" t="n">
        <v>3408</v>
      </c>
      <c r="AA220" t="inlineStr">
        <is>
          <t>sd</t>
        </is>
      </c>
      <c r="AB220" t="inlineStr">
        <is>
          <t>sd|33.03370,-117.20321</t>
        </is>
      </c>
    </row>
    <row r="221">
      <c r="A221" t="inlineStr">
        <is>
          <t>SD-B2-220</t>
        </is>
      </c>
      <c r="B221" t="inlineStr">
        <is>
          <t>San Diego area</t>
        </is>
      </c>
      <c r="C221" t="inlineStr">
        <is>
          <t>El Vuelo</t>
        </is>
      </c>
      <c r="D221" t="inlineStr">
        <is>
          <t>El Mirador</t>
        </is>
      </c>
      <c r="E221" t="inlineStr">
        <is>
          <t>La Valle Plateada</t>
        </is>
      </c>
      <c r="F221" t="inlineStr">
        <is>
          <t>6054336</t>
        </is>
      </c>
      <c r="G221" t="n">
        <v>25</v>
      </c>
      <c r="H221" t="inlineStr">
        <is>
          <t>inferred</t>
        </is>
      </c>
      <c r="I221" t="inlineStr">
        <is>
          <t>cart+LSV</t>
        </is>
      </c>
      <c r="J221" t="inlineStr">
        <is>
          <t>https://www.google.com/maps/@?api=1&amp;map_action=pano&amp;viewpoint=33.021630,-117.181090&amp;heading=344</t>
        </is>
      </c>
      <c r="K221" t="inlineStr">
        <is>
          <t>https://www.google.com/maps/search/?api=1&amp;query=33.021630,-117.181090</t>
        </is>
      </c>
      <c r="L221" t="inlineStr"/>
      <c r="M221" t="inlineStr"/>
      <c r="N221" t="inlineStr"/>
      <c r="O221" t="inlineStr"/>
      <c r="P221" t="inlineStr">
        <is>
          <t>pending</t>
        </is>
      </c>
      <c r="Q221" t="inlineStr"/>
      <c r="R221" t="inlineStr"/>
      <c r="S221" t="inlineStr"/>
      <c r="T221" t="inlineStr"/>
      <c r="U221" t="inlineStr"/>
      <c r="V221">
        <f>IF(OR(L221="",S221=""),"",IF(VALUE(L221)=VALUE(S221),"Y","N"))</f>
        <v/>
      </c>
      <c r="W221">
        <f>IF(V221="Y",S221,"")</f>
        <v/>
      </c>
      <c r="X221" t="inlineStr">
        <is>
          <t>unverified: map has 25 mph (guessed from road type); is it 25 (carts OK) or 30+?</t>
        </is>
      </c>
      <c r="Y221" t="inlineStr"/>
      <c r="Z221" t="n">
        <v>1697</v>
      </c>
      <c r="AA221" t="inlineStr">
        <is>
          <t>sd</t>
        </is>
      </c>
      <c r="AB221" t="inlineStr">
        <is>
          <t>sd|33.02163,-117.18109</t>
        </is>
      </c>
    </row>
    <row r="222">
      <c r="A222" t="inlineStr">
        <is>
          <t>SD-B2-221</t>
        </is>
      </c>
      <c r="B222" t="inlineStr">
        <is>
          <t>San Diego area</t>
        </is>
      </c>
      <c r="C222" t="inlineStr">
        <is>
          <t>Lomaland Drive</t>
        </is>
      </c>
      <c r="D222" t="inlineStr">
        <is>
          <t>Catalina Boulevard</t>
        </is>
      </c>
      <c r="E222" t="inlineStr">
        <is>
          <t>Moana Drive</t>
        </is>
      </c>
      <c r="F222" t="inlineStr">
        <is>
          <t>908571394</t>
        </is>
      </c>
      <c r="G222" t="n">
        <v>25</v>
      </c>
      <c r="H222" t="inlineStr">
        <is>
          <t>inferred</t>
        </is>
      </c>
      <c r="I222" t="inlineStr">
        <is>
          <t>cart+LSV</t>
        </is>
      </c>
      <c r="J222" t="inlineStr">
        <is>
          <t>https://www.google.com/maps/@?api=1&amp;map_action=pano&amp;viewpoint=32.715090,-117.254060&amp;heading=196</t>
        </is>
      </c>
      <c r="K222" t="inlineStr">
        <is>
          <t>https://www.google.com/maps/search/?api=1&amp;query=32.715090,-117.254060</t>
        </is>
      </c>
      <c r="L222" t="inlineStr"/>
      <c r="M222" t="inlineStr"/>
      <c r="N222" t="inlineStr"/>
      <c r="O222" t="inlineStr"/>
      <c r="P222" t="inlineStr">
        <is>
          <t>pending</t>
        </is>
      </c>
      <c r="Q222" t="inlineStr"/>
      <c r="R222" t="inlineStr"/>
      <c r="S222" t="inlineStr"/>
      <c r="T222" t="inlineStr"/>
      <c r="U222" t="inlineStr"/>
      <c r="V222">
        <f>IF(OR(L222="",S222=""),"",IF(VALUE(L222)=VALUE(S222),"Y","N"))</f>
        <v/>
      </c>
      <c r="W222">
        <f>IF(V222="Y",S222,"")</f>
        <v/>
      </c>
      <c r="X222" t="inlineStr">
        <is>
          <t>unverified: map has 25 mph (guessed from road type); is it 25 (carts OK) or 30+?</t>
        </is>
      </c>
      <c r="Y222" t="inlineStr"/>
      <c r="Z222" t="n">
        <v>1804</v>
      </c>
      <c r="AA222" t="inlineStr">
        <is>
          <t>sd</t>
        </is>
      </c>
      <c r="AB222" t="inlineStr">
        <is>
          <t>sd|32.71509,-117.25406</t>
        </is>
      </c>
    </row>
    <row r="223">
      <c r="A223" t="inlineStr">
        <is>
          <t>SD-B2-222</t>
        </is>
      </c>
      <c r="B223" t="inlineStr">
        <is>
          <t>San Diego area</t>
        </is>
      </c>
      <c r="C223" t="inlineStr">
        <is>
          <t>Regents Road</t>
        </is>
      </c>
      <c r="D223" t="inlineStr">
        <is>
          <t>Berino Court</t>
        </is>
      </c>
      <c r="E223" t="inlineStr">
        <is>
          <t>Nobel Drive</t>
        </is>
      </c>
      <c r="F223" t="inlineStr">
        <is>
          <t>39423716</t>
        </is>
      </c>
      <c r="G223" t="n">
        <v>25</v>
      </c>
      <c r="H223" t="inlineStr">
        <is>
          <t>inferred</t>
        </is>
      </c>
      <c r="I223" t="inlineStr">
        <is>
          <t>cart+LSV</t>
        </is>
      </c>
      <c r="J223" t="inlineStr">
        <is>
          <t>https://www.google.com/maps/@?api=1&amp;map_action=pano&amp;viewpoint=32.865560,-117.220980&amp;heading=221</t>
        </is>
      </c>
      <c r="K223" t="inlineStr">
        <is>
          <t>https://www.google.com/maps/search/?api=1&amp;query=32.865560,-117.220980</t>
        </is>
      </c>
      <c r="L223" t="inlineStr"/>
      <c r="M223" t="inlineStr"/>
      <c r="N223" t="inlineStr"/>
      <c r="O223" t="inlineStr"/>
      <c r="P223" t="inlineStr">
        <is>
          <t>pending</t>
        </is>
      </c>
      <c r="Q223" t="inlineStr"/>
      <c r="R223" t="inlineStr"/>
      <c r="S223" t="inlineStr"/>
      <c r="T223" t="inlineStr"/>
      <c r="U223" t="inlineStr"/>
      <c r="V223">
        <f>IF(OR(L223="",S223=""),"",IF(VALUE(L223)=VALUE(S223),"Y","N"))</f>
        <v/>
      </c>
      <c r="W223">
        <f>IF(V223="Y",S223,"")</f>
        <v/>
      </c>
      <c r="X223" t="inlineStr">
        <is>
          <t>unverified: map has 25 mph (guessed from road type); is it 25 (carts OK) or 30+?</t>
        </is>
      </c>
      <c r="Y223" t="inlineStr"/>
      <c r="Z223" t="n">
        <v>2377</v>
      </c>
      <c r="AA223" t="inlineStr">
        <is>
          <t>sd</t>
        </is>
      </c>
      <c r="AB223" t="inlineStr">
        <is>
          <t>sd|32.86556,-117.22098</t>
        </is>
      </c>
    </row>
    <row r="224">
      <c r="A224" t="inlineStr">
        <is>
          <t>SD-B2-223</t>
        </is>
      </c>
      <c r="B224" t="inlineStr">
        <is>
          <t>San Diego area</t>
        </is>
      </c>
      <c r="C224" t="inlineStr">
        <is>
          <t>Santa Fe Street</t>
        </is>
      </c>
      <c r="D224" t="inlineStr">
        <is>
          <t>Damon Avenue</t>
        </is>
      </c>
      <c r="E224" t="inlineStr">
        <is>
          <t>Balboa Avenue</t>
        </is>
      </c>
      <c r="F224" t="inlineStr">
        <is>
          <t>124826136</t>
        </is>
      </c>
      <c r="G224" t="n">
        <v>25</v>
      </c>
      <c r="H224" t="inlineStr">
        <is>
          <t>inferred</t>
        </is>
      </c>
      <c r="I224" t="inlineStr">
        <is>
          <t>cart+LSV</t>
        </is>
      </c>
      <c r="J224" t="inlineStr">
        <is>
          <t>https://www.google.com/maps/@?api=1&amp;map_action=pano&amp;viewpoint=32.824010,-117.230540&amp;heading=319</t>
        </is>
      </c>
      <c r="K224" t="inlineStr">
        <is>
          <t>https://www.google.com/maps/search/?api=1&amp;query=32.824010,-117.230540</t>
        </is>
      </c>
      <c r="L224" t="inlineStr"/>
      <c r="M224" t="inlineStr"/>
      <c r="N224" t="inlineStr"/>
      <c r="O224" t="inlineStr"/>
      <c r="P224" t="inlineStr">
        <is>
          <t>pending</t>
        </is>
      </c>
      <c r="Q224" t="inlineStr"/>
      <c r="R224" t="inlineStr"/>
      <c r="S224" t="inlineStr"/>
      <c r="T224" t="inlineStr"/>
      <c r="U224" t="inlineStr"/>
      <c r="V224">
        <f>IF(OR(L224="",S224=""),"",IF(VALUE(L224)=VALUE(S224),"Y","N"))</f>
        <v/>
      </c>
      <c r="W224">
        <f>IF(V224="Y",S224,"")</f>
        <v/>
      </c>
      <c r="X224" t="inlineStr">
        <is>
          <t>unverified: map has 25 mph (guessed from road type); is it 25 (carts OK) or 30+?</t>
        </is>
      </c>
      <c r="Y224" t="inlineStr"/>
      <c r="Z224" t="n">
        <v>3571</v>
      </c>
      <c r="AA224" t="inlineStr">
        <is>
          <t>sd</t>
        </is>
      </c>
      <c r="AB224" t="inlineStr">
        <is>
          <t>sd|32.82401,-117.23054</t>
        </is>
      </c>
    </row>
    <row r="225">
      <c r="A225" t="inlineStr">
        <is>
          <t>SD-B2-224</t>
        </is>
      </c>
      <c r="B225" t="inlineStr">
        <is>
          <t>San Diego area</t>
        </is>
      </c>
      <c r="C225" t="inlineStr">
        <is>
          <t>Science Center Drive</t>
        </is>
      </c>
      <c r="D225" t="inlineStr">
        <is>
          <t>(see map link)</t>
        </is>
      </c>
      <c r="E225" t="inlineStr">
        <is>
          <t>(see map link)</t>
        </is>
      </c>
      <c r="F225" t="inlineStr">
        <is>
          <t>1080416621</t>
        </is>
      </c>
      <c r="G225" t="n">
        <v>25</v>
      </c>
      <c r="H225" t="inlineStr">
        <is>
          <t>inferred</t>
        </is>
      </c>
      <c r="I225" t="inlineStr">
        <is>
          <t>cart+LSV</t>
        </is>
      </c>
      <c r="J225" t="inlineStr">
        <is>
          <t>https://www.google.com/maps/@?api=1&amp;map_action=pano&amp;viewpoint=32.892690,-117.230935&amp;heading=200</t>
        </is>
      </c>
      <c r="K225" t="inlineStr">
        <is>
          <t>https://www.google.com/maps/search/?api=1&amp;query=32.892690,-117.230935</t>
        </is>
      </c>
      <c r="L225" t="inlineStr"/>
      <c r="M225" t="inlineStr"/>
      <c r="N225" t="inlineStr"/>
      <c r="O225" t="inlineStr"/>
      <c r="P225" t="inlineStr">
        <is>
          <t>pending</t>
        </is>
      </c>
      <c r="Q225" t="inlineStr"/>
      <c r="R225" t="inlineStr"/>
      <c r="S225" t="inlineStr"/>
      <c r="T225" t="inlineStr"/>
      <c r="U225" t="inlineStr"/>
      <c r="V225">
        <f>IF(OR(L225="",S225=""),"",IF(VALUE(L225)=VALUE(S225),"Y","N"))</f>
        <v/>
      </c>
      <c r="W225">
        <f>IF(V225="Y",S225,"")</f>
        <v/>
      </c>
      <c r="X225" t="inlineStr">
        <is>
          <t>unverified: map has 25 mph (guessed from road type); is it 25 (carts OK) or 30+?</t>
        </is>
      </c>
      <c r="Y225" t="inlineStr"/>
      <c r="Z225" t="n">
        <v>1987</v>
      </c>
      <c r="AA225" t="inlineStr">
        <is>
          <t>sd</t>
        </is>
      </c>
      <c r="AB225" t="inlineStr">
        <is>
          <t>sd|32.89269,-117.23094</t>
        </is>
      </c>
    </row>
    <row r="226">
      <c r="A226" t="inlineStr">
        <is>
          <t>SD-B2-225</t>
        </is>
      </c>
      <c r="B226" t="inlineStr">
        <is>
          <t>San Diego area</t>
        </is>
      </c>
      <c r="C226" t="inlineStr">
        <is>
          <t>South Nardo Avenue</t>
        </is>
      </c>
      <c r="D226" t="inlineStr">
        <is>
          <t>El Viento Street</t>
        </is>
      </c>
      <c r="E226" t="inlineStr">
        <is>
          <t>Stevens Avenue</t>
        </is>
      </c>
      <c r="F226" t="inlineStr">
        <is>
          <t>6048182</t>
        </is>
      </c>
      <c r="G226" t="n">
        <v>25</v>
      </c>
      <c r="H226" t="inlineStr">
        <is>
          <t>inferred</t>
        </is>
      </c>
      <c r="I226" t="inlineStr">
        <is>
          <t>cart+LSV</t>
        </is>
      </c>
      <c r="J226" t="inlineStr">
        <is>
          <t>https://www.google.com/maps/@?api=1&amp;map_action=pano&amp;viewpoint=32.993350,-117.266480&amp;heading=169</t>
        </is>
      </c>
      <c r="K226" t="inlineStr">
        <is>
          <t>https://www.google.com/maps/search/?api=1&amp;query=32.993350,-117.266480</t>
        </is>
      </c>
      <c r="L226" t="inlineStr"/>
      <c r="M226" t="inlineStr"/>
      <c r="N226" t="inlineStr"/>
      <c r="O226" t="inlineStr"/>
      <c r="P226" t="inlineStr">
        <is>
          <t>pending</t>
        </is>
      </c>
      <c r="Q226" t="inlineStr"/>
      <c r="R226" t="inlineStr"/>
      <c r="S226" t="inlineStr"/>
      <c r="T226" t="inlineStr"/>
      <c r="U226" t="inlineStr"/>
      <c r="V226">
        <f>IF(OR(L226="",S226=""),"",IF(VALUE(L226)=VALUE(S226),"Y","N"))</f>
        <v/>
      </c>
      <c r="W226">
        <f>IF(V226="Y",S226,"")</f>
        <v/>
      </c>
      <c r="X226" t="inlineStr">
        <is>
          <t>unverified: map has 25 mph (guessed from road type); is it 25 (carts OK) or 30+?</t>
        </is>
      </c>
      <c r="Y226" t="inlineStr"/>
      <c r="Z226" t="n">
        <v>1588</v>
      </c>
      <c r="AA226" t="inlineStr">
        <is>
          <t>sd</t>
        </is>
      </c>
      <c r="AB226" t="inlineStr">
        <is>
          <t>sd|32.99335,-117.26648</t>
        </is>
      </c>
    </row>
    <row r="227">
      <c r="A227" t="inlineStr">
        <is>
          <t>SD-B2-226</t>
        </is>
      </c>
      <c r="B227" t="inlineStr">
        <is>
          <t>San Diego area</t>
        </is>
      </c>
      <c r="C227" t="inlineStr">
        <is>
          <t>Carmel Center Road</t>
        </is>
      </c>
      <c r="D227" t="inlineStr">
        <is>
          <t>Futura Street</t>
        </is>
      </c>
      <c r="E227" t="inlineStr">
        <is>
          <t>Carmel Creek Road</t>
        </is>
      </c>
      <c r="F227" t="inlineStr">
        <is>
          <t>5956712</t>
        </is>
      </c>
      <c r="G227" t="n">
        <v>25</v>
      </c>
      <c r="H227" t="inlineStr">
        <is>
          <t>inferred</t>
        </is>
      </c>
      <c r="I227" t="inlineStr">
        <is>
          <t>cart+LSV</t>
        </is>
      </c>
      <c r="J227" t="inlineStr">
        <is>
          <t>https://www.google.com/maps/@?api=1&amp;map_action=pano&amp;viewpoint=32.952450,-117.218620&amp;heading=12</t>
        </is>
      </c>
      <c r="K227" t="inlineStr">
        <is>
          <t>https://www.google.com/maps/search/?api=1&amp;query=32.952450,-117.218620</t>
        </is>
      </c>
      <c r="L227" t="inlineStr"/>
      <c r="M227" t="inlineStr"/>
      <c r="N227" t="inlineStr"/>
      <c r="O227" t="inlineStr"/>
      <c r="P227" t="inlineStr">
        <is>
          <t>pending</t>
        </is>
      </c>
      <c r="Q227" t="inlineStr"/>
      <c r="R227" t="inlineStr"/>
      <c r="S227" t="inlineStr"/>
      <c r="T227" t="inlineStr"/>
      <c r="U227" t="inlineStr"/>
      <c r="V227">
        <f>IF(OR(L227="",S227=""),"",IF(VALUE(L227)=VALUE(S227),"Y","N"))</f>
        <v/>
      </c>
      <c r="W227">
        <f>IF(V227="Y",S227,"")</f>
        <v/>
      </c>
      <c r="X227" t="inlineStr">
        <is>
          <t>unverified: map has 25 mph (guessed from road type); is it 25 (carts OK) or 30+?</t>
        </is>
      </c>
      <c r="Y227" t="inlineStr"/>
      <c r="Z227" t="n">
        <v>1554</v>
      </c>
      <c r="AA227" t="inlineStr">
        <is>
          <t>sd</t>
        </is>
      </c>
      <c r="AB227" t="inlineStr">
        <is>
          <t>sd|32.95245,-117.21862</t>
        </is>
      </c>
    </row>
    <row r="228">
      <c r="A228" t="inlineStr">
        <is>
          <t>SD-B2-227</t>
        </is>
      </c>
      <c r="B228" t="inlineStr">
        <is>
          <t>San Diego area</t>
        </is>
      </c>
      <c r="C228" t="inlineStr">
        <is>
          <t>Carmel Knolls Drive</t>
        </is>
      </c>
      <c r="D228" t="inlineStr">
        <is>
          <t>Ashley Falls Drive</t>
        </is>
      </c>
      <c r="E228" t="inlineStr">
        <is>
          <t>Seagrove Street</t>
        </is>
      </c>
      <c r="F228" t="inlineStr">
        <is>
          <t>5984924</t>
        </is>
      </c>
      <c r="G228" t="n">
        <v>25</v>
      </c>
      <c r="H228" t="inlineStr">
        <is>
          <t>inferred</t>
        </is>
      </c>
      <c r="I228" t="inlineStr">
        <is>
          <t>cart+LSV</t>
        </is>
      </c>
      <c r="J228" t="inlineStr">
        <is>
          <t>https://www.google.com/maps/@?api=1&amp;map_action=pano&amp;viewpoint=32.954670,-117.206230&amp;heading=149</t>
        </is>
      </c>
      <c r="K228" t="inlineStr">
        <is>
          <t>https://www.google.com/maps/search/?api=1&amp;query=32.954670,-117.206230</t>
        </is>
      </c>
      <c r="L228" t="inlineStr"/>
      <c r="M228" t="inlineStr"/>
      <c r="N228" t="inlineStr"/>
      <c r="O228" t="inlineStr"/>
      <c r="P228" t="inlineStr">
        <is>
          <t>pending</t>
        </is>
      </c>
      <c r="Q228" t="inlineStr"/>
      <c r="R228" t="inlineStr"/>
      <c r="S228" t="inlineStr"/>
      <c r="T228" t="inlineStr"/>
      <c r="U228" t="inlineStr"/>
      <c r="V228">
        <f>IF(OR(L228="",S228=""),"",IF(VALUE(L228)=VALUE(S228),"Y","N"))</f>
        <v/>
      </c>
      <c r="W228">
        <f>IF(V228="Y",S228,"")</f>
        <v/>
      </c>
      <c r="X228" t="inlineStr">
        <is>
          <t>unverified: map has 25 mph (guessed from road type); is it 25 (carts OK) or 30+?</t>
        </is>
      </c>
      <c r="Y228" t="inlineStr"/>
      <c r="Z228" t="n">
        <v>2758</v>
      </c>
      <c r="AA228" t="inlineStr">
        <is>
          <t>sd</t>
        </is>
      </c>
      <c r="AB228" t="inlineStr">
        <is>
          <t>sd|32.95467,-117.20623</t>
        </is>
      </c>
    </row>
    <row r="229">
      <c r="A229" t="inlineStr">
        <is>
          <t>SD-B2-228</t>
        </is>
      </c>
      <c r="B229" t="inlineStr">
        <is>
          <t>San Diego area</t>
        </is>
      </c>
      <c r="C229" t="inlineStr">
        <is>
          <t>Del Mar Trails Road</t>
        </is>
      </c>
      <c r="D229" t="inlineStr">
        <is>
          <t>Mona Lisa Street</t>
        </is>
      </c>
      <c r="E229" t="inlineStr">
        <is>
          <t>Carmel Canyon Road</t>
        </is>
      </c>
      <c r="F229" t="inlineStr">
        <is>
          <t>6056364</t>
        </is>
      </c>
      <c r="G229" t="n">
        <v>25</v>
      </c>
      <c r="H229" t="inlineStr">
        <is>
          <t>inferred</t>
        </is>
      </c>
      <c r="I229" t="inlineStr">
        <is>
          <t>cart+LSV</t>
        </is>
      </c>
      <c r="J229" t="inlineStr">
        <is>
          <t>https://www.google.com/maps/@?api=1&amp;map_action=pano&amp;viewpoint=32.943560,-117.221130&amp;heading=299</t>
        </is>
      </c>
      <c r="K229" t="inlineStr">
        <is>
          <t>https://www.google.com/maps/search/?api=1&amp;query=32.943560,-117.221130</t>
        </is>
      </c>
      <c r="L229" t="inlineStr"/>
      <c r="M229" t="inlineStr"/>
      <c r="N229" t="inlineStr"/>
      <c r="O229" t="inlineStr"/>
      <c r="P229" t="inlineStr">
        <is>
          <t>pending</t>
        </is>
      </c>
      <c r="Q229" t="inlineStr"/>
      <c r="R229" t="inlineStr"/>
      <c r="S229" t="inlineStr"/>
      <c r="T229" t="inlineStr"/>
      <c r="U229" t="inlineStr"/>
      <c r="V229">
        <f>IF(OR(L229="",S229=""),"",IF(VALUE(L229)=VALUE(S229),"Y","N"))</f>
        <v/>
      </c>
      <c r="W229">
        <f>IF(V229="Y",S229,"")</f>
        <v/>
      </c>
      <c r="X229" t="inlineStr">
        <is>
          <t>unverified: map has 25 mph (guessed from road type); is it 25 (carts OK) or 30+?</t>
        </is>
      </c>
      <c r="Y229" t="inlineStr"/>
      <c r="Z229" t="n">
        <v>1676</v>
      </c>
      <c r="AA229" t="inlineStr">
        <is>
          <t>sd</t>
        </is>
      </c>
      <c r="AB229" t="inlineStr">
        <is>
          <t>sd|32.94356,-117.22113</t>
        </is>
      </c>
    </row>
    <row r="230">
      <c r="A230" t="inlineStr">
        <is>
          <t>SD-B2-229</t>
        </is>
      </c>
      <c r="B230" t="inlineStr">
        <is>
          <t>San Diego area</t>
        </is>
      </c>
      <c r="C230" t="inlineStr">
        <is>
          <t>Portofino Drive</t>
        </is>
      </c>
      <c r="D230" t="inlineStr">
        <is>
          <t>Carmel Valley Road</t>
        </is>
      </c>
      <c r="E230" t="inlineStr">
        <is>
          <t>Del Mar Heights Road</t>
        </is>
      </c>
      <c r="F230" t="inlineStr">
        <is>
          <t>663595642</t>
        </is>
      </c>
      <c r="G230" t="n">
        <v>25</v>
      </c>
      <c r="H230" t="inlineStr">
        <is>
          <t>inferred</t>
        </is>
      </c>
      <c r="I230" t="inlineStr">
        <is>
          <t>cart+LSV</t>
        </is>
      </c>
      <c r="J230" t="inlineStr">
        <is>
          <t>https://www.google.com/maps/@?api=1&amp;map_action=pano&amp;viewpoint=32.932050,-117.247220&amp;heading=10</t>
        </is>
      </c>
      <c r="K230" t="inlineStr">
        <is>
          <t>https://www.google.com/maps/search/?api=1&amp;query=32.932050,-117.247220</t>
        </is>
      </c>
      <c r="L230" t="inlineStr"/>
      <c r="M230" t="inlineStr"/>
      <c r="N230" t="inlineStr"/>
      <c r="O230" t="inlineStr"/>
      <c r="P230" t="inlineStr">
        <is>
          <t>pending</t>
        </is>
      </c>
      <c r="Q230" t="inlineStr"/>
      <c r="R230" t="inlineStr"/>
      <c r="S230" t="inlineStr"/>
      <c r="T230" t="inlineStr"/>
      <c r="U230" t="inlineStr"/>
      <c r="V230">
        <f>IF(OR(L230="",S230=""),"",IF(VALUE(L230)=VALUE(S230),"Y","N"))</f>
        <v/>
      </c>
      <c r="W230">
        <f>IF(V230="Y",S230,"")</f>
        <v/>
      </c>
      <c r="X230" t="inlineStr">
        <is>
          <t>unverified: map has 25 mph (guessed from road type); is it 25 (carts OK) or 30+?</t>
        </is>
      </c>
      <c r="Y230" t="inlineStr"/>
      <c r="Z230" t="n">
        <v>2216</v>
      </c>
      <c r="AA230" t="inlineStr">
        <is>
          <t>sd</t>
        </is>
      </c>
      <c r="AB230" t="inlineStr">
        <is>
          <t>sd|32.93205,-117.24722</t>
        </is>
      </c>
    </row>
    <row r="231">
      <c r="A231" t="inlineStr">
        <is>
          <t>SD-B2-230</t>
        </is>
      </c>
      <c r="B231" t="inlineStr">
        <is>
          <t>San Diego area</t>
        </is>
      </c>
      <c r="C231" t="inlineStr">
        <is>
          <t>Santa Helena</t>
        </is>
      </c>
      <c r="D231" t="inlineStr">
        <is>
          <t>Santa Rosita</t>
        </is>
      </c>
      <c r="E231" t="inlineStr">
        <is>
          <t>Santa Regina</t>
        </is>
      </c>
      <c r="F231" t="inlineStr">
        <is>
          <t>289666893</t>
        </is>
      </c>
      <c r="G231" t="n">
        <v>25</v>
      </c>
      <c r="H231" t="inlineStr">
        <is>
          <t>inferred</t>
        </is>
      </c>
      <c r="I231" t="inlineStr">
        <is>
          <t>cart+LSV</t>
        </is>
      </c>
      <c r="J231" t="inlineStr">
        <is>
          <t>https://www.google.com/maps/@?api=1&amp;map_action=pano&amp;viewpoint=33.000910,-117.249350&amp;heading=91</t>
        </is>
      </c>
      <c r="K231" t="inlineStr">
        <is>
          <t>https://www.google.com/maps/search/?api=1&amp;query=33.000910,-117.249350</t>
        </is>
      </c>
      <c r="L231" t="inlineStr"/>
      <c r="M231" t="inlineStr"/>
      <c r="N231" t="inlineStr"/>
      <c r="O231" t="inlineStr"/>
      <c r="P231" t="inlineStr">
        <is>
          <t>pending</t>
        </is>
      </c>
      <c r="Q231" t="inlineStr"/>
      <c r="R231" t="inlineStr"/>
      <c r="S231" t="inlineStr"/>
      <c r="T231" t="inlineStr"/>
      <c r="U231" t="inlineStr"/>
      <c r="V231">
        <f>IF(OR(L231="",S231=""),"",IF(VALUE(L231)=VALUE(S231),"Y","N"))</f>
        <v/>
      </c>
      <c r="W231">
        <f>IF(V231="Y",S231,"")</f>
        <v/>
      </c>
      <c r="X231" t="inlineStr">
        <is>
          <t>unverified: map has 25 mph (guessed from road type); is it 25 (carts OK) or 30+?</t>
        </is>
      </c>
      <c r="Y231" t="inlineStr"/>
      <c r="Z231" t="n">
        <v>2802</v>
      </c>
      <c r="AA231" t="inlineStr">
        <is>
          <t>sd</t>
        </is>
      </c>
      <c r="AB231" t="inlineStr">
        <is>
          <t>sd|33.00091,-117.24935</t>
        </is>
      </c>
    </row>
    <row r="232">
      <c r="A232" t="inlineStr">
        <is>
          <t>SD-B2-231</t>
        </is>
      </c>
      <c r="B232" t="inlineStr">
        <is>
          <t>San Diego area</t>
        </is>
      </c>
      <c r="C232" t="inlineStr">
        <is>
          <t>Crest Drive</t>
        </is>
      </c>
      <c r="D232" t="inlineStr">
        <is>
          <t>Santa Fe Drive</t>
        </is>
      </c>
      <c r="E232" t="inlineStr">
        <is>
          <t>Este Vista Court</t>
        </is>
      </c>
      <c r="F232" t="inlineStr">
        <is>
          <t>436261491</t>
        </is>
      </c>
      <c r="G232" t="n">
        <v>25</v>
      </c>
      <c r="H232" t="inlineStr">
        <is>
          <t>inferred</t>
        </is>
      </c>
      <c r="I232" t="inlineStr">
        <is>
          <t>cart+LSV</t>
        </is>
      </c>
      <c r="J232" t="inlineStr">
        <is>
          <t>https://www.google.com/maps/@?api=1&amp;map_action=pano&amp;viewpoint=33.035870,-117.263350&amp;heading=159</t>
        </is>
      </c>
      <c r="K232" t="inlineStr">
        <is>
          <t>https://www.google.com/maps/search/?api=1&amp;query=33.035870,-117.263350</t>
        </is>
      </c>
      <c r="L232" t="inlineStr"/>
      <c r="M232" t="inlineStr"/>
      <c r="N232" t="inlineStr"/>
      <c r="O232" t="inlineStr"/>
      <c r="P232" t="inlineStr">
        <is>
          <t>pending</t>
        </is>
      </c>
      <c r="Q232" t="inlineStr"/>
      <c r="R232" t="inlineStr"/>
      <c r="S232" t="inlineStr"/>
      <c r="T232" t="inlineStr"/>
      <c r="U232" t="inlineStr"/>
      <c r="V232">
        <f>IF(OR(L232="",S232=""),"",IF(VALUE(L232)=VALUE(S232),"Y","N"))</f>
        <v/>
      </c>
      <c r="W232">
        <f>IF(V232="Y",S232,"")</f>
        <v/>
      </c>
      <c r="X232" t="inlineStr">
        <is>
          <t>unverified: map has 25 mph (guessed from road type); is it 25 (carts OK) or 30+?</t>
        </is>
      </c>
      <c r="Y232" t="inlineStr"/>
      <c r="Z232" t="n">
        <v>1774</v>
      </c>
      <c r="AA232" t="inlineStr">
        <is>
          <t>sd</t>
        </is>
      </c>
      <c r="AB232" t="inlineStr">
        <is>
          <t>sd|33.03587,-117.26335</t>
        </is>
      </c>
    </row>
    <row r="233">
      <c r="A233" t="inlineStr">
        <is>
          <t>SD-B2-232</t>
        </is>
      </c>
      <c r="B233" t="inlineStr">
        <is>
          <t>San Diego area</t>
        </is>
      </c>
      <c r="C233" t="inlineStr">
        <is>
          <t>La Gracia</t>
        </is>
      </c>
      <c r="D233" t="inlineStr">
        <is>
          <t>Via de la Valle</t>
        </is>
      </c>
      <c r="E233" t="inlineStr">
        <is>
          <t>Avenida de Acacias</t>
        </is>
      </c>
      <c r="F233" t="inlineStr">
        <is>
          <t>5969231</t>
        </is>
      </c>
      <c r="G233" t="n">
        <v>25</v>
      </c>
      <c r="H233" t="inlineStr">
        <is>
          <t>inferred</t>
        </is>
      </c>
      <c r="I233" t="inlineStr">
        <is>
          <t>cart+LSV</t>
        </is>
      </c>
      <c r="J233" t="inlineStr">
        <is>
          <t>https://www.google.com/maps/@?api=1&amp;map_action=pano&amp;viewpoint=33.014480,-117.202060&amp;heading=39</t>
        </is>
      </c>
      <c r="K233" t="inlineStr">
        <is>
          <t>https://www.google.com/maps/search/?api=1&amp;query=33.014480,-117.202060</t>
        </is>
      </c>
      <c r="L233" t="inlineStr"/>
      <c r="M233" t="inlineStr"/>
      <c r="N233" t="inlineStr"/>
      <c r="O233" t="inlineStr"/>
      <c r="P233" t="inlineStr">
        <is>
          <t>pending</t>
        </is>
      </c>
      <c r="Q233" t="inlineStr"/>
      <c r="R233" t="inlineStr"/>
      <c r="S233" t="inlineStr"/>
      <c r="T233" t="inlineStr"/>
      <c r="U233" t="inlineStr"/>
      <c r="V233">
        <f>IF(OR(L233="",S233=""),"",IF(VALUE(L233)=VALUE(S233),"Y","N"))</f>
        <v/>
      </c>
      <c r="W233">
        <f>IF(V233="Y",S233,"")</f>
        <v/>
      </c>
      <c r="X233" t="inlineStr">
        <is>
          <t>unverified: map has 25 mph (guessed from road type); is it 25 (carts OK) or 30+?</t>
        </is>
      </c>
      <c r="Y233" t="inlineStr"/>
      <c r="Z233" t="n">
        <v>1613</v>
      </c>
      <c r="AA233" t="inlineStr">
        <is>
          <t>sd</t>
        </is>
      </c>
      <c r="AB233" t="inlineStr">
        <is>
          <t>sd|33.01448,-117.20206</t>
        </is>
      </c>
    </row>
    <row r="234">
      <c r="A234" t="inlineStr">
        <is>
          <t>SD-B2-233</t>
        </is>
      </c>
      <c r="B234" t="inlineStr">
        <is>
          <t>San Diego area</t>
        </is>
      </c>
      <c r="C234" t="inlineStr">
        <is>
          <t>Willowspring South Drive</t>
        </is>
      </c>
      <c r="D234" t="inlineStr">
        <is>
          <t>Encinitas Boulevard</t>
        </is>
      </c>
      <c r="E234" t="inlineStr">
        <is>
          <t>South El Camino Real</t>
        </is>
      </c>
      <c r="F234" t="inlineStr">
        <is>
          <t>861292367</t>
        </is>
      </c>
      <c r="G234" t="n">
        <v>25</v>
      </c>
      <c r="H234" t="inlineStr">
        <is>
          <t>inferred</t>
        </is>
      </c>
      <c r="I234" t="inlineStr">
        <is>
          <t>cart+LSV</t>
        </is>
      </c>
      <c r="J234" t="inlineStr">
        <is>
          <t>https://www.google.com/maps/@?api=1&amp;map_action=pano&amp;viewpoint=33.040215,-117.257950&amp;heading=270</t>
        </is>
      </c>
      <c r="K234" t="inlineStr">
        <is>
          <t>https://www.google.com/maps/search/?api=1&amp;query=33.040215,-117.257950</t>
        </is>
      </c>
      <c r="L234" t="inlineStr"/>
      <c r="M234" t="inlineStr"/>
      <c r="N234" t="inlineStr"/>
      <c r="O234" t="inlineStr"/>
      <c r="P234" t="inlineStr">
        <is>
          <t>pending</t>
        </is>
      </c>
      <c r="Q234" t="inlineStr"/>
      <c r="R234" t="inlineStr"/>
      <c r="S234" t="inlineStr"/>
      <c r="T234" t="inlineStr"/>
      <c r="U234" t="inlineStr"/>
      <c r="V234">
        <f>IF(OR(L234="",S234=""),"",IF(VALUE(L234)=VALUE(S234),"Y","N"))</f>
        <v/>
      </c>
      <c r="W234">
        <f>IF(V234="Y",S234,"")</f>
        <v/>
      </c>
      <c r="X234" t="inlineStr">
        <is>
          <t>unverified: map has 25 mph (guessed from road type); is it 25 (carts OK) or 30+?</t>
        </is>
      </c>
      <c r="Y234" t="inlineStr"/>
      <c r="Z234" t="n">
        <v>1627</v>
      </c>
      <c r="AA234" t="inlineStr">
        <is>
          <t>sd</t>
        </is>
      </c>
      <c r="AB234" t="inlineStr">
        <is>
          <t>sd|33.04022,-117.25795</t>
        </is>
      </c>
    </row>
    <row r="235">
      <c r="A235" t="inlineStr">
        <is>
          <t>SD-B2-234</t>
        </is>
      </c>
      <c r="B235" t="inlineStr">
        <is>
          <t>San Diego area</t>
        </is>
      </c>
      <c r="C235" t="inlineStr">
        <is>
          <t>Avenida Maravillas</t>
        </is>
      </c>
      <c r="D235" t="inlineStr">
        <is>
          <t>La Granada</t>
        </is>
      </c>
      <c r="E235" t="inlineStr">
        <is>
          <t>El Secreto</t>
        </is>
      </c>
      <c r="F235" t="inlineStr">
        <is>
          <t>345629388</t>
        </is>
      </c>
      <c r="G235" t="n">
        <v>25</v>
      </c>
      <c r="H235" t="inlineStr">
        <is>
          <t>inferred</t>
        </is>
      </c>
      <c r="I235" t="inlineStr">
        <is>
          <t>cart+LSV</t>
        </is>
      </c>
      <c r="J235" t="inlineStr">
        <is>
          <t>https://www.google.com/maps/@?api=1&amp;map_action=pano&amp;viewpoint=33.020230,-117.226520&amp;heading=161</t>
        </is>
      </c>
      <c r="K235" t="inlineStr">
        <is>
          <t>https://www.google.com/maps/search/?api=1&amp;query=33.020230,-117.226520</t>
        </is>
      </c>
      <c r="L235" t="inlineStr"/>
      <c r="M235" t="inlineStr"/>
      <c r="N235" t="inlineStr"/>
      <c r="O235" t="inlineStr"/>
      <c r="P235" t="inlineStr">
        <is>
          <t>pending</t>
        </is>
      </c>
      <c r="Q235" t="inlineStr"/>
      <c r="R235" t="inlineStr"/>
      <c r="S235" t="inlineStr"/>
      <c r="T235" t="inlineStr"/>
      <c r="U235" t="inlineStr"/>
      <c r="V235">
        <f>IF(OR(L235="",S235=""),"",IF(VALUE(L235)=VALUE(S235),"Y","N"))</f>
        <v/>
      </c>
      <c r="W235">
        <f>IF(V235="Y",S235,"")</f>
        <v/>
      </c>
      <c r="X235" t="inlineStr">
        <is>
          <t>unverified: map has 25 mph (guessed from road type); is it 25 (carts OK) or 30+?</t>
        </is>
      </c>
      <c r="Y235" t="inlineStr"/>
      <c r="Z235" t="n">
        <v>2359</v>
      </c>
      <c r="AA235" t="inlineStr">
        <is>
          <t>sd</t>
        </is>
      </c>
      <c r="AB235" t="inlineStr">
        <is>
          <t>sd|33.02023,-117.22652</t>
        </is>
      </c>
    </row>
    <row r="236">
      <c r="A236" t="inlineStr">
        <is>
          <t>SD-B2-235</t>
        </is>
      </c>
      <c r="B236" t="inlineStr">
        <is>
          <t>San Diego area</t>
        </is>
      </c>
      <c r="C236" t="inlineStr">
        <is>
          <t>Via del Alba</t>
        </is>
      </c>
      <c r="D236" t="inlineStr">
        <is>
          <t>Puerta del Sol</t>
        </is>
      </c>
      <c r="E236" t="inlineStr">
        <is>
          <t>La Gracia</t>
        </is>
      </c>
      <c r="F236" t="inlineStr">
        <is>
          <t>6027021</t>
        </is>
      </c>
      <c r="G236" t="n">
        <v>25</v>
      </c>
      <c r="H236" t="inlineStr">
        <is>
          <t>inferred</t>
        </is>
      </c>
      <c r="I236" t="inlineStr">
        <is>
          <t>cart+LSV</t>
        </is>
      </c>
      <c r="J236" t="inlineStr">
        <is>
          <t>https://www.google.com/maps/@?api=1&amp;map_action=pano&amp;viewpoint=33.006570,-117.211410&amp;heading=7</t>
        </is>
      </c>
      <c r="K236" t="inlineStr">
        <is>
          <t>https://www.google.com/maps/search/?api=1&amp;query=33.006570,-117.211410</t>
        </is>
      </c>
      <c r="L236" t="inlineStr"/>
      <c r="M236" t="inlineStr"/>
      <c r="N236" t="inlineStr"/>
      <c r="O236" t="inlineStr"/>
      <c r="P236" t="inlineStr">
        <is>
          <t>pending</t>
        </is>
      </c>
      <c r="Q236" t="inlineStr"/>
      <c r="R236" t="inlineStr"/>
      <c r="S236" t="inlineStr"/>
      <c r="T236" t="inlineStr"/>
      <c r="U236" t="inlineStr"/>
      <c r="V236">
        <f>IF(OR(L236="",S236=""),"",IF(VALUE(L236)=VALUE(S236),"Y","N"))</f>
        <v/>
      </c>
      <c r="W236">
        <f>IF(V236="Y",S236,"")</f>
        <v/>
      </c>
      <c r="X236" t="inlineStr">
        <is>
          <t>unverified: map has 25 mph (guessed from road type); is it 25 (carts OK) or 30+?</t>
        </is>
      </c>
      <c r="Y236" t="inlineStr"/>
      <c r="Z236" t="n">
        <v>1910</v>
      </c>
      <c r="AA236" t="inlineStr">
        <is>
          <t>sd</t>
        </is>
      </c>
      <c r="AB236" t="inlineStr">
        <is>
          <t>sd|33.00657,-117.21141</t>
        </is>
      </c>
    </row>
    <row r="237">
      <c r="A237" t="inlineStr">
        <is>
          <t>SD-B2-236</t>
        </is>
      </c>
      <c r="B237" t="inlineStr">
        <is>
          <t>San Diego area</t>
        </is>
      </c>
      <c r="C237" t="inlineStr">
        <is>
          <t>Eolus Avenue</t>
        </is>
      </c>
      <c r="D237" t="inlineStr">
        <is>
          <t>Hymettus Avenue</t>
        </is>
      </c>
      <c r="E237" t="inlineStr">
        <is>
          <t>Leucadia Boulevard</t>
        </is>
      </c>
      <c r="F237" t="inlineStr">
        <is>
          <t>737901930</t>
        </is>
      </c>
      <c r="G237" t="n">
        <v>25</v>
      </c>
      <c r="H237" t="inlineStr">
        <is>
          <t>inferred</t>
        </is>
      </c>
      <c r="I237" t="inlineStr">
        <is>
          <t>cart+LSV</t>
        </is>
      </c>
      <c r="J237" t="inlineStr">
        <is>
          <t>https://www.google.com/maps/@?api=1&amp;map_action=pano&amp;viewpoint=33.076140,-117.297680&amp;heading=346</t>
        </is>
      </c>
      <c r="K237" t="inlineStr">
        <is>
          <t>https://www.google.com/maps/search/?api=1&amp;query=33.076140,-117.297680</t>
        </is>
      </c>
      <c r="L237" t="inlineStr"/>
      <c r="M237" t="inlineStr"/>
      <c r="N237" t="inlineStr"/>
      <c r="O237" t="inlineStr"/>
      <c r="P237" t="inlineStr">
        <is>
          <t>pending</t>
        </is>
      </c>
      <c r="Q237" t="inlineStr"/>
      <c r="R237" t="inlineStr"/>
      <c r="S237" t="inlineStr"/>
      <c r="T237" t="inlineStr"/>
      <c r="U237" t="inlineStr"/>
      <c r="V237">
        <f>IF(OR(L237="",S237=""),"",IF(VALUE(L237)=VALUE(S237),"Y","N"))</f>
        <v/>
      </c>
      <c r="W237">
        <f>IF(V237="Y",S237,"")</f>
        <v/>
      </c>
      <c r="X237" t="inlineStr">
        <is>
          <t>unverified: map has 25 mph (guessed from road type); is it 25 (carts OK) or 30+?</t>
        </is>
      </c>
      <c r="Y237" t="inlineStr"/>
      <c r="Z237" t="n">
        <v>1856</v>
      </c>
      <c r="AA237" t="inlineStr">
        <is>
          <t>sd</t>
        </is>
      </c>
      <c r="AB237" t="inlineStr">
        <is>
          <t>sd|33.07614,-117.29768</t>
        </is>
      </c>
    </row>
    <row r="238">
      <c r="A238" t="inlineStr">
        <is>
          <t>SD-B2-237</t>
        </is>
      </c>
      <c r="B238" t="inlineStr">
        <is>
          <t>San Diego area</t>
        </is>
      </c>
      <c r="C238" t="inlineStr">
        <is>
          <t>Levante Street</t>
        </is>
      </c>
      <c r="D238" t="inlineStr">
        <is>
          <t>(see map link)</t>
        </is>
      </c>
      <c r="E238" t="inlineStr">
        <is>
          <t>La Costa Avenue</t>
        </is>
      </c>
      <c r="F238" t="inlineStr">
        <is>
          <t>35222076</t>
        </is>
      </c>
      <c r="G238" t="n">
        <v>25</v>
      </c>
      <c r="H238" t="inlineStr">
        <is>
          <t>inferred</t>
        </is>
      </c>
      <c r="I238" t="inlineStr">
        <is>
          <t>cart+LSV</t>
        </is>
      </c>
      <c r="J238" t="inlineStr">
        <is>
          <t>https://www.google.com/maps/@?api=1&amp;map_action=pano&amp;viewpoint=33.083045,-117.251130&amp;heading=130</t>
        </is>
      </c>
      <c r="K238" t="inlineStr">
        <is>
          <t>https://www.google.com/maps/search/?api=1&amp;query=33.083045,-117.251130</t>
        </is>
      </c>
      <c r="L238" t="inlineStr"/>
      <c r="M238" t="inlineStr"/>
      <c r="N238" t="inlineStr"/>
      <c r="O238" t="inlineStr"/>
      <c r="P238" t="inlineStr">
        <is>
          <t>pending</t>
        </is>
      </c>
      <c r="Q238" t="inlineStr"/>
      <c r="R238" t="inlineStr"/>
      <c r="S238" t="inlineStr"/>
      <c r="T238" t="inlineStr"/>
      <c r="U238" t="inlineStr"/>
      <c r="V238">
        <f>IF(OR(L238="",S238=""),"",IF(VALUE(L238)=VALUE(S238),"Y","N"))</f>
        <v/>
      </c>
      <c r="W238">
        <f>IF(V238="Y",S238,"")</f>
        <v/>
      </c>
      <c r="X238" t="inlineStr">
        <is>
          <t>unverified: map has 25 mph (guessed from road type); is it 25 (carts OK) or 30+?</t>
        </is>
      </c>
      <c r="Y238" t="inlineStr"/>
      <c r="Z238" t="n">
        <v>3545</v>
      </c>
      <c r="AA238" t="inlineStr">
        <is>
          <t>sd</t>
        </is>
      </c>
      <c r="AB238" t="inlineStr">
        <is>
          <t>sd|33.08304,-117.25113</t>
        </is>
      </c>
    </row>
    <row r="239">
      <c r="A239" t="inlineStr">
        <is>
          <t>SD-B2-238</t>
        </is>
      </c>
      <c r="B239" t="inlineStr">
        <is>
          <t>San Diego area</t>
        </is>
      </c>
      <c r="C239" t="inlineStr">
        <is>
          <t>Calle Acervo</t>
        </is>
      </c>
      <c r="D239" t="inlineStr">
        <is>
          <t>Calle San Blas</t>
        </is>
      </c>
      <c r="E239" t="inlineStr">
        <is>
          <t>Corte Verso</t>
        </is>
      </c>
      <c r="F239" t="inlineStr">
        <is>
          <t>1104886696</t>
        </is>
      </c>
      <c r="G239" t="n">
        <v>25</v>
      </c>
      <c r="H239" t="inlineStr">
        <is>
          <t>inferred</t>
        </is>
      </c>
      <c r="I239" t="inlineStr">
        <is>
          <t>cart+LSV</t>
        </is>
      </c>
      <c r="J239" t="inlineStr">
        <is>
          <t>https://www.google.com/maps/@?api=1&amp;map_action=pano&amp;viewpoint=33.070950,-117.233230&amp;heading=158</t>
        </is>
      </c>
      <c r="K239" t="inlineStr">
        <is>
          <t>https://www.google.com/maps/search/?api=1&amp;query=33.070950,-117.233230</t>
        </is>
      </c>
      <c r="L239" t="inlineStr"/>
      <c r="M239" t="inlineStr"/>
      <c r="N239" t="inlineStr"/>
      <c r="O239" t="inlineStr"/>
      <c r="P239" t="inlineStr">
        <is>
          <t>pending</t>
        </is>
      </c>
      <c r="Q239" t="inlineStr"/>
      <c r="R239" t="inlineStr"/>
      <c r="S239" t="inlineStr"/>
      <c r="T239" t="inlineStr"/>
      <c r="U239" t="inlineStr"/>
      <c r="V239">
        <f>IF(OR(L239="",S239=""),"",IF(VALUE(L239)=VALUE(S239),"Y","N"))</f>
        <v/>
      </c>
      <c r="W239">
        <f>IF(V239="Y",S239,"")</f>
        <v/>
      </c>
      <c r="X239" t="inlineStr">
        <is>
          <t>unverified: map has 25 mph (guessed from road type); is it 25 (carts OK) or 30+?</t>
        </is>
      </c>
      <c r="Y239" t="inlineStr"/>
      <c r="Z239" t="n">
        <v>2151</v>
      </c>
      <c r="AA239" t="inlineStr">
        <is>
          <t>sd</t>
        </is>
      </c>
      <c r="AB239" t="inlineStr">
        <is>
          <t>sd|33.07095,-117.23323</t>
        </is>
      </c>
    </row>
    <row r="240">
      <c r="A240" t="inlineStr">
        <is>
          <t>SD-B2-239</t>
        </is>
      </c>
      <c r="B240" t="inlineStr">
        <is>
          <t>San Diego area</t>
        </is>
      </c>
      <c r="C240" t="inlineStr">
        <is>
          <t>Camino Junipero</t>
        </is>
      </c>
      <c r="D240" t="inlineStr">
        <is>
          <t>Camino Cereza</t>
        </is>
      </c>
      <c r="E240" t="inlineStr">
        <is>
          <t>South Rancho Santa Fe Road</t>
        </is>
      </c>
      <c r="F240" t="inlineStr">
        <is>
          <t>32867950</t>
        </is>
      </c>
      <c r="G240" t="n">
        <v>25</v>
      </c>
      <c r="H240" t="inlineStr">
        <is>
          <t>inferred</t>
        </is>
      </c>
      <c r="I240" t="inlineStr">
        <is>
          <t>cart+LSV</t>
        </is>
      </c>
      <c r="J240" t="inlineStr">
        <is>
          <t>https://www.google.com/maps/@?api=1&amp;map_action=pano&amp;viewpoint=33.081700,-117.221590&amp;heading=174</t>
        </is>
      </c>
      <c r="K240" t="inlineStr">
        <is>
          <t>https://www.google.com/maps/search/?api=1&amp;query=33.081700,-117.221590</t>
        </is>
      </c>
      <c r="L240" t="inlineStr"/>
      <c r="M240" t="inlineStr"/>
      <c r="N240" t="inlineStr"/>
      <c r="O240" t="inlineStr"/>
      <c r="P240" t="inlineStr">
        <is>
          <t>pending</t>
        </is>
      </c>
      <c r="Q240" t="inlineStr"/>
      <c r="R240" t="inlineStr"/>
      <c r="S240" t="inlineStr"/>
      <c r="T240" t="inlineStr"/>
      <c r="U240" t="inlineStr"/>
      <c r="V240">
        <f>IF(OR(L240="",S240=""),"",IF(VALUE(L240)=VALUE(S240),"Y","N"))</f>
        <v/>
      </c>
      <c r="W240">
        <f>IF(V240="Y",S240,"")</f>
        <v/>
      </c>
      <c r="X240" t="inlineStr">
        <is>
          <t>unverified: map has 25 mph (guessed from road type); is it 25 (carts OK) or 30+?</t>
        </is>
      </c>
      <c r="Y240" t="inlineStr"/>
      <c r="Z240" t="n">
        <v>1695</v>
      </c>
      <c r="AA240" t="inlineStr">
        <is>
          <t>sd</t>
        </is>
      </c>
      <c r="AB240" t="inlineStr">
        <is>
          <t>sd|33.08170,-117.22159</t>
        </is>
      </c>
    </row>
    <row r="241">
      <c r="A241" t="inlineStr">
        <is>
          <t>SD-B2-240</t>
        </is>
      </c>
      <c r="B241" t="inlineStr">
        <is>
          <t>San Diego area</t>
        </is>
      </c>
      <c r="C241" t="inlineStr">
        <is>
          <t>Cadencia Street</t>
        </is>
      </c>
      <c r="D241" t="inlineStr">
        <is>
          <t>Esfera Street</t>
        </is>
      </c>
      <c r="E241" t="inlineStr">
        <is>
          <t>Circulo Papayo</t>
        </is>
      </c>
      <c r="F241" t="inlineStr">
        <is>
          <t>32868220</t>
        </is>
      </c>
      <c r="G241" t="n">
        <v>25</v>
      </c>
      <c r="H241" t="inlineStr">
        <is>
          <t>inferred</t>
        </is>
      </c>
      <c r="I241" t="inlineStr">
        <is>
          <t>cart+LSV</t>
        </is>
      </c>
      <c r="J241" t="inlineStr">
        <is>
          <t>https://www.google.com/maps/@?api=1&amp;map_action=pano&amp;viewpoint=33.092930,-117.235930&amp;heading=252</t>
        </is>
      </c>
      <c r="K241" t="inlineStr">
        <is>
          <t>https://www.google.com/maps/search/?api=1&amp;query=33.092930,-117.235930</t>
        </is>
      </c>
      <c r="L241" t="inlineStr"/>
      <c r="M241" t="inlineStr"/>
      <c r="N241" t="inlineStr"/>
      <c r="O241" t="inlineStr"/>
      <c r="P241" t="inlineStr">
        <is>
          <t>pending</t>
        </is>
      </c>
      <c r="Q241" t="inlineStr"/>
      <c r="R241" t="inlineStr"/>
      <c r="S241" t="inlineStr"/>
      <c r="T241" t="inlineStr"/>
      <c r="U241" t="inlineStr"/>
      <c r="V241">
        <f>IF(OR(L241="",S241=""),"",IF(VALUE(L241)=VALUE(S241),"Y","N"))</f>
        <v/>
      </c>
      <c r="W241">
        <f>IF(V241="Y",S241,"")</f>
        <v/>
      </c>
      <c r="X241" t="inlineStr">
        <is>
          <t>unverified: map has 25 mph (guessed from road type); is it 25 (carts OK) or 30+?</t>
        </is>
      </c>
      <c r="Y241" t="inlineStr"/>
      <c r="Z241" t="n">
        <v>2358</v>
      </c>
      <c r="AA241" t="inlineStr">
        <is>
          <t>sd</t>
        </is>
      </c>
      <c r="AB241" t="inlineStr">
        <is>
          <t>sd|33.09293,-117.23593</t>
        </is>
      </c>
    </row>
    <row r="242">
      <c r="A242" t="inlineStr">
        <is>
          <t>SD-B2-241</t>
        </is>
      </c>
      <c r="B242" t="inlineStr">
        <is>
          <t>San Diego area</t>
        </is>
      </c>
      <c r="C242" t="inlineStr">
        <is>
          <t>Wandering Road</t>
        </is>
      </c>
      <c r="D242" t="inlineStr">
        <is>
          <t>Mountain Vista Drive</t>
        </is>
      </c>
      <c r="E242" t="inlineStr">
        <is>
          <t>Linda Sue Lane</t>
        </is>
      </c>
      <c r="F242" t="inlineStr">
        <is>
          <t>222600296</t>
        </is>
      </c>
      <c r="G242" t="n">
        <v>25</v>
      </c>
      <c r="H242" t="inlineStr">
        <is>
          <t>inferred</t>
        </is>
      </c>
      <c r="I242" t="inlineStr">
        <is>
          <t>cart+LSV</t>
        </is>
      </c>
      <c r="J242" t="inlineStr">
        <is>
          <t>https://www.google.com/maps/@?api=1&amp;map_action=pano&amp;viewpoint=33.054750,-117.253570&amp;heading=68</t>
        </is>
      </c>
      <c r="K242" t="inlineStr">
        <is>
          <t>https://www.google.com/maps/search/?api=1&amp;query=33.054750,-117.253570</t>
        </is>
      </c>
      <c r="L242" t="inlineStr"/>
      <c r="M242" t="inlineStr"/>
      <c r="N242" t="inlineStr"/>
      <c r="O242" t="inlineStr"/>
      <c r="P242" t="inlineStr">
        <is>
          <t>pending</t>
        </is>
      </c>
      <c r="Q242" t="inlineStr"/>
      <c r="R242" t="inlineStr"/>
      <c r="S242" t="inlineStr"/>
      <c r="T242" t="inlineStr"/>
      <c r="U242" t="inlineStr"/>
      <c r="V242">
        <f>IF(OR(L242="",S242=""),"",IF(VALUE(L242)=VALUE(S242),"Y","N"))</f>
        <v/>
      </c>
      <c r="W242">
        <f>IF(V242="Y",S242,"")</f>
        <v/>
      </c>
      <c r="X242" t="inlineStr">
        <is>
          <t>unverified: map has 25 mph (guessed from road type); is it 25 (carts OK) or 30+?</t>
        </is>
      </c>
      <c r="Y242" t="inlineStr"/>
      <c r="Z242" t="n">
        <v>1661</v>
      </c>
      <c r="AA242" t="inlineStr">
        <is>
          <t>sd</t>
        </is>
      </c>
      <c r="AB242" t="inlineStr">
        <is>
          <t>sd|33.05475,-117.25357</t>
        </is>
      </c>
    </row>
    <row r="243">
      <c r="A243" t="inlineStr">
        <is>
          <t>SD-B2-242</t>
        </is>
      </c>
      <c r="B243" t="inlineStr">
        <is>
          <t>San Diego area</t>
        </is>
      </c>
      <c r="C243" t="inlineStr">
        <is>
          <t>Lone Jack Road</t>
        </is>
      </c>
      <c r="D243" t="inlineStr">
        <is>
          <t>11th Street</t>
        </is>
      </c>
      <c r="E243" t="inlineStr">
        <is>
          <t>Camino del Rancho</t>
        </is>
      </c>
      <c r="F243" t="inlineStr">
        <is>
          <t>663558941</t>
        </is>
      </c>
      <c r="G243" t="n">
        <v>25</v>
      </c>
      <c r="H243" t="inlineStr">
        <is>
          <t>inferred</t>
        </is>
      </c>
      <c r="I243" t="inlineStr">
        <is>
          <t>cart+LSV</t>
        </is>
      </c>
      <c r="J243" t="inlineStr">
        <is>
          <t>https://www.google.com/maps/@?api=1&amp;map_action=pano&amp;viewpoint=33.050920,-117.226940&amp;heading=64</t>
        </is>
      </c>
      <c r="K243" t="inlineStr">
        <is>
          <t>https://www.google.com/maps/search/?api=1&amp;query=33.050920,-117.226940</t>
        </is>
      </c>
      <c r="L243" t="inlineStr"/>
      <c r="M243" t="inlineStr"/>
      <c r="N243" t="inlineStr"/>
      <c r="O243" t="inlineStr"/>
      <c r="P243" t="inlineStr">
        <is>
          <t>pending</t>
        </is>
      </c>
      <c r="Q243" t="inlineStr"/>
      <c r="R243" t="inlineStr"/>
      <c r="S243" t="inlineStr"/>
      <c r="T243" t="inlineStr"/>
      <c r="U243" t="inlineStr"/>
      <c r="V243">
        <f>IF(OR(L243="",S243=""),"",IF(VALUE(L243)=VALUE(S243),"Y","N"))</f>
        <v/>
      </c>
      <c r="W243">
        <f>IF(V243="Y",S243,"")</f>
        <v/>
      </c>
      <c r="X243" t="inlineStr">
        <is>
          <t>unverified: map has 25 mph (guessed from road type); is it 25 (carts OK) or 30+?</t>
        </is>
      </c>
      <c r="Y243" t="inlineStr"/>
      <c r="Z243" t="n">
        <v>1825</v>
      </c>
      <c r="AA243" t="inlineStr">
        <is>
          <t>sd</t>
        </is>
      </c>
      <c r="AB243" t="inlineStr">
        <is>
          <t>sd|33.05092,-117.22694</t>
        </is>
      </c>
    </row>
    <row r="244">
      <c r="A244" t="inlineStr">
        <is>
          <t>SD-B2-243</t>
        </is>
      </c>
      <c r="B244" t="inlineStr">
        <is>
          <t>San Diego area</t>
        </is>
      </c>
      <c r="C244" t="inlineStr">
        <is>
          <t>Camino Vida Roble</t>
        </is>
      </c>
      <c r="D244" t="inlineStr">
        <is>
          <t>(see map link)</t>
        </is>
      </c>
      <c r="E244" t="inlineStr">
        <is>
          <t>El Camino Real</t>
        </is>
      </c>
      <c r="F244" t="inlineStr">
        <is>
          <t>225811842</t>
        </is>
      </c>
      <c r="G244" t="n">
        <v>25</v>
      </c>
      <c r="H244" t="inlineStr">
        <is>
          <t>inferred</t>
        </is>
      </c>
      <c r="I244" t="inlineStr">
        <is>
          <t>cart+LSV</t>
        </is>
      </c>
      <c r="J244" t="inlineStr">
        <is>
          <t>https://www.google.com/maps/@?api=1&amp;map_action=pano&amp;viewpoint=33.122840,-117.286050&amp;heading=291</t>
        </is>
      </c>
      <c r="K244" t="inlineStr">
        <is>
          <t>https://www.google.com/maps/search/?api=1&amp;query=33.122840,-117.286050</t>
        </is>
      </c>
      <c r="L244" t="inlineStr"/>
      <c r="M244" t="inlineStr"/>
      <c r="N244" t="inlineStr"/>
      <c r="O244" t="inlineStr"/>
      <c r="P244" t="inlineStr">
        <is>
          <t>pending</t>
        </is>
      </c>
      <c r="Q244" t="inlineStr"/>
      <c r="R244" t="inlineStr"/>
      <c r="S244" t="inlineStr"/>
      <c r="T244" t="inlineStr"/>
      <c r="U244" t="inlineStr"/>
      <c r="V244">
        <f>IF(OR(L244="",S244=""),"",IF(VALUE(L244)=VALUE(S244),"Y","N"))</f>
        <v/>
      </c>
      <c r="W244">
        <f>IF(V244="Y",S244,"")</f>
        <v/>
      </c>
      <c r="X244" t="inlineStr">
        <is>
          <t>unverified: map has 25 mph (guessed from road type); is it 25 (carts OK) or 30+?</t>
        </is>
      </c>
      <c r="Y244" t="inlineStr"/>
      <c r="Z244" t="n">
        <v>2483</v>
      </c>
      <c r="AA244" t="inlineStr">
        <is>
          <t>sd</t>
        </is>
      </c>
      <c r="AB244" t="inlineStr">
        <is>
          <t>sd|33.12284,-117.28605</t>
        </is>
      </c>
    </row>
    <row r="245">
      <c r="A245" t="inlineStr">
        <is>
          <t>SD-B2-244</t>
        </is>
      </c>
      <c r="B245" t="inlineStr">
        <is>
          <t>San Diego area</t>
        </is>
      </c>
      <c r="C245" t="inlineStr">
        <is>
          <t>Unicornio Street</t>
        </is>
      </c>
      <c r="D245" t="inlineStr">
        <is>
          <t>Abanto Street</t>
        </is>
      </c>
      <c r="E245" t="inlineStr">
        <is>
          <t>Vianda Court</t>
        </is>
      </c>
      <c r="F245" t="inlineStr">
        <is>
          <t>5972061</t>
        </is>
      </c>
      <c r="G245" t="n">
        <v>25</v>
      </c>
      <c r="H245" t="inlineStr">
        <is>
          <t>inferred</t>
        </is>
      </c>
      <c r="I245" t="inlineStr">
        <is>
          <t>cart+LSV</t>
        </is>
      </c>
      <c r="J245" t="inlineStr">
        <is>
          <t>https://www.google.com/maps/@?api=1&amp;map_action=pano&amp;viewpoint=33.103290,-117.252265&amp;heading=0</t>
        </is>
      </c>
      <c r="K245" t="inlineStr">
        <is>
          <t>https://www.google.com/maps/search/?api=1&amp;query=33.103290,-117.252265</t>
        </is>
      </c>
      <c r="L245" t="inlineStr"/>
      <c r="M245" t="inlineStr"/>
      <c r="N245" t="inlineStr"/>
      <c r="O245" t="inlineStr"/>
      <c r="P245" t="inlineStr">
        <is>
          <t>pending</t>
        </is>
      </c>
      <c r="Q245" t="inlineStr"/>
      <c r="R245" t="inlineStr"/>
      <c r="S245" t="inlineStr"/>
      <c r="T245" t="inlineStr"/>
      <c r="U245" t="inlineStr"/>
      <c r="V245">
        <f>IF(OR(L245="",S245=""),"",IF(VALUE(L245)=VALUE(S245),"Y","N"))</f>
        <v/>
      </c>
      <c r="W245">
        <f>IF(V245="Y",S245,"")</f>
        <v/>
      </c>
      <c r="X245" t="inlineStr">
        <is>
          <t>unverified: map has 25 mph (guessed from road type); is it 25 (carts OK) or 30+?</t>
        </is>
      </c>
      <c r="Y245" t="inlineStr"/>
      <c r="Z245" t="n">
        <v>2205</v>
      </c>
      <c r="AA245" t="inlineStr">
        <is>
          <t>sd</t>
        </is>
      </c>
      <c r="AB245" t="inlineStr">
        <is>
          <t>sd|33.10329,-117.25226</t>
        </is>
      </c>
    </row>
    <row r="246">
      <c r="A246" t="inlineStr">
        <is>
          <t>SD-B2-245</t>
        </is>
      </c>
      <c r="B246" t="inlineStr">
        <is>
          <t>San Diego area</t>
        </is>
      </c>
      <c r="C246" t="inlineStr">
        <is>
          <t>Shadowridge Drive</t>
        </is>
      </c>
      <c r="D246" t="inlineStr">
        <is>
          <t>Cannon Road</t>
        </is>
      </c>
      <c r="E246" t="inlineStr">
        <is>
          <t>White Birch Drive</t>
        </is>
      </c>
      <c r="F246" t="inlineStr">
        <is>
          <t>594509234</t>
        </is>
      </c>
      <c r="G246" t="n">
        <v>25</v>
      </c>
      <c r="H246" t="inlineStr">
        <is>
          <t>inferred</t>
        </is>
      </c>
      <c r="I246" t="inlineStr">
        <is>
          <t>cart+LSV</t>
        </is>
      </c>
      <c r="J246" t="inlineStr">
        <is>
          <t>https://www.google.com/maps/@?api=1&amp;map_action=pano&amp;viewpoint=33.162630,-117.257370&amp;heading=322</t>
        </is>
      </c>
      <c r="K246" t="inlineStr">
        <is>
          <t>https://www.google.com/maps/search/?api=1&amp;query=33.162630,-117.257370</t>
        </is>
      </c>
      <c r="L246" t="inlineStr"/>
      <c r="M246" t="inlineStr"/>
      <c r="N246" t="inlineStr"/>
      <c r="O246" t="inlineStr"/>
      <c r="P246" t="inlineStr">
        <is>
          <t>pending</t>
        </is>
      </c>
      <c r="Q246" t="inlineStr"/>
      <c r="R246" t="inlineStr"/>
      <c r="S246" t="inlineStr"/>
      <c r="T246" t="inlineStr"/>
      <c r="U246" t="inlineStr"/>
      <c r="V246">
        <f>IF(OR(L246="",S246=""),"",IF(VALUE(L246)=VALUE(S246),"Y","N"))</f>
        <v/>
      </c>
      <c r="W246">
        <f>IF(V246="Y",S246,"")</f>
        <v/>
      </c>
      <c r="X246" t="inlineStr">
        <is>
          <t>unverified: map has 25 mph (guessed from road type); is it 25 (carts OK) or 30+?</t>
        </is>
      </c>
      <c r="Y246" t="inlineStr"/>
      <c r="Z246" t="n">
        <v>2972</v>
      </c>
      <c r="AA246" t="inlineStr">
        <is>
          <t>sd</t>
        </is>
      </c>
      <c r="AB246" t="inlineStr">
        <is>
          <t>sd|33.16263,-117.25737</t>
        </is>
      </c>
    </row>
    <row r="247">
      <c r="A247" t="inlineStr">
        <is>
          <t>SD-B2-246</t>
        </is>
      </c>
      <c r="B247" t="inlineStr">
        <is>
          <t>San Diego area</t>
        </is>
      </c>
      <c r="C247" t="inlineStr">
        <is>
          <t>Whiptail Loop</t>
        </is>
      </c>
      <c r="D247" t="inlineStr">
        <is>
          <t>Faraday Drive</t>
        </is>
      </c>
      <c r="E247" t="inlineStr">
        <is>
          <t>Candsu Court</t>
        </is>
      </c>
      <c r="F247" t="inlineStr">
        <is>
          <t>1239534199</t>
        </is>
      </c>
      <c r="G247" t="n">
        <v>25</v>
      </c>
      <c r="H247" t="inlineStr">
        <is>
          <t>inferred</t>
        </is>
      </c>
      <c r="I247" t="inlineStr">
        <is>
          <t>cart+LSV</t>
        </is>
      </c>
      <c r="J247" t="inlineStr">
        <is>
          <t>https://www.google.com/maps/@?api=1&amp;map_action=pano&amp;viewpoint=33.141040,-117.250170&amp;heading=204</t>
        </is>
      </c>
      <c r="K247" t="inlineStr">
        <is>
          <t>https://www.google.com/maps/search/?api=1&amp;query=33.141040,-117.250170</t>
        </is>
      </c>
      <c r="L247" t="inlineStr"/>
      <c r="M247" t="inlineStr"/>
      <c r="N247" t="inlineStr"/>
      <c r="O247" t="inlineStr"/>
      <c r="P247" t="inlineStr">
        <is>
          <t>pending</t>
        </is>
      </c>
      <c r="Q247" t="inlineStr"/>
      <c r="R247" t="inlineStr"/>
      <c r="S247" t="inlineStr"/>
      <c r="T247" t="inlineStr"/>
      <c r="U247" t="inlineStr"/>
      <c r="V247">
        <f>IF(OR(L247="",S247=""),"",IF(VALUE(L247)=VALUE(S247),"Y","N"))</f>
        <v/>
      </c>
      <c r="W247">
        <f>IF(V247="Y",S247,"")</f>
        <v/>
      </c>
      <c r="X247" t="inlineStr">
        <is>
          <t>unverified: map has 25 mph (guessed from road type); is it 25 (carts OK) or 30+?</t>
        </is>
      </c>
      <c r="Y247" t="inlineStr"/>
      <c r="Z247" t="n">
        <v>1657</v>
      </c>
      <c r="AA247" t="inlineStr">
        <is>
          <t>sd</t>
        </is>
      </c>
      <c r="AB247" t="inlineStr">
        <is>
          <t>sd|33.14104,-117.25017</t>
        </is>
      </c>
    </row>
    <row r="248">
      <c r="A248" t="inlineStr">
        <is>
          <t>SD-B2-247</t>
        </is>
      </c>
      <c r="B248" t="inlineStr">
        <is>
          <t>San Diego area</t>
        </is>
      </c>
      <c r="C248" t="inlineStr">
        <is>
          <t>Cameo Drive</t>
        </is>
      </c>
      <c r="D248" t="inlineStr">
        <is>
          <t>Roselle Street</t>
        </is>
      </c>
      <c r="E248" t="inlineStr">
        <is>
          <t>Rancho del Oro Drive</t>
        </is>
      </c>
      <c r="F248" t="inlineStr">
        <is>
          <t>5970924</t>
        </is>
      </c>
      <c r="G248" t="n">
        <v>25</v>
      </c>
      <c r="H248" t="inlineStr">
        <is>
          <t>inferred</t>
        </is>
      </c>
      <c r="I248" t="inlineStr">
        <is>
          <t>cart+LSV</t>
        </is>
      </c>
      <c r="J248" t="inlineStr">
        <is>
          <t>https://www.google.com/maps/@?api=1&amp;map_action=pano&amp;viewpoint=33.194700,-117.296200&amp;heading=77</t>
        </is>
      </c>
      <c r="K248" t="inlineStr">
        <is>
          <t>https://www.google.com/maps/search/?api=1&amp;query=33.194700,-117.296200</t>
        </is>
      </c>
      <c r="L248" t="inlineStr"/>
      <c r="M248" t="inlineStr"/>
      <c r="N248" t="inlineStr"/>
      <c r="O248" t="inlineStr"/>
      <c r="P248" t="inlineStr">
        <is>
          <t>pending</t>
        </is>
      </c>
      <c r="Q248" t="inlineStr"/>
      <c r="R248" t="inlineStr"/>
      <c r="S248" t="inlineStr"/>
      <c r="T248" t="inlineStr"/>
      <c r="U248" t="inlineStr"/>
      <c r="V248">
        <f>IF(OR(L248="",S248=""),"",IF(VALUE(L248)=VALUE(S248),"Y","N"))</f>
        <v/>
      </c>
      <c r="W248">
        <f>IF(V248="Y",S248,"")</f>
        <v/>
      </c>
      <c r="X248" t="inlineStr">
        <is>
          <t>unverified: map has 25 mph (guessed from road type); is it 25 (carts OK) or 30+?</t>
        </is>
      </c>
      <c r="Y248" t="inlineStr"/>
      <c r="Z248" t="n">
        <v>1586</v>
      </c>
      <c r="AA248" t="inlineStr">
        <is>
          <t>sd</t>
        </is>
      </c>
      <c r="AB248" t="inlineStr">
        <is>
          <t>sd|33.19470,-117.29620</t>
        </is>
      </c>
    </row>
    <row r="249">
      <c r="A249" t="inlineStr">
        <is>
          <t>SD-B2-248</t>
        </is>
      </c>
      <c r="B249" t="inlineStr">
        <is>
          <t>San Diego area</t>
        </is>
      </c>
      <c r="C249" t="inlineStr">
        <is>
          <t>Thunder Drive</t>
        </is>
      </c>
      <c r="D249" t="inlineStr">
        <is>
          <t>Waring Road</t>
        </is>
      </c>
      <c r="E249" t="inlineStr">
        <is>
          <t>West Vista Way</t>
        </is>
      </c>
      <c r="F249" t="inlineStr">
        <is>
          <t>594465173</t>
        </is>
      </c>
      <c r="G249" t="n">
        <v>25</v>
      </c>
      <c r="H249" t="inlineStr">
        <is>
          <t>inferred</t>
        </is>
      </c>
      <c r="I249" t="inlineStr">
        <is>
          <t>cart+LSV</t>
        </is>
      </c>
      <c r="J249" t="inlineStr">
        <is>
          <t>https://www.google.com/maps/@?api=1&amp;map_action=pano&amp;viewpoint=33.199730,-117.288930&amp;heading=316</t>
        </is>
      </c>
      <c r="K249" t="inlineStr">
        <is>
          <t>https://www.google.com/maps/search/?api=1&amp;query=33.199730,-117.288930</t>
        </is>
      </c>
      <c r="L249" t="inlineStr"/>
      <c r="M249" t="inlineStr"/>
      <c r="N249" t="inlineStr"/>
      <c r="O249" t="inlineStr"/>
      <c r="P249" t="inlineStr">
        <is>
          <t>pending</t>
        </is>
      </c>
      <c r="Q249" t="inlineStr"/>
      <c r="R249" t="inlineStr"/>
      <c r="S249" t="inlineStr"/>
      <c r="T249" t="inlineStr"/>
      <c r="U249" t="inlineStr"/>
      <c r="V249">
        <f>IF(OR(L249="",S249=""),"",IF(VALUE(L249)=VALUE(S249),"Y","N"))</f>
        <v/>
      </c>
      <c r="W249">
        <f>IF(V249="Y",S249,"")</f>
        <v/>
      </c>
      <c r="X249" t="inlineStr">
        <is>
          <t>unverified: map has 25 mph (guessed from road type); is it 25 (carts OK) or 30+?</t>
        </is>
      </c>
      <c r="Y249" t="inlineStr"/>
      <c r="Z249" t="n">
        <v>2039</v>
      </c>
      <c r="AA249" t="inlineStr">
        <is>
          <t>sd</t>
        </is>
      </c>
      <c r="AB249" t="inlineStr">
        <is>
          <t>sd|33.19973,-117.28893</t>
        </is>
      </c>
    </row>
    <row r="250">
      <c r="A250" t="inlineStr">
        <is>
          <t>SD-B2-249</t>
        </is>
      </c>
      <c r="B250" t="inlineStr">
        <is>
          <t>San Diego area</t>
        </is>
      </c>
      <c r="C250" t="inlineStr">
        <is>
          <t>Barnard Drive</t>
        </is>
      </c>
      <c r="D250" t="inlineStr">
        <is>
          <t>College Boulevard</t>
        </is>
      </c>
      <c r="E250" t="inlineStr">
        <is>
          <t>Glaser Drive</t>
        </is>
      </c>
      <c r="F250" t="inlineStr">
        <is>
          <t>6048057</t>
        </is>
      </c>
      <c r="G250" t="n">
        <v>25</v>
      </c>
      <c r="H250" t="inlineStr">
        <is>
          <t>inferred</t>
        </is>
      </c>
      <c r="I250" t="inlineStr">
        <is>
          <t>cart+LSV</t>
        </is>
      </c>
      <c r="J250" t="inlineStr">
        <is>
          <t>https://www.google.com/maps/@?api=1&amp;map_action=pano&amp;viewpoint=33.187540,-117.302640&amp;heading=253</t>
        </is>
      </c>
      <c r="K250" t="inlineStr">
        <is>
          <t>https://www.google.com/maps/search/?api=1&amp;query=33.187540,-117.302640</t>
        </is>
      </c>
      <c r="L250" t="inlineStr"/>
      <c r="M250" t="inlineStr"/>
      <c r="N250" t="inlineStr"/>
      <c r="O250" t="inlineStr"/>
      <c r="P250" t="inlineStr">
        <is>
          <t>pending</t>
        </is>
      </c>
      <c r="Q250" t="inlineStr"/>
      <c r="R250" t="inlineStr"/>
      <c r="S250" t="inlineStr"/>
      <c r="T250" t="inlineStr"/>
      <c r="U250" t="inlineStr"/>
      <c r="V250">
        <f>IF(OR(L250="",S250=""),"",IF(VALUE(L250)=VALUE(S250),"Y","N"))</f>
        <v/>
      </c>
      <c r="W250">
        <f>IF(V250="Y",S250,"")</f>
        <v/>
      </c>
      <c r="X250" t="inlineStr">
        <is>
          <t>unverified: map has 25 mph (guessed from road type); is it 25 (carts OK) or 30+?</t>
        </is>
      </c>
      <c r="Y250" t="inlineStr"/>
      <c r="Z250" t="n">
        <v>2011</v>
      </c>
      <c r="AA250" t="inlineStr">
        <is>
          <t>sd</t>
        </is>
      </c>
      <c r="AB250" t="inlineStr">
        <is>
          <t>sd|33.18754,-117.30264</t>
        </is>
      </c>
    </row>
    <row r="251">
      <c r="A251" t="inlineStr">
        <is>
          <t>SD-B2-250</t>
        </is>
      </c>
      <c r="B251" t="inlineStr">
        <is>
          <t>San Diego area</t>
        </is>
      </c>
      <c r="C251" t="inlineStr">
        <is>
          <t>Avenida del Oro</t>
        </is>
      </c>
      <c r="D251" t="inlineStr">
        <is>
          <t>Oceanside Boulevard</t>
        </is>
      </c>
      <c r="E251" t="inlineStr">
        <is>
          <t>Old Grove Road</t>
        </is>
      </c>
      <c r="F251" t="inlineStr">
        <is>
          <t>524940696</t>
        </is>
      </c>
      <c r="G251" t="n">
        <v>25</v>
      </c>
      <c r="H251" t="inlineStr">
        <is>
          <t>inferred</t>
        </is>
      </c>
      <c r="I251" t="inlineStr">
        <is>
          <t>cart+LSV</t>
        </is>
      </c>
      <c r="J251" t="inlineStr">
        <is>
          <t>https://www.google.com/maps/@?api=1&amp;map_action=pano&amp;viewpoint=33.213650,-117.294040&amp;heading=190</t>
        </is>
      </c>
      <c r="K251" t="inlineStr">
        <is>
          <t>https://www.google.com/maps/search/?api=1&amp;query=33.213650,-117.294040</t>
        </is>
      </c>
      <c r="L251" t="inlineStr"/>
      <c r="M251" t="inlineStr"/>
      <c r="N251" t="inlineStr"/>
      <c r="O251" t="inlineStr"/>
      <c r="P251" t="inlineStr">
        <is>
          <t>pending</t>
        </is>
      </c>
      <c r="Q251" t="inlineStr"/>
      <c r="R251" t="inlineStr"/>
      <c r="S251" t="inlineStr"/>
      <c r="T251" t="inlineStr"/>
      <c r="U251" t="inlineStr"/>
      <c r="V251">
        <f>IF(OR(L251="",S251=""),"",IF(VALUE(L251)=VALUE(S251),"Y","N"))</f>
        <v/>
      </c>
      <c r="W251">
        <f>IF(V251="Y",S251,"")</f>
        <v/>
      </c>
      <c r="X251" t="inlineStr">
        <is>
          <t>unverified: map has 25 mph (guessed from road type); is it 25 (carts OK) or 30+?</t>
        </is>
      </c>
      <c r="Y251" t="inlineStr"/>
      <c r="Z251" t="n">
        <v>1515</v>
      </c>
      <c r="AA251" t="inlineStr">
        <is>
          <t>sd</t>
        </is>
      </c>
      <c r="AB251" t="inlineStr">
        <is>
          <t>sd|33.21365,-117.29404</t>
        </is>
      </c>
    </row>
    <row r="252">
      <c r="A252" t="inlineStr">
        <is>
          <t>SD-B2-251</t>
        </is>
      </c>
      <c r="B252" t="inlineStr">
        <is>
          <t>San Diego area</t>
        </is>
      </c>
      <c r="C252" t="inlineStr">
        <is>
          <t>Old Grove Road</t>
        </is>
      </c>
      <c r="D252" t="inlineStr">
        <is>
          <t>College Boulevard</t>
        </is>
      </c>
      <c r="E252" t="inlineStr">
        <is>
          <t>Pine Ridge Road</t>
        </is>
      </c>
      <c r="F252" t="inlineStr">
        <is>
          <t>5991590</t>
        </is>
      </c>
      <c r="G252" t="n">
        <v>25</v>
      </c>
      <c r="H252" t="inlineStr">
        <is>
          <t>inferred</t>
        </is>
      </c>
      <c r="I252" t="inlineStr">
        <is>
          <t>cart+LSV</t>
        </is>
      </c>
      <c r="J252" t="inlineStr">
        <is>
          <t>https://www.google.com/maps/@?api=1&amp;map_action=pano&amp;viewpoint=33.221610,-117.282060&amp;heading=42</t>
        </is>
      </c>
      <c r="K252" t="inlineStr">
        <is>
          <t>https://www.google.com/maps/search/?api=1&amp;query=33.221610,-117.282060</t>
        </is>
      </c>
      <c r="L252" t="inlineStr"/>
      <c r="M252" t="inlineStr"/>
      <c r="N252" t="inlineStr"/>
      <c r="O252" t="inlineStr"/>
      <c r="P252" t="inlineStr">
        <is>
          <t>pending</t>
        </is>
      </c>
      <c r="Q252" t="inlineStr"/>
      <c r="R252" t="inlineStr"/>
      <c r="S252" t="inlineStr"/>
      <c r="T252" t="inlineStr"/>
      <c r="U252" t="inlineStr"/>
      <c r="V252">
        <f>IF(OR(L252="",S252=""),"",IF(VALUE(L252)=VALUE(S252),"Y","N"))</f>
        <v/>
      </c>
      <c r="W252">
        <f>IF(V252="Y",S252,"")</f>
        <v/>
      </c>
      <c r="X252" t="inlineStr">
        <is>
          <t>unverified: map has 25 mph (guessed from road type); is it 25 (carts OK) or 30+?</t>
        </is>
      </c>
      <c r="Y252" t="inlineStr"/>
      <c r="Z252" t="n">
        <v>2444</v>
      </c>
      <c r="AA252" t="inlineStr">
        <is>
          <t>sd</t>
        </is>
      </c>
      <c r="AB252" t="inlineStr">
        <is>
          <t>sd|33.22161,-117.28206</t>
        </is>
      </c>
    </row>
    <row r="253">
      <c r="A253" t="inlineStr">
        <is>
          <t>SD-B2-252</t>
        </is>
      </c>
      <c r="B253" t="inlineStr">
        <is>
          <t>San Diego area</t>
        </is>
      </c>
      <c r="C253" t="inlineStr">
        <is>
          <t>Avenida de la Plata</t>
        </is>
      </c>
      <c r="D253" t="inlineStr">
        <is>
          <t>College Boulevard</t>
        </is>
      </c>
      <c r="E253" t="inlineStr">
        <is>
          <t>Via Rancho Road</t>
        </is>
      </c>
      <c r="F253" t="inlineStr">
        <is>
          <t>643211610</t>
        </is>
      </c>
      <c r="G253" t="n">
        <v>25</v>
      </c>
      <c r="H253" t="inlineStr">
        <is>
          <t>inferred</t>
        </is>
      </c>
      <c r="I253" t="inlineStr">
        <is>
          <t>cart+LSV</t>
        </is>
      </c>
      <c r="J253" t="inlineStr">
        <is>
          <t>https://www.google.com/maps/@?api=1&amp;map_action=pano&amp;viewpoint=33.231540,-117.284130&amp;heading=34</t>
        </is>
      </c>
      <c r="K253" t="inlineStr">
        <is>
          <t>https://www.google.com/maps/search/?api=1&amp;query=33.231540,-117.284130</t>
        </is>
      </c>
      <c r="L253" t="inlineStr"/>
      <c r="M253" t="inlineStr"/>
      <c r="N253" t="inlineStr"/>
      <c r="O253" t="inlineStr"/>
      <c r="P253" t="inlineStr">
        <is>
          <t>pending</t>
        </is>
      </c>
      <c r="Q253" t="inlineStr"/>
      <c r="R253" t="inlineStr"/>
      <c r="S253" t="inlineStr"/>
      <c r="T253" t="inlineStr"/>
      <c r="U253" t="inlineStr"/>
      <c r="V253">
        <f>IF(OR(L253="",S253=""),"",IF(VALUE(L253)=VALUE(S253),"Y","N"))</f>
        <v/>
      </c>
      <c r="W253">
        <f>IF(V253="Y",S253,"")</f>
        <v/>
      </c>
      <c r="X253" t="inlineStr">
        <is>
          <t>unverified: map has 25 mph (guessed from road type); is it 25 (carts OK) or 30+?</t>
        </is>
      </c>
      <c r="Y253" t="inlineStr"/>
      <c r="Z253" t="n">
        <v>4822</v>
      </c>
      <c r="AA253" t="inlineStr">
        <is>
          <t>sd</t>
        </is>
      </c>
      <c r="AB253" t="inlineStr">
        <is>
          <t>sd|33.23154,-117.28413</t>
        </is>
      </c>
    </row>
    <row r="254">
      <c r="A254" t="inlineStr">
        <is>
          <t>SD-B2-253</t>
        </is>
      </c>
      <c r="B254" t="inlineStr">
        <is>
          <t>San Diego area</t>
        </is>
      </c>
      <c r="C254" t="inlineStr">
        <is>
          <t>Frazee Road</t>
        </is>
      </c>
      <c r="D254" t="inlineStr">
        <is>
          <t>Masters Drive</t>
        </is>
      </c>
      <c r="E254" t="inlineStr">
        <is>
          <t>College Boulevard</t>
        </is>
      </c>
      <c r="F254" t="inlineStr">
        <is>
          <t>634802955</t>
        </is>
      </c>
      <c r="G254" t="n">
        <v>25</v>
      </c>
      <c r="H254" t="inlineStr">
        <is>
          <t>inferred</t>
        </is>
      </c>
      <c r="I254" t="inlineStr">
        <is>
          <t>cart+LSV</t>
        </is>
      </c>
      <c r="J254" t="inlineStr">
        <is>
          <t>https://www.google.com/maps/@?api=1&amp;map_action=pano&amp;viewpoint=33.236330,-117.290440&amp;heading=320</t>
        </is>
      </c>
      <c r="K254" t="inlineStr">
        <is>
          <t>https://www.google.com/maps/search/?api=1&amp;query=33.236330,-117.290440</t>
        </is>
      </c>
      <c r="L254" t="inlineStr"/>
      <c r="M254" t="inlineStr"/>
      <c r="N254" t="inlineStr"/>
      <c r="O254" t="inlineStr"/>
      <c r="P254" t="inlineStr">
        <is>
          <t>pending</t>
        </is>
      </c>
      <c r="Q254" t="inlineStr"/>
      <c r="R254" t="inlineStr"/>
      <c r="S254" t="inlineStr"/>
      <c r="T254" t="inlineStr"/>
      <c r="U254" t="inlineStr"/>
      <c r="V254">
        <f>IF(OR(L254="",S254=""),"",IF(VALUE(L254)=VALUE(S254),"Y","N"))</f>
        <v/>
      </c>
      <c r="W254">
        <f>IF(V254="Y",S254,"")</f>
        <v/>
      </c>
      <c r="X254" t="inlineStr">
        <is>
          <t>unverified: map has 25 mph (guessed from road type); is it 25 (carts OK) or 30+?</t>
        </is>
      </c>
      <c r="Y254" t="inlineStr"/>
      <c r="Z254" t="n">
        <v>1646</v>
      </c>
      <c r="AA254" t="inlineStr">
        <is>
          <t>sd</t>
        </is>
      </c>
      <c r="AB254" t="inlineStr">
        <is>
          <t>sd|33.23633,-117.29044</t>
        </is>
      </c>
    </row>
    <row r="255">
      <c r="A255" t="inlineStr">
        <is>
          <t>SD-B2-254</t>
        </is>
      </c>
      <c r="B255" t="inlineStr">
        <is>
          <t>San Diego area</t>
        </is>
      </c>
      <c r="C255" t="inlineStr">
        <is>
          <t>Peacock Boulevard</t>
        </is>
      </c>
      <c r="D255" t="inlineStr">
        <is>
          <t>Rim Rock Road</t>
        </is>
      </c>
      <c r="E255" t="inlineStr">
        <is>
          <t>Sunny Hills Road</t>
        </is>
      </c>
      <c r="F255" t="inlineStr">
        <is>
          <t>5960097</t>
        </is>
      </c>
      <c r="G255" t="n">
        <v>25</v>
      </c>
      <c r="H255" t="inlineStr">
        <is>
          <t>inferred</t>
        </is>
      </c>
      <c r="I255" t="inlineStr">
        <is>
          <t>cart+LSV</t>
        </is>
      </c>
      <c r="J255" t="inlineStr">
        <is>
          <t>https://www.google.com/maps/@?api=1&amp;map_action=pano&amp;viewpoint=33.222390,-117.272750&amp;heading=211</t>
        </is>
      </c>
      <c r="K255" t="inlineStr">
        <is>
          <t>https://www.google.com/maps/search/?api=1&amp;query=33.222390,-117.272750</t>
        </is>
      </c>
      <c r="L255" t="inlineStr"/>
      <c r="M255" t="inlineStr"/>
      <c r="N255" t="inlineStr"/>
      <c r="O255" t="inlineStr"/>
      <c r="P255" t="inlineStr">
        <is>
          <t>pending</t>
        </is>
      </c>
      <c r="Q255" t="inlineStr"/>
      <c r="R255" t="inlineStr"/>
      <c r="S255" t="inlineStr"/>
      <c r="T255" t="inlineStr"/>
      <c r="U255" t="inlineStr"/>
      <c r="V255">
        <f>IF(OR(L255="",S255=""),"",IF(VALUE(L255)=VALUE(S255),"Y","N"))</f>
        <v/>
      </c>
      <c r="W255">
        <f>IF(V255="Y",S255,"")</f>
        <v/>
      </c>
      <c r="X255" t="inlineStr">
        <is>
          <t>unverified: map has 25 mph (guessed from road type); is it 25 (carts OK) or 30+?</t>
        </is>
      </c>
      <c r="Y255" t="inlineStr"/>
      <c r="Z255" t="n">
        <v>2402</v>
      </c>
      <c r="AA255" t="inlineStr">
        <is>
          <t>sd</t>
        </is>
      </c>
      <c r="AB255" t="inlineStr">
        <is>
          <t>sd|33.22239,-117.27275</t>
        </is>
      </c>
    </row>
    <row r="256">
      <c r="A256" t="inlineStr">
        <is>
          <t>SD-B2-255</t>
        </is>
      </c>
      <c r="B256" t="inlineStr">
        <is>
          <t>San Diego area</t>
        </is>
      </c>
      <c r="C256" t="inlineStr">
        <is>
          <t>Park Drive</t>
        </is>
      </c>
      <c r="D256" t="inlineStr">
        <is>
          <t>Woodvale Drive</t>
        </is>
      </c>
      <c r="E256" t="inlineStr">
        <is>
          <t>Westhaven Drive</t>
        </is>
      </c>
      <c r="F256" t="inlineStr">
        <is>
          <t>225875496</t>
        </is>
      </c>
      <c r="G256" t="n">
        <v>25</v>
      </c>
      <c r="H256" t="inlineStr">
        <is>
          <t>inferred</t>
        </is>
      </c>
      <c r="I256" t="inlineStr">
        <is>
          <t>cart+LSV</t>
        </is>
      </c>
      <c r="J256" t="inlineStr">
        <is>
          <t>https://www.google.com/maps/@?api=1&amp;map_action=pano&amp;viewpoint=33.153790,-117.326870&amp;heading=190</t>
        </is>
      </c>
      <c r="K256" t="inlineStr">
        <is>
          <t>https://www.google.com/maps/search/?api=1&amp;query=33.153790,-117.326870</t>
        </is>
      </c>
      <c r="L256" t="inlineStr"/>
      <c r="M256" t="inlineStr"/>
      <c r="N256" t="inlineStr"/>
      <c r="O256" t="inlineStr"/>
      <c r="P256" t="inlineStr">
        <is>
          <t>pending</t>
        </is>
      </c>
      <c r="Q256" t="inlineStr"/>
      <c r="R256" t="inlineStr"/>
      <c r="S256" t="inlineStr"/>
      <c r="T256" t="inlineStr"/>
      <c r="U256" t="inlineStr"/>
      <c r="V256">
        <f>IF(OR(L256="",S256=""),"",IF(VALUE(L256)=VALUE(S256),"Y","N"))</f>
        <v/>
      </c>
      <c r="W256">
        <f>IF(V256="Y",S256,"")</f>
        <v/>
      </c>
      <c r="X256" t="inlineStr">
        <is>
          <t>unverified: map has 25 mph (guessed from road type); is it 25 (carts OK) or 30+?</t>
        </is>
      </c>
      <c r="Y256" t="inlineStr"/>
      <c r="Z256" t="n">
        <v>2033</v>
      </c>
      <c r="AA256" t="inlineStr">
        <is>
          <t>sd</t>
        </is>
      </c>
      <c r="AB256" t="inlineStr">
        <is>
          <t>sd|33.15379,-117.32687</t>
        </is>
      </c>
    </row>
    <row r="257">
      <c r="A257" t="inlineStr">
        <is>
          <t>SD-B2-256</t>
        </is>
      </c>
      <c r="B257" t="inlineStr">
        <is>
          <t>San Diego area</t>
        </is>
      </c>
      <c r="C257" t="inlineStr">
        <is>
          <t>Hillside Drive</t>
        </is>
      </c>
      <c r="D257" t="inlineStr">
        <is>
          <t>Highland Drive</t>
        </is>
      </c>
      <c r="E257" t="inlineStr">
        <is>
          <t>Kelly Drive</t>
        </is>
      </c>
      <c r="F257" t="inlineStr">
        <is>
          <t>5962194</t>
        </is>
      </c>
      <c r="G257" t="n">
        <v>25</v>
      </c>
      <c r="H257" t="inlineStr">
        <is>
          <t>inferred</t>
        </is>
      </c>
      <c r="I257" t="inlineStr">
        <is>
          <t>cart+LSV</t>
        </is>
      </c>
      <c r="J257" t="inlineStr">
        <is>
          <t>https://www.google.com/maps/@?api=1&amp;map_action=pano&amp;viewpoint=33.150280,-117.326450&amp;heading=115</t>
        </is>
      </c>
      <c r="K257" t="inlineStr">
        <is>
          <t>https://www.google.com/maps/search/?api=1&amp;query=33.150280,-117.326450</t>
        </is>
      </c>
      <c r="L257" t="inlineStr"/>
      <c r="M257" t="inlineStr"/>
      <c r="N257" t="inlineStr"/>
      <c r="O257" t="inlineStr"/>
      <c r="P257" t="inlineStr">
        <is>
          <t>pending</t>
        </is>
      </c>
      <c r="Q257" t="inlineStr"/>
      <c r="R257" t="inlineStr"/>
      <c r="S257" t="inlineStr"/>
      <c r="T257" t="inlineStr"/>
      <c r="U257" t="inlineStr"/>
      <c r="V257">
        <f>IF(OR(L257="",S257=""),"",IF(VALUE(L257)=VALUE(S257),"Y","N"))</f>
        <v/>
      </c>
      <c r="W257">
        <f>IF(V257="Y",S257,"")</f>
        <v/>
      </c>
      <c r="X257" t="inlineStr">
        <is>
          <t>unverified: map has 25 mph (guessed from road type); is it 25 (carts OK) or 30+?</t>
        </is>
      </c>
      <c r="Y257" t="inlineStr"/>
      <c r="Z257" t="n">
        <v>2022</v>
      </c>
      <c r="AA257" t="inlineStr">
        <is>
          <t>sd</t>
        </is>
      </c>
      <c r="AB257" t="inlineStr">
        <is>
          <t>sd|33.15028,-117.32645</t>
        </is>
      </c>
    </row>
    <row r="258">
      <c r="A258" t="inlineStr">
        <is>
          <t>SD-B2-257</t>
        </is>
      </c>
      <c r="B258" t="inlineStr">
        <is>
          <t>San Diego area</t>
        </is>
      </c>
      <c r="C258" t="inlineStr">
        <is>
          <t>Sierra Morena Avenue</t>
        </is>
      </c>
      <c r="D258" t="inlineStr">
        <is>
          <t>Chestnut Avenue</t>
        </is>
      </c>
      <c r="E258" t="inlineStr">
        <is>
          <t>Valewood Avenue</t>
        </is>
      </c>
      <c r="F258" t="inlineStr">
        <is>
          <t>6002249</t>
        </is>
      </c>
      <c r="G258" t="n">
        <v>25</v>
      </c>
      <c r="H258" t="inlineStr">
        <is>
          <t>inferred</t>
        </is>
      </c>
      <c r="I258" t="inlineStr">
        <is>
          <t>cart+LSV</t>
        </is>
      </c>
      <c r="J258" t="inlineStr">
        <is>
          <t>https://www.google.com/maps/@?api=1&amp;map_action=pano&amp;viewpoint=33.156440,-117.311720&amp;heading=123</t>
        </is>
      </c>
      <c r="K258" t="inlineStr">
        <is>
          <t>https://www.google.com/maps/search/?api=1&amp;query=33.156440,-117.311720</t>
        </is>
      </c>
      <c r="L258" t="inlineStr"/>
      <c r="M258" t="inlineStr"/>
      <c r="N258" t="inlineStr"/>
      <c r="O258" t="inlineStr"/>
      <c r="P258" t="inlineStr">
        <is>
          <t>pending</t>
        </is>
      </c>
      <c r="Q258" t="inlineStr"/>
      <c r="R258" t="inlineStr"/>
      <c r="S258" t="inlineStr"/>
      <c r="T258" t="inlineStr"/>
      <c r="U258" t="inlineStr"/>
      <c r="V258">
        <f>IF(OR(L258="",S258=""),"",IF(VALUE(L258)=VALUE(S258),"Y","N"))</f>
        <v/>
      </c>
      <c r="W258">
        <f>IF(V258="Y",S258,"")</f>
        <v/>
      </c>
      <c r="X258" t="inlineStr">
        <is>
          <t>unverified: map has 25 mph (guessed from road type); is it 25 (carts OK) or 30+?</t>
        </is>
      </c>
      <c r="Y258" t="inlineStr"/>
      <c r="Z258" t="n">
        <v>1576</v>
      </c>
      <c r="AA258" t="inlineStr">
        <is>
          <t>sd</t>
        </is>
      </c>
      <c r="AB258" t="inlineStr">
        <is>
          <t>sd|33.15644,-117.31172</t>
        </is>
      </c>
    </row>
    <row r="259">
      <c r="A259" t="inlineStr">
        <is>
          <t>SD-B2-258</t>
        </is>
      </c>
      <c r="B259" t="inlineStr">
        <is>
          <t>San Diego area</t>
        </is>
      </c>
      <c r="C259" t="inlineStr">
        <is>
          <t>Monroe Street</t>
        </is>
      </c>
      <c r="D259" t="inlineStr">
        <is>
          <t>Alder Avenue</t>
        </is>
      </c>
      <c r="E259" t="inlineStr">
        <is>
          <t>Carlsbad Village Drive</t>
        </is>
      </c>
      <c r="F259" t="inlineStr">
        <is>
          <t>594513683</t>
        </is>
      </c>
      <c r="G259" t="n">
        <v>25</v>
      </c>
      <c r="H259" t="inlineStr">
        <is>
          <t>inferred</t>
        </is>
      </c>
      <c r="I259" t="inlineStr">
        <is>
          <t>cart+LSV</t>
        </is>
      </c>
      <c r="J259" t="inlineStr">
        <is>
          <t>https://www.google.com/maps/@?api=1&amp;map_action=pano&amp;viewpoint=33.163520,-117.327640&amp;heading=332</t>
        </is>
      </c>
      <c r="K259" t="inlineStr">
        <is>
          <t>https://www.google.com/maps/search/?api=1&amp;query=33.163520,-117.327640</t>
        </is>
      </c>
      <c r="L259" t="inlineStr"/>
      <c r="M259" t="inlineStr"/>
      <c r="N259" t="inlineStr"/>
      <c r="O259" t="inlineStr"/>
      <c r="P259" t="inlineStr">
        <is>
          <t>pending</t>
        </is>
      </c>
      <c r="Q259" t="inlineStr"/>
      <c r="R259" t="inlineStr"/>
      <c r="S259" t="inlineStr"/>
      <c r="T259" t="inlineStr"/>
      <c r="U259" t="inlineStr"/>
      <c r="V259">
        <f>IF(OR(L259="",S259=""),"",IF(VALUE(L259)=VALUE(S259),"Y","N"))</f>
        <v/>
      </c>
      <c r="W259">
        <f>IF(V259="Y",S259,"")</f>
        <v/>
      </c>
      <c r="X259" t="inlineStr">
        <is>
          <t>unverified: map has 25 mph (guessed from road type); is it 25 (carts OK) or 30+?</t>
        </is>
      </c>
      <c r="Y259" t="inlineStr"/>
      <c r="Z259" t="n">
        <v>1631</v>
      </c>
      <c r="AA259" t="inlineStr">
        <is>
          <t>sd</t>
        </is>
      </c>
      <c r="AB259" t="inlineStr">
        <is>
          <t>sd|33.16352,-117.32764</t>
        </is>
      </c>
    </row>
    <row r="260">
      <c r="A260" t="inlineStr">
        <is>
          <t>SD-B2-259</t>
        </is>
      </c>
      <c r="B260" t="inlineStr">
        <is>
          <t>San Diego area</t>
        </is>
      </c>
      <c r="C260" t="inlineStr">
        <is>
          <t>Highland Drive</t>
        </is>
      </c>
      <c r="D260" t="inlineStr">
        <is>
          <t>Las Flores Drive</t>
        </is>
      </c>
      <c r="E260" t="inlineStr">
        <is>
          <t>Adams Street</t>
        </is>
      </c>
      <c r="F260" t="inlineStr">
        <is>
          <t>225875522</t>
        </is>
      </c>
      <c r="G260" t="n">
        <v>25</v>
      </c>
      <c r="H260" t="inlineStr">
        <is>
          <t>inferred</t>
        </is>
      </c>
      <c r="I260" t="inlineStr">
        <is>
          <t>cart+LSV</t>
        </is>
      </c>
      <c r="J260" t="inlineStr">
        <is>
          <t>https://www.google.com/maps/@?api=1&amp;map_action=pano&amp;viewpoint=33.146220,-117.326530&amp;heading=128</t>
        </is>
      </c>
      <c r="K260" t="inlineStr">
        <is>
          <t>https://www.google.com/maps/search/?api=1&amp;query=33.146220,-117.326530</t>
        </is>
      </c>
      <c r="L260" t="inlineStr"/>
      <c r="M260" t="inlineStr"/>
      <c r="N260" t="inlineStr"/>
      <c r="O260" t="inlineStr"/>
      <c r="P260" t="inlineStr">
        <is>
          <t>pending</t>
        </is>
      </c>
      <c r="Q260" t="inlineStr"/>
      <c r="R260" t="inlineStr"/>
      <c r="S260" t="inlineStr"/>
      <c r="T260" t="inlineStr"/>
      <c r="U260" t="inlineStr"/>
      <c r="V260">
        <f>IF(OR(L260="",S260=""),"",IF(VALUE(L260)=VALUE(S260),"Y","N"))</f>
        <v/>
      </c>
      <c r="W260">
        <f>IF(V260="Y",S260,"")</f>
        <v/>
      </c>
      <c r="X260" t="inlineStr">
        <is>
          <t>unverified: map has 25 mph (guessed from road type); is it 25 (carts OK) or 30+?</t>
        </is>
      </c>
      <c r="Y260" t="inlineStr"/>
      <c r="Z260" t="n">
        <v>3072</v>
      </c>
      <c r="AA260" t="inlineStr">
        <is>
          <t>sd</t>
        </is>
      </c>
      <c r="AB260" t="inlineStr">
        <is>
          <t>sd|33.14622,-117.32653</t>
        </is>
      </c>
    </row>
    <row r="261">
      <c r="A261" t="inlineStr">
        <is>
          <t>SD-B2-260</t>
        </is>
      </c>
      <c r="B261" t="inlineStr">
        <is>
          <t>San Diego area</t>
        </is>
      </c>
      <c r="C261" t="inlineStr">
        <is>
          <t>Chestnut Avenue</t>
        </is>
      </c>
      <c r="D261" t="inlineStr">
        <is>
          <t>Eureka Place</t>
        </is>
      </c>
      <c r="E261" t="inlineStr">
        <is>
          <t>Harding Street</t>
        </is>
      </c>
      <c r="F261" t="inlineStr">
        <is>
          <t>643756078</t>
        </is>
      </c>
      <c r="G261" t="n">
        <v>25</v>
      </c>
      <c r="H261" t="inlineStr">
        <is>
          <t>inferred</t>
        </is>
      </c>
      <c r="I261" t="inlineStr">
        <is>
          <t>cart+LSV</t>
        </is>
      </c>
      <c r="J261" t="inlineStr">
        <is>
          <t>https://www.google.com/maps/@?api=1&amp;map_action=pano&amp;viewpoint=33.161530,-117.329215&amp;heading=87</t>
        </is>
      </c>
      <c r="K261" t="inlineStr">
        <is>
          <t>https://www.google.com/maps/search/?api=1&amp;query=33.161530,-117.329215</t>
        </is>
      </c>
      <c r="L261" t="inlineStr"/>
      <c r="M261" t="inlineStr"/>
      <c r="N261" t="inlineStr"/>
      <c r="O261" t="inlineStr"/>
      <c r="P261" t="inlineStr">
        <is>
          <t>pending</t>
        </is>
      </c>
      <c r="Q261" t="inlineStr"/>
      <c r="R261" t="inlineStr"/>
      <c r="S261" t="inlineStr"/>
      <c r="T261" t="inlineStr"/>
      <c r="U261" t="inlineStr"/>
      <c r="V261">
        <f>IF(OR(L261="",S261=""),"",IF(VALUE(L261)=VALUE(S261),"Y","N"))</f>
        <v/>
      </c>
      <c r="W261">
        <f>IF(V261="Y",S261,"")</f>
        <v/>
      </c>
      <c r="X261" t="inlineStr">
        <is>
          <t>unverified: map has 25 mph (guessed from road type); is it 25 (carts OK) or 30+?</t>
        </is>
      </c>
      <c r="Y261" t="inlineStr"/>
      <c r="Z261" t="n">
        <v>2799</v>
      </c>
      <c r="AA261" t="inlineStr">
        <is>
          <t>sd</t>
        </is>
      </c>
      <c r="AB261" t="inlineStr">
        <is>
          <t>sd|33.16153,-117.32922</t>
        </is>
      </c>
    </row>
    <row r="262">
      <c r="A262" t="inlineStr">
        <is>
          <t>SD-B2-261</t>
        </is>
      </c>
      <c r="B262" t="inlineStr">
        <is>
          <t>San Diego area</t>
        </is>
      </c>
      <c r="C262" t="inlineStr">
        <is>
          <t>Industry Street</t>
        </is>
      </c>
      <c r="D262" t="inlineStr">
        <is>
          <t>(see map link)</t>
        </is>
      </c>
      <c r="E262" t="inlineStr">
        <is>
          <t>South El Camino Real</t>
        </is>
      </c>
      <c r="F262" t="inlineStr">
        <is>
          <t>5995714</t>
        </is>
      </c>
      <c r="G262" t="n">
        <v>25</v>
      </c>
      <c r="H262" t="inlineStr">
        <is>
          <t>inferred</t>
        </is>
      </c>
      <c r="I262" t="inlineStr">
        <is>
          <t>cart+LSV</t>
        </is>
      </c>
      <c r="J262" t="inlineStr">
        <is>
          <t>https://www.google.com/maps/@?api=1&amp;map_action=pano&amp;viewpoint=33.197720,-117.349120&amp;heading=244</t>
        </is>
      </c>
      <c r="K262" t="inlineStr">
        <is>
          <t>https://www.google.com/maps/search/?api=1&amp;query=33.197720,-117.349120</t>
        </is>
      </c>
      <c r="L262" t="inlineStr"/>
      <c r="M262" t="inlineStr"/>
      <c r="N262" t="inlineStr"/>
      <c r="O262" t="inlineStr"/>
      <c r="P262" t="inlineStr">
        <is>
          <t>pending</t>
        </is>
      </c>
      <c r="Q262" t="inlineStr"/>
      <c r="R262" t="inlineStr"/>
      <c r="S262" t="inlineStr"/>
      <c r="T262" t="inlineStr"/>
      <c r="U262" t="inlineStr"/>
      <c r="V262">
        <f>IF(OR(L262="",S262=""),"",IF(VALUE(L262)=VALUE(S262),"Y","N"))</f>
        <v/>
      </c>
      <c r="W262">
        <f>IF(V262="Y",S262,"")</f>
        <v/>
      </c>
      <c r="X262" t="inlineStr">
        <is>
          <t>unverified: map has 25 mph (guessed from road type); is it 25 (carts OK) or 30+?</t>
        </is>
      </c>
      <c r="Y262" t="inlineStr"/>
      <c r="Z262" t="n">
        <v>1828</v>
      </c>
      <c r="AA262" t="inlineStr">
        <is>
          <t>sd</t>
        </is>
      </c>
      <c r="AB262" t="inlineStr">
        <is>
          <t>sd|33.19772,-117.34912</t>
        </is>
      </c>
    </row>
    <row r="263">
      <c r="A263" t="inlineStr">
        <is>
          <t>SD-B2-262</t>
        </is>
      </c>
      <c r="B263" t="inlineStr">
        <is>
          <t>San Diego area</t>
        </is>
      </c>
      <c r="C263" t="inlineStr">
        <is>
          <t>Laurel Road</t>
        </is>
      </c>
      <c r="D263" t="inlineStr">
        <is>
          <t>Dunstan Street</t>
        </is>
      </c>
      <c r="E263" t="inlineStr">
        <is>
          <t>Ivy Road</t>
        </is>
      </c>
      <c r="F263" t="inlineStr">
        <is>
          <t>5940392</t>
        </is>
      </c>
      <c r="G263" t="n">
        <v>25</v>
      </c>
      <c r="H263" t="inlineStr">
        <is>
          <t>inferred</t>
        </is>
      </c>
      <c r="I263" t="inlineStr">
        <is>
          <t>cart+LSV</t>
        </is>
      </c>
      <c r="J263" t="inlineStr">
        <is>
          <t>https://www.google.com/maps/@?api=1&amp;map_action=pano&amp;viewpoint=33.187070,-117.335000&amp;heading=191</t>
        </is>
      </c>
      <c r="K263" t="inlineStr">
        <is>
          <t>https://www.google.com/maps/search/?api=1&amp;query=33.187070,-117.335000</t>
        </is>
      </c>
      <c r="L263" t="inlineStr"/>
      <c r="M263" t="inlineStr"/>
      <c r="N263" t="inlineStr"/>
      <c r="O263" t="inlineStr"/>
      <c r="P263" t="inlineStr">
        <is>
          <t>pending</t>
        </is>
      </c>
      <c r="Q263" t="inlineStr"/>
      <c r="R263" t="inlineStr"/>
      <c r="S263" t="inlineStr"/>
      <c r="T263" t="inlineStr"/>
      <c r="U263" t="inlineStr"/>
      <c r="V263">
        <f>IF(OR(L263="",S263=""),"",IF(VALUE(L263)=VALUE(S263),"Y","N"))</f>
        <v/>
      </c>
      <c r="W263">
        <f>IF(V263="Y",S263,"")</f>
        <v/>
      </c>
      <c r="X263" t="inlineStr">
        <is>
          <t>unverified: map has 25 mph (guessed from road type); is it 25 (carts OK) or 30+?</t>
        </is>
      </c>
      <c r="Y263" t="inlineStr"/>
      <c r="Z263" t="n">
        <v>1571</v>
      </c>
      <c r="AA263" t="inlineStr">
        <is>
          <t>sd</t>
        </is>
      </c>
      <c r="AB263" t="inlineStr">
        <is>
          <t>sd|33.18707,-117.33500</t>
        </is>
      </c>
    </row>
    <row r="264">
      <c r="A264" t="inlineStr">
        <is>
          <t>SD-B2-263</t>
        </is>
      </c>
      <c r="B264" t="inlineStr">
        <is>
          <t>San Diego area</t>
        </is>
      </c>
      <c r="C264" t="inlineStr">
        <is>
          <t>Los Arbolitos Boulevard</t>
        </is>
      </c>
      <c r="D264" t="inlineStr">
        <is>
          <t>(see map link)</t>
        </is>
      </c>
      <c r="E264" t="inlineStr">
        <is>
          <t>North El Camino Real</t>
        </is>
      </c>
      <c r="F264" t="inlineStr">
        <is>
          <t>783852003</t>
        </is>
      </c>
      <c r="G264" t="n">
        <v>25</v>
      </c>
      <c r="H264" t="inlineStr">
        <is>
          <t>inferred</t>
        </is>
      </c>
      <c r="I264" t="inlineStr">
        <is>
          <t>cart+LSV</t>
        </is>
      </c>
      <c r="J264" t="inlineStr">
        <is>
          <t>https://www.google.com/maps/@?api=1&amp;map_action=pano&amp;viewpoint=33.234410,-117.337580&amp;heading=1</t>
        </is>
      </c>
      <c r="K264" t="inlineStr">
        <is>
          <t>https://www.google.com/maps/search/?api=1&amp;query=33.234410,-117.337580</t>
        </is>
      </c>
      <c r="L264" t="inlineStr"/>
      <c r="M264" t="inlineStr"/>
      <c r="N264" t="inlineStr"/>
      <c r="O264" t="inlineStr"/>
      <c r="P264" t="inlineStr">
        <is>
          <t>pending</t>
        </is>
      </c>
      <c r="Q264" t="inlineStr"/>
      <c r="R264" t="inlineStr"/>
      <c r="S264" t="inlineStr"/>
      <c r="T264" t="inlineStr"/>
      <c r="U264" t="inlineStr"/>
      <c r="V264">
        <f>IF(OR(L264="",S264=""),"",IF(VALUE(L264)=VALUE(S264),"Y","N"))</f>
        <v/>
      </c>
      <c r="W264">
        <f>IF(V264="Y",S264,"")</f>
        <v/>
      </c>
      <c r="X264" t="inlineStr">
        <is>
          <t>unverified: map has 25 mph (guessed from road type); is it 25 (carts OK) or 30+?</t>
        </is>
      </c>
      <c r="Y264" t="inlineStr"/>
      <c r="Z264" t="n">
        <v>1817</v>
      </c>
      <c r="AA264" t="inlineStr">
        <is>
          <t>sd</t>
        </is>
      </c>
      <c r="AB264" t="inlineStr">
        <is>
          <t>sd|33.23441,-117.33758</t>
        </is>
      </c>
    </row>
    <row r="265">
      <c r="A265" t="inlineStr">
        <is>
          <t>SD-B2-264</t>
        </is>
      </c>
      <c r="B265" t="inlineStr">
        <is>
          <t>San Diego area</t>
        </is>
      </c>
      <c r="C265" t="inlineStr">
        <is>
          <t>Rivertree Drive</t>
        </is>
      </c>
      <c r="D265" t="inlineStr">
        <is>
          <t>North Foussat Road</t>
        </is>
      </c>
      <c r="E265" t="inlineStr">
        <is>
          <t>Valley Crest Drive</t>
        </is>
      </c>
      <c r="F265" t="inlineStr">
        <is>
          <t>5996719</t>
        </is>
      </c>
      <c r="G265" t="n">
        <v>25</v>
      </c>
      <c r="H265" t="inlineStr">
        <is>
          <t>inferred</t>
        </is>
      </c>
      <c r="I265" t="inlineStr">
        <is>
          <t>cart+LSV</t>
        </is>
      </c>
      <c r="J265" t="inlineStr">
        <is>
          <t>https://www.google.com/maps/@?api=1&amp;map_action=pano&amp;viewpoint=33.237190,-117.345210&amp;heading=292</t>
        </is>
      </c>
      <c r="K265" t="inlineStr">
        <is>
          <t>https://www.google.com/maps/search/?api=1&amp;query=33.237190,-117.345210</t>
        </is>
      </c>
      <c r="L265" t="inlineStr"/>
      <c r="M265" t="inlineStr"/>
      <c r="N265" t="inlineStr"/>
      <c r="O265" t="inlineStr"/>
      <c r="P265" t="inlineStr">
        <is>
          <t>pending</t>
        </is>
      </c>
      <c r="Q265" t="inlineStr"/>
      <c r="R265" t="inlineStr"/>
      <c r="S265" t="inlineStr"/>
      <c r="T265" t="inlineStr"/>
      <c r="U265" t="inlineStr"/>
      <c r="V265">
        <f>IF(OR(L265="",S265=""),"",IF(VALUE(L265)=VALUE(S265),"Y","N"))</f>
        <v/>
      </c>
      <c r="W265">
        <f>IF(V265="Y",S265,"")</f>
        <v/>
      </c>
      <c r="X265" t="inlineStr">
        <is>
          <t>unverified: map has 25 mph (guessed from road type); is it 25 (carts OK) or 30+?</t>
        </is>
      </c>
      <c r="Y265" t="inlineStr"/>
      <c r="Z265" t="n">
        <v>2106</v>
      </c>
      <c r="AA265" t="inlineStr">
        <is>
          <t>sd</t>
        </is>
      </c>
      <c r="AB265" t="inlineStr">
        <is>
          <t>sd|33.23719,-117.34521</t>
        </is>
      </c>
    </row>
    <row r="266">
      <c r="A266" t="inlineStr">
        <is>
          <t>SD-B2-265</t>
        </is>
      </c>
      <c r="B266" t="inlineStr">
        <is>
          <t>San Diego area</t>
        </is>
      </c>
      <c r="C266" t="inlineStr">
        <is>
          <t>Shadow Tree Drive</t>
        </is>
      </c>
      <c r="D266" t="inlineStr">
        <is>
          <t>North Foussat Road</t>
        </is>
      </c>
      <c r="E266" t="inlineStr">
        <is>
          <t>Rivertree Drive</t>
        </is>
      </c>
      <c r="F266" t="inlineStr">
        <is>
          <t>6016983</t>
        </is>
      </c>
      <c r="G266" t="n">
        <v>25</v>
      </c>
      <c r="H266" t="inlineStr">
        <is>
          <t>inferred</t>
        </is>
      </c>
      <c r="I266" t="inlineStr">
        <is>
          <t>cart+LSV</t>
        </is>
      </c>
      <c r="J266" t="inlineStr">
        <is>
          <t>https://www.google.com/maps/@?api=1&amp;map_action=pano&amp;viewpoint=33.235520,-117.349740&amp;heading=360</t>
        </is>
      </c>
      <c r="K266" t="inlineStr">
        <is>
          <t>https://www.google.com/maps/search/?api=1&amp;query=33.235520,-117.349740</t>
        </is>
      </c>
      <c r="L266" t="inlineStr"/>
      <c r="M266" t="inlineStr"/>
      <c r="N266" t="inlineStr"/>
      <c r="O266" t="inlineStr"/>
      <c r="P266" t="inlineStr">
        <is>
          <t>pending</t>
        </is>
      </c>
      <c r="Q266" t="inlineStr"/>
      <c r="R266" t="inlineStr"/>
      <c r="S266" t="inlineStr"/>
      <c r="T266" t="inlineStr"/>
      <c r="U266" t="inlineStr"/>
      <c r="V266">
        <f>IF(OR(L266="",S266=""),"",IF(VALUE(L266)=VALUE(S266),"Y","N"))</f>
        <v/>
      </c>
      <c r="W266">
        <f>IF(V266="Y",S266,"")</f>
        <v/>
      </c>
      <c r="X266" t="inlineStr">
        <is>
          <t>unverified: map has 25 mph (guessed from road type); is it 25 (carts OK) or 30+?</t>
        </is>
      </c>
      <c r="Y266" t="inlineStr"/>
      <c r="Z266" t="n">
        <v>2031</v>
      </c>
      <c r="AA266" t="inlineStr">
        <is>
          <t>sd</t>
        </is>
      </c>
      <c r="AB266" t="inlineStr">
        <is>
          <t>sd|33.23552,-117.34974</t>
        </is>
      </c>
    </row>
    <row r="267">
      <c r="A267" t="inlineStr">
        <is>
          <t>SD-B2-266</t>
        </is>
      </c>
      <c r="B267" t="inlineStr">
        <is>
          <t>San Diego area</t>
        </is>
      </c>
      <c r="C267" t="inlineStr">
        <is>
          <t>Via Rancho Road</t>
        </is>
      </c>
      <c r="D267" t="inlineStr">
        <is>
          <t>Ivey Ranch Road</t>
        </is>
      </c>
      <c r="E267" t="inlineStr">
        <is>
          <t>Mesa Drive</t>
        </is>
      </c>
      <c r="F267" t="inlineStr">
        <is>
          <t>207135816</t>
        </is>
      </c>
      <c r="G267" t="n">
        <v>25</v>
      </c>
      <c r="H267" t="inlineStr">
        <is>
          <t>inferred</t>
        </is>
      </c>
      <c r="I267" t="inlineStr">
        <is>
          <t>cart+LSV</t>
        </is>
      </c>
      <c r="J267" t="inlineStr">
        <is>
          <t>https://www.google.com/maps/@?api=1&amp;map_action=pano&amp;viewpoint=33.219850,-117.315800&amp;heading=236</t>
        </is>
      </c>
      <c r="K267" t="inlineStr">
        <is>
          <t>https://www.google.com/maps/search/?api=1&amp;query=33.219850,-117.315800</t>
        </is>
      </c>
      <c r="L267" t="inlineStr"/>
      <c r="M267" t="inlineStr"/>
      <c r="N267" t="inlineStr"/>
      <c r="O267" t="inlineStr"/>
      <c r="P267" t="inlineStr">
        <is>
          <t>pending</t>
        </is>
      </c>
      <c r="Q267" t="inlineStr"/>
      <c r="R267" t="inlineStr"/>
      <c r="S267" t="inlineStr"/>
      <c r="T267" t="inlineStr"/>
      <c r="U267" t="inlineStr"/>
      <c r="V267">
        <f>IF(OR(L267="",S267=""),"",IF(VALUE(L267)=VALUE(S267),"Y","N"))</f>
        <v/>
      </c>
      <c r="W267">
        <f>IF(V267="Y",S267,"")</f>
        <v/>
      </c>
      <c r="X267" t="inlineStr">
        <is>
          <t>unverified: map has 25 mph (guessed from road type); is it 25 (carts OK) or 30+?</t>
        </is>
      </c>
      <c r="Y267" t="inlineStr"/>
      <c r="Z267" t="n">
        <v>1976</v>
      </c>
      <c r="AA267" t="inlineStr">
        <is>
          <t>sd</t>
        </is>
      </c>
      <c r="AB267" t="inlineStr">
        <is>
          <t>sd|33.21985,-117.31580</t>
        </is>
      </c>
    </row>
    <row r="268">
      <c r="A268" t="inlineStr">
        <is>
          <t>SD-B2-267</t>
        </is>
      </c>
      <c r="B268" t="inlineStr">
        <is>
          <t>San Diego area</t>
        </is>
      </c>
      <c r="C268" t="inlineStr">
        <is>
          <t>Olivenhain Road</t>
        </is>
      </c>
      <c r="D268" t="inlineStr">
        <is>
          <t>Leucadia Boulevard</t>
        </is>
      </c>
      <c r="E268" t="inlineStr">
        <is>
          <t>Los Pinos Circle</t>
        </is>
      </c>
      <c r="F268" t="inlineStr">
        <is>
          <t>169543046</t>
        </is>
      </c>
      <c r="G268" t="n">
        <v>45</v>
      </c>
      <c r="H268" t="inlineStr">
        <is>
          <t>tag</t>
        </is>
      </c>
      <c r="I268" t="inlineStr">
        <is>
          <t>no</t>
        </is>
      </c>
      <c r="J268" t="inlineStr">
        <is>
          <t>https://www.google.com/maps/@?api=1&amp;map_action=pano&amp;viewpoint=33.067460,-117.261400&amp;heading=95</t>
        </is>
      </c>
      <c r="K268" t="inlineStr">
        <is>
          <t>https://www.google.com/maps/search/?api=1&amp;query=33.067460,-117.261400</t>
        </is>
      </c>
      <c r="L268" t="inlineStr"/>
      <c r="M268" t="inlineStr"/>
      <c r="N268" t="inlineStr"/>
      <c r="O268" t="inlineStr"/>
      <c r="P268" t="inlineStr">
        <is>
          <t>pending</t>
        </is>
      </c>
      <c r="Q268" t="inlineStr"/>
      <c r="R268" t="inlineStr"/>
      <c r="S268" t="inlineStr"/>
      <c r="T268" t="inlineStr"/>
      <c r="U268" t="inlineStr"/>
      <c r="V268">
        <f>IF(OR(L268="",S268=""),"",IF(VALUE(L268)=VALUE(S268),"Y","N"))</f>
        <v/>
      </c>
      <c r="W268">
        <f>IF(V268="Y",S268,"")</f>
        <v/>
      </c>
      <c r="X268" t="inlineStr">
        <is>
          <t>unverified: map has 45 mph (OSM tag only); main road: what is posted? 35 or lower opens it to LSVs</t>
        </is>
      </c>
      <c r="Y268" t="inlineStr"/>
      <c r="Z268" t="n">
        <v>1299</v>
      </c>
      <c r="AA268" t="inlineStr">
        <is>
          <t>sd</t>
        </is>
      </c>
      <c r="AB268" t="inlineStr">
        <is>
          <t>sd|33.06746,-117.26140</t>
        </is>
      </c>
    </row>
    <row r="269">
      <c r="A269" t="inlineStr">
        <is>
          <t>SD-B2-268</t>
        </is>
      </c>
      <c r="B269" t="inlineStr">
        <is>
          <t>San Diego area</t>
        </is>
      </c>
      <c r="C269" t="inlineStr">
        <is>
          <t>Hazard Center Drive</t>
        </is>
      </c>
      <c r="D269" t="inlineStr">
        <is>
          <t>Mission Center Road</t>
        </is>
      </c>
      <c r="E269" t="inlineStr">
        <is>
          <t>Frazee Road</t>
        </is>
      </c>
      <c r="F269" t="inlineStr">
        <is>
          <t>436420696</t>
        </is>
      </c>
      <c r="G269" t="inlineStr"/>
      <c r="H269" t="inlineStr">
        <is>
          <t>inferred</t>
        </is>
      </c>
      <c r="I269" t="inlineStr">
        <is>
          <t>no</t>
        </is>
      </c>
      <c r="J269" t="inlineStr">
        <is>
          <t>https://www.google.com/maps/@?api=1&amp;map_action=pano&amp;viewpoint=32.770820,-117.155050&amp;heading=296</t>
        </is>
      </c>
      <c r="K269" t="inlineStr">
        <is>
          <t>https://www.google.com/maps/search/?api=1&amp;query=32.770820,-117.155050</t>
        </is>
      </c>
      <c r="L269" t="inlineStr"/>
      <c r="M269" t="inlineStr"/>
      <c r="N269" t="inlineStr"/>
      <c r="O269" t="inlineStr"/>
      <c r="P269" t="inlineStr">
        <is>
          <t>pending</t>
        </is>
      </c>
      <c r="Q269" t="inlineStr"/>
      <c r="R269" t="inlineStr"/>
      <c r="S269" t="inlineStr"/>
      <c r="T269" t="inlineStr"/>
      <c r="U269" t="inlineStr"/>
      <c r="V269">
        <f>IF(OR(L269="",S269=""),"",IF(VALUE(L269)=VALUE(S269),"Y","N"))</f>
        <v/>
      </c>
      <c r="W269">
        <f>IF(V269="Y",S269,"")</f>
        <v/>
      </c>
      <c r="X269" t="inlineStr">
        <is>
          <t>unverified: map has no limit (guessed from road type); main road: what is posted? 35 or lower opens it to LSVs</t>
        </is>
      </c>
      <c r="Y269" t="inlineStr"/>
      <c r="Z269" t="n">
        <v>998</v>
      </c>
      <c r="AA269" t="inlineStr">
        <is>
          <t>sd</t>
        </is>
      </c>
      <c r="AB269" t="inlineStr">
        <is>
          <t>sd|32.77082,-117.15505</t>
        </is>
      </c>
    </row>
    <row r="270">
      <c r="A270" t="inlineStr">
        <is>
          <t>SD-B2-269</t>
        </is>
      </c>
      <c r="B270" t="inlineStr">
        <is>
          <t>San Diego area</t>
        </is>
      </c>
      <c r="C270" t="inlineStr">
        <is>
          <t>Puerta del Sol</t>
        </is>
      </c>
      <c r="D270" t="inlineStr">
        <is>
          <t>Las Palomas</t>
        </is>
      </c>
      <c r="E270" t="inlineStr">
        <is>
          <t>El Arco Iris</t>
        </is>
      </c>
      <c r="F270" t="inlineStr">
        <is>
          <t>5986377</t>
        </is>
      </c>
      <c r="G270" t="n">
        <v>25</v>
      </c>
      <c r="H270" t="inlineStr">
        <is>
          <t>inferred</t>
        </is>
      </c>
      <c r="I270" t="inlineStr">
        <is>
          <t>cart+LSV</t>
        </is>
      </c>
      <c r="J270" t="inlineStr">
        <is>
          <t>https://www.google.com/maps/@?api=1&amp;map_action=pano&amp;viewpoint=32.999170,-117.215020&amp;heading=331</t>
        </is>
      </c>
      <c r="K270" t="inlineStr">
        <is>
          <t>https://www.google.com/maps/search/?api=1&amp;query=32.999170,-117.215020</t>
        </is>
      </c>
      <c r="L270" t="inlineStr"/>
      <c r="M270" t="inlineStr"/>
      <c r="N270" t="inlineStr"/>
      <c r="O270" t="inlineStr"/>
      <c r="P270" t="inlineStr">
        <is>
          <t>pending</t>
        </is>
      </c>
      <c r="Q270" t="inlineStr"/>
      <c r="R270" t="inlineStr"/>
      <c r="S270" t="inlineStr"/>
      <c r="T270" t="inlineStr"/>
      <c r="U270" t="inlineStr"/>
      <c r="V270">
        <f>IF(OR(L270="",S270=""),"",IF(VALUE(L270)=VALUE(S270),"Y","N"))</f>
        <v/>
      </c>
      <c r="W270">
        <f>IF(V270="Y",S270,"")</f>
        <v/>
      </c>
      <c r="X270" t="inlineStr">
        <is>
          <t>unverified: map has 25 mph (guessed from road type); is it 25 (carts OK) or 30+?</t>
        </is>
      </c>
      <c r="Y270" t="inlineStr"/>
      <c r="Z270" t="n">
        <v>1493</v>
      </c>
      <c r="AA270" t="inlineStr">
        <is>
          <t>sd</t>
        </is>
      </c>
      <c r="AB270" t="inlineStr">
        <is>
          <t>sd|32.99917,-117.21502</t>
        </is>
      </c>
    </row>
    <row r="271">
      <c r="A271" t="inlineStr">
        <is>
          <t>SD-B2-270</t>
        </is>
      </c>
      <c r="B271" t="inlineStr">
        <is>
          <t>San Diego area</t>
        </is>
      </c>
      <c r="C271" t="inlineStr">
        <is>
          <t>8th Avenue</t>
        </is>
      </c>
      <c r="D271" t="inlineStr">
        <is>
          <t>East Beech Street</t>
        </is>
      </c>
      <c r="E271" t="inlineStr">
        <is>
          <t>Cedar Street</t>
        </is>
      </c>
      <c r="F271" t="inlineStr">
        <is>
          <t>5996100</t>
        </is>
      </c>
      <c r="G271" t="n">
        <v>25</v>
      </c>
      <c r="H271" t="inlineStr">
        <is>
          <t>inferred</t>
        </is>
      </c>
      <c r="I271" t="inlineStr">
        <is>
          <t>cart+LSV</t>
        </is>
      </c>
      <c r="J271" t="inlineStr">
        <is>
          <t>https://www.google.com/maps/@?api=1&amp;map_action=pano&amp;viewpoint=32.714150,-117.157425&amp;heading=180</t>
        </is>
      </c>
      <c r="K271" t="inlineStr">
        <is>
          <t>https://www.google.com/maps/search/?api=1&amp;query=32.714150,-117.157425</t>
        </is>
      </c>
      <c r="L271" t="inlineStr"/>
      <c r="M271" t="inlineStr"/>
      <c r="N271" t="inlineStr"/>
      <c r="O271" t="inlineStr"/>
      <c r="P271" t="inlineStr">
        <is>
          <t>pending</t>
        </is>
      </c>
      <c r="Q271" t="inlineStr"/>
      <c r="R271" t="inlineStr"/>
      <c r="S271" t="inlineStr"/>
      <c r="T271" t="inlineStr"/>
      <c r="U271" t="inlineStr"/>
      <c r="V271">
        <f>IF(OR(L271="",S271=""),"",IF(VALUE(L271)=VALUE(S271),"Y","N"))</f>
        <v/>
      </c>
      <c r="W271">
        <f>IF(V271="Y",S271,"")</f>
        <v/>
      </c>
      <c r="X271" t="inlineStr">
        <is>
          <t>unverified: map has 25 mph (guessed from road type); is it 25 (carts OK) or 30+?</t>
        </is>
      </c>
      <c r="Y271" t="inlineStr"/>
      <c r="Z271" t="n">
        <v>1490</v>
      </c>
      <c r="AA271" t="inlineStr">
        <is>
          <t>sd</t>
        </is>
      </c>
      <c r="AB271" t="inlineStr">
        <is>
          <t>sd|32.71415,-117.15743</t>
        </is>
      </c>
    </row>
    <row r="272">
      <c r="A272" t="inlineStr">
        <is>
          <t>SD-B2-271</t>
        </is>
      </c>
      <c r="B272" t="inlineStr">
        <is>
          <t>San Diego area</t>
        </is>
      </c>
      <c r="C272" t="inlineStr">
        <is>
          <t>Melrose Drive</t>
        </is>
      </c>
      <c r="D272" t="inlineStr">
        <is>
          <t>South Rancho Santa Fe Road</t>
        </is>
      </c>
      <c r="E272" t="inlineStr">
        <is>
          <t>Alga Road</t>
        </is>
      </c>
      <c r="F272" t="inlineStr">
        <is>
          <t>274886895</t>
        </is>
      </c>
      <c r="G272" t="inlineStr"/>
      <c r="H272" t="inlineStr">
        <is>
          <t>inferred</t>
        </is>
      </c>
      <c r="I272" t="inlineStr">
        <is>
          <t>no</t>
        </is>
      </c>
      <c r="J272" t="inlineStr">
        <is>
          <t>https://www.google.com/maps/@?api=1&amp;map_action=pano&amp;viewpoint=33.107520,-117.226730&amp;heading=300</t>
        </is>
      </c>
      <c r="K272" t="inlineStr">
        <is>
          <t>https://www.google.com/maps/search/?api=1&amp;query=33.107520,-117.226730</t>
        </is>
      </c>
      <c r="L272" t="inlineStr"/>
      <c r="M272" t="inlineStr"/>
      <c r="N272" t="inlineStr"/>
      <c r="O272" t="inlineStr"/>
      <c r="P272" t="inlineStr">
        <is>
          <t>pending</t>
        </is>
      </c>
      <c r="Q272" t="inlineStr"/>
      <c r="R272" t="inlineStr"/>
      <c r="S272" t="inlineStr"/>
      <c r="T272" t="inlineStr"/>
      <c r="U272" t="inlineStr"/>
      <c r="V272">
        <f>IF(OR(L272="",S272=""),"",IF(VALUE(L272)=VALUE(S272),"Y","N"))</f>
        <v/>
      </c>
      <c r="W272">
        <f>IF(V272="Y",S272,"")</f>
        <v/>
      </c>
      <c r="X272" t="inlineStr">
        <is>
          <t>unverified: map has no limit (guessed from road type); main road: what is posted? 35 or lower opens it to LSVs</t>
        </is>
      </c>
      <c r="Y272" t="inlineStr"/>
      <c r="Z272" t="n">
        <v>992</v>
      </c>
      <c r="AA272" t="inlineStr">
        <is>
          <t>sd</t>
        </is>
      </c>
      <c r="AB272" t="inlineStr">
        <is>
          <t>sd|33.10752,-117.22673</t>
        </is>
      </c>
    </row>
    <row r="273">
      <c r="A273" t="inlineStr">
        <is>
          <t>SD-B2-272</t>
        </is>
      </c>
      <c r="B273" t="inlineStr">
        <is>
          <t>San Diego area</t>
        </is>
      </c>
      <c r="C273" t="inlineStr">
        <is>
          <t>Avocado Road</t>
        </is>
      </c>
      <c r="D273" t="inlineStr">
        <is>
          <t>California Street</t>
        </is>
      </c>
      <c r="E273" t="inlineStr">
        <is>
          <t>Dunstan Street</t>
        </is>
      </c>
      <c r="F273" t="inlineStr">
        <is>
          <t>5990749</t>
        </is>
      </c>
      <c r="G273" t="n">
        <v>25</v>
      </c>
      <c r="H273" t="inlineStr">
        <is>
          <t>inferred</t>
        </is>
      </c>
      <c r="I273" t="inlineStr">
        <is>
          <t>cart+LSV</t>
        </is>
      </c>
      <c r="J273" t="inlineStr">
        <is>
          <t>https://www.google.com/maps/@?api=1&amp;map_action=pano&amp;viewpoint=33.185960,-117.341890&amp;heading=175</t>
        </is>
      </c>
      <c r="K273" t="inlineStr">
        <is>
          <t>https://www.google.com/maps/search/?api=1&amp;query=33.185960,-117.341890</t>
        </is>
      </c>
      <c r="L273" t="inlineStr"/>
      <c r="M273" t="inlineStr"/>
      <c r="N273" t="inlineStr"/>
      <c r="O273" t="inlineStr"/>
      <c r="P273" t="inlineStr">
        <is>
          <t>pending</t>
        </is>
      </c>
      <c r="Q273" t="inlineStr"/>
      <c r="R273" t="inlineStr"/>
      <c r="S273" t="inlineStr"/>
      <c r="T273" t="inlineStr"/>
      <c r="U273" t="inlineStr"/>
      <c r="V273">
        <f>IF(OR(L273="",S273=""),"",IF(VALUE(L273)=VALUE(S273),"Y","N"))</f>
        <v/>
      </c>
      <c r="W273">
        <f>IF(V273="Y",S273,"")</f>
        <v/>
      </c>
      <c r="X273" t="inlineStr">
        <is>
          <t>unverified: map has 25 mph (guessed from road type); is it 25 (carts OK) or 30+?</t>
        </is>
      </c>
      <c r="Y273" t="inlineStr"/>
      <c r="Z273" t="n">
        <v>1484</v>
      </c>
      <c r="AA273" t="inlineStr">
        <is>
          <t>sd</t>
        </is>
      </c>
      <c r="AB273" t="inlineStr">
        <is>
          <t>sd|33.18596,-117.34189</t>
        </is>
      </c>
    </row>
    <row r="274">
      <c r="A274" t="inlineStr">
        <is>
          <t>SD-B2-273</t>
        </is>
      </c>
      <c r="B274" t="inlineStr">
        <is>
          <t>San Diego area</t>
        </is>
      </c>
      <c r="C274" t="inlineStr">
        <is>
          <t>Main Street</t>
        </is>
      </c>
      <c r="D274" t="inlineStr">
        <is>
          <t>South 30th Street</t>
        </is>
      </c>
      <c r="E274" t="inlineStr">
        <is>
          <t>South 27th Street</t>
        </is>
      </c>
      <c r="F274" t="inlineStr">
        <is>
          <t>1236898038</t>
        </is>
      </c>
      <c r="G274" t="inlineStr"/>
      <c r="H274" t="inlineStr">
        <is>
          <t>inferred</t>
        </is>
      </c>
      <c r="I274" t="inlineStr">
        <is>
          <t>no</t>
        </is>
      </c>
      <c r="J274" t="inlineStr">
        <is>
          <t>https://www.google.com/maps/@?api=1&amp;map_action=pano&amp;viewpoint=32.692670,-117.137050&amp;heading=100</t>
        </is>
      </c>
      <c r="K274" t="inlineStr">
        <is>
          <t>https://www.google.com/maps/search/?api=1&amp;query=32.692670,-117.137050</t>
        </is>
      </c>
      <c r="L274" t="inlineStr"/>
      <c r="M274" t="inlineStr"/>
      <c r="N274" t="inlineStr"/>
      <c r="O274" t="inlineStr"/>
      <c r="P274" t="inlineStr">
        <is>
          <t>pending</t>
        </is>
      </c>
      <c r="Q274" t="inlineStr"/>
      <c r="R274" t="inlineStr"/>
      <c r="S274" t="inlineStr"/>
      <c r="T274" t="inlineStr"/>
      <c r="U274" t="inlineStr"/>
      <c r="V274">
        <f>IF(OR(L274="",S274=""),"",IF(VALUE(L274)=VALUE(S274),"Y","N"))</f>
        <v/>
      </c>
      <c r="W274">
        <f>IF(V274="Y",S274,"")</f>
        <v/>
      </c>
      <c r="X274" t="inlineStr">
        <is>
          <t>unverified: map has no limit (guessed from road type); main road: what is posted? 35 or lower opens it to LSVs</t>
        </is>
      </c>
      <c r="Y274" t="inlineStr"/>
      <c r="Z274" t="n">
        <v>1177</v>
      </c>
      <c r="AA274" t="inlineStr">
        <is>
          <t>sd</t>
        </is>
      </c>
      <c r="AB274" t="inlineStr">
        <is>
          <t>sd|32.69267,-117.13705</t>
        </is>
      </c>
    </row>
    <row r="275">
      <c r="A275" t="inlineStr">
        <is>
          <t>SD-B2-274</t>
        </is>
      </c>
      <c r="B275" t="inlineStr">
        <is>
          <t>San Diego area</t>
        </is>
      </c>
      <c r="C275" t="inlineStr">
        <is>
          <t>Lusk Boulevard</t>
        </is>
      </c>
      <c r="D275" t="inlineStr">
        <is>
          <t>Morehouse Drive</t>
        </is>
      </c>
      <c r="E275" t="inlineStr">
        <is>
          <t>Pacific Center Boulevard</t>
        </is>
      </c>
      <c r="F275" t="inlineStr">
        <is>
          <t>678887671</t>
        </is>
      </c>
      <c r="G275" t="inlineStr"/>
      <c r="H275" t="inlineStr">
        <is>
          <t>inferred</t>
        </is>
      </c>
      <c r="I275" t="inlineStr">
        <is>
          <t>no</t>
        </is>
      </c>
      <c r="J275" t="inlineStr">
        <is>
          <t>https://www.google.com/maps/@?api=1&amp;map_action=pano&amp;viewpoint=32.901325,-117.203395&amp;heading=72</t>
        </is>
      </c>
      <c r="K275" t="inlineStr">
        <is>
          <t>https://www.google.com/maps/search/?api=1&amp;query=32.901325,-117.203395</t>
        </is>
      </c>
      <c r="L275" t="inlineStr"/>
      <c r="M275" t="inlineStr"/>
      <c r="N275" t="inlineStr"/>
      <c r="O275" t="inlineStr"/>
      <c r="P275" t="inlineStr">
        <is>
          <t>pending</t>
        </is>
      </c>
      <c r="Q275" t="inlineStr"/>
      <c r="R275" t="inlineStr"/>
      <c r="S275" t="inlineStr"/>
      <c r="T275" t="inlineStr"/>
      <c r="U275" t="inlineStr"/>
      <c r="V275">
        <f>IF(OR(L275="",S275=""),"",IF(VALUE(L275)=VALUE(S275),"Y","N"))</f>
        <v/>
      </c>
      <c r="W275">
        <f>IF(V275="Y",S275,"")</f>
        <v/>
      </c>
      <c r="X275" t="inlineStr">
        <is>
          <t>unverified: map has no limit (guessed from road type); main road: what is posted? 35 or lower opens it to LSVs</t>
        </is>
      </c>
      <c r="Y275" t="inlineStr"/>
      <c r="Z275" t="n">
        <v>1175</v>
      </c>
      <c r="AA275" t="inlineStr">
        <is>
          <t>sd</t>
        </is>
      </c>
      <c r="AB275" t="inlineStr">
        <is>
          <t>sd|32.90132,-117.20340</t>
        </is>
      </c>
    </row>
    <row r="276">
      <c r="A276" t="inlineStr">
        <is>
          <t>SD-B2-275</t>
        </is>
      </c>
      <c r="B276" t="inlineStr">
        <is>
          <t>San Diego area</t>
        </is>
      </c>
      <c r="C276" t="inlineStr">
        <is>
          <t>Tamarack Avenue</t>
        </is>
      </c>
      <c r="D276" t="inlineStr">
        <is>
          <t>(see map link)</t>
        </is>
      </c>
      <c r="E276" t="inlineStr">
        <is>
          <t>College Boulevard</t>
        </is>
      </c>
      <c r="F276" t="inlineStr">
        <is>
          <t>6030967</t>
        </is>
      </c>
      <c r="G276" t="n">
        <v>25</v>
      </c>
      <c r="H276" t="inlineStr">
        <is>
          <t>inferred</t>
        </is>
      </c>
      <c r="I276" t="inlineStr">
        <is>
          <t>cart+LSV</t>
        </is>
      </c>
      <c r="J276" t="inlineStr">
        <is>
          <t>https://www.google.com/maps/@?api=1&amp;map_action=pano&amp;viewpoint=33.170290,-117.292760&amp;heading=278</t>
        </is>
      </c>
      <c r="K276" t="inlineStr">
        <is>
          <t>https://www.google.com/maps/search/?api=1&amp;query=33.170290,-117.292760</t>
        </is>
      </c>
      <c r="L276" t="inlineStr"/>
      <c r="M276" t="inlineStr"/>
      <c r="N276" t="inlineStr"/>
      <c r="O276" t="inlineStr"/>
      <c r="P276" t="inlineStr">
        <is>
          <t>pending</t>
        </is>
      </c>
      <c r="Q276" t="inlineStr"/>
      <c r="R276" t="inlineStr"/>
      <c r="S276" t="inlineStr"/>
      <c r="T276" t="inlineStr"/>
      <c r="U276" t="inlineStr"/>
      <c r="V276">
        <f>IF(OR(L276="",S276=""),"",IF(VALUE(L276)=VALUE(S276),"Y","N"))</f>
        <v/>
      </c>
      <c r="W276">
        <f>IF(V276="Y",S276,"")</f>
        <v/>
      </c>
      <c r="X276" t="inlineStr">
        <is>
          <t>unverified: map has 25 mph (guessed from road type); is it 25 (carts OK) or 30+?</t>
        </is>
      </c>
      <c r="Y276" t="inlineStr"/>
      <c r="Z276" t="n">
        <v>1465</v>
      </c>
      <c r="AA276" t="inlineStr">
        <is>
          <t>sd</t>
        </is>
      </c>
      <c r="AB276" t="inlineStr">
        <is>
          <t>sd|33.17029,-117.29276</t>
        </is>
      </c>
    </row>
    <row r="277">
      <c r="A277" t="inlineStr">
        <is>
          <t>SD-B2-276</t>
        </is>
      </c>
      <c r="B277" t="inlineStr">
        <is>
          <t>San Diego area</t>
        </is>
      </c>
      <c r="C277" t="inlineStr">
        <is>
          <t>Stewart Street</t>
        </is>
      </c>
      <c r="D277" t="inlineStr">
        <is>
          <t>(see map link)</t>
        </is>
      </c>
      <c r="E277" t="inlineStr">
        <is>
          <t>Vista Way</t>
        </is>
      </c>
      <c r="F277" t="inlineStr">
        <is>
          <t>5975416</t>
        </is>
      </c>
      <c r="G277" t="n">
        <v>25</v>
      </c>
      <c r="H277" t="inlineStr">
        <is>
          <t>inferred</t>
        </is>
      </c>
      <c r="I277" t="inlineStr">
        <is>
          <t>cart+LSV</t>
        </is>
      </c>
      <c r="J277" t="inlineStr">
        <is>
          <t>https://www.google.com/maps/@?api=1&amp;map_action=pano&amp;viewpoint=33.179575,-117.356955&amp;heading=324</t>
        </is>
      </c>
      <c r="K277" t="inlineStr">
        <is>
          <t>https://www.google.com/maps/search/?api=1&amp;query=33.179575,-117.356955</t>
        </is>
      </c>
      <c r="L277" t="inlineStr"/>
      <c r="M277" t="inlineStr"/>
      <c r="N277" t="inlineStr"/>
      <c r="O277" t="inlineStr"/>
      <c r="P277" t="inlineStr">
        <is>
          <t>pending</t>
        </is>
      </c>
      <c r="Q277" t="inlineStr"/>
      <c r="R277" t="inlineStr"/>
      <c r="S277" t="inlineStr"/>
      <c r="T277" t="inlineStr"/>
      <c r="U277" t="inlineStr"/>
      <c r="V277">
        <f>IF(OR(L277="",S277=""),"",IF(VALUE(L277)=VALUE(S277),"Y","N"))</f>
        <v/>
      </c>
      <c r="W277">
        <f>IF(V277="Y",S277,"")</f>
        <v/>
      </c>
      <c r="X277" t="inlineStr">
        <is>
          <t>unverified: map has 25 mph (guessed from road type); is it 25 (carts OK) or 30+?</t>
        </is>
      </c>
      <c r="Y277" t="inlineStr"/>
      <c r="Z277" t="n">
        <v>1464</v>
      </c>
      <c r="AA277" t="inlineStr">
        <is>
          <t>sd</t>
        </is>
      </c>
      <c r="AB277" t="inlineStr">
        <is>
          <t>sd|33.17957,-117.35695</t>
        </is>
      </c>
    </row>
    <row r="278">
      <c r="A278" t="inlineStr">
        <is>
          <t>SD-B2-277</t>
        </is>
      </c>
      <c r="B278" t="inlineStr">
        <is>
          <t>San Diego area</t>
        </is>
      </c>
      <c r="C278" t="inlineStr">
        <is>
          <t>Qualcomm Way</t>
        </is>
      </c>
      <c r="D278" t="inlineStr">
        <is>
          <t>(see map link)</t>
        </is>
      </c>
      <c r="E278" t="inlineStr">
        <is>
          <t>Civita Boulevard</t>
        </is>
      </c>
      <c r="F278" t="inlineStr">
        <is>
          <t>436420722</t>
        </is>
      </c>
      <c r="G278" t="inlineStr"/>
      <c r="H278" t="inlineStr">
        <is>
          <t>inferred</t>
        </is>
      </c>
      <c r="I278" t="inlineStr">
        <is>
          <t>no</t>
        </is>
      </c>
      <c r="J278" t="inlineStr">
        <is>
          <t>https://www.google.com/maps/@?api=1&amp;map_action=pano&amp;viewpoint=32.774615,-117.140935&amp;heading=165</t>
        </is>
      </c>
      <c r="K278" t="inlineStr">
        <is>
          <t>https://www.google.com/maps/search/?api=1&amp;query=32.774615,-117.140935</t>
        </is>
      </c>
      <c r="L278" t="inlineStr"/>
      <c r="M278" t="inlineStr"/>
      <c r="N278" t="inlineStr"/>
      <c r="O278" t="inlineStr"/>
      <c r="P278" t="inlineStr">
        <is>
          <t>pending</t>
        </is>
      </c>
      <c r="Q278" t="inlineStr"/>
      <c r="R278" t="inlineStr"/>
      <c r="S278" t="inlineStr"/>
      <c r="T278" t="inlineStr"/>
      <c r="U278" t="inlineStr"/>
      <c r="V278">
        <f>IF(OR(L278="",S278=""),"",IF(VALUE(L278)=VALUE(S278),"Y","N"))</f>
        <v/>
      </c>
      <c r="W278">
        <f>IF(V278="Y",S278,"")</f>
        <v/>
      </c>
      <c r="X278" t="inlineStr">
        <is>
          <t>unverified: map has no limit (guessed from road type); main road: what is posted? 35 or lower opens it to LSVs</t>
        </is>
      </c>
      <c r="Y278" t="inlineStr"/>
      <c r="Z278" t="n">
        <v>974</v>
      </c>
      <c r="AA278" t="inlineStr">
        <is>
          <t>sd</t>
        </is>
      </c>
      <c r="AB278" t="inlineStr">
        <is>
          <t>sd|32.77461,-117.14093</t>
        </is>
      </c>
    </row>
    <row r="279">
      <c r="A279" t="inlineStr">
        <is>
          <t>SD-B2-278</t>
        </is>
      </c>
      <c r="B279" t="inlineStr">
        <is>
          <t>San Diego area</t>
        </is>
      </c>
      <c r="C279" t="inlineStr">
        <is>
          <t>Melrose Way</t>
        </is>
      </c>
      <c r="D279" t="inlineStr">
        <is>
          <t>Sunset Drive</t>
        </is>
      </c>
      <c r="E279" t="inlineStr">
        <is>
          <t>McGavran Drive</t>
        </is>
      </c>
      <c r="F279" t="inlineStr">
        <is>
          <t>5958742</t>
        </is>
      </c>
      <c r="G279" t="n">
        <v>25</v>
      </c>
      <c r="H279" t="inlineStr">
        <is>
          <t>inferred</t>
        </is>
      </c>
      <c r="I279" t="inlineStr">
        <is>
          <t>cart+LSV</t>
        </is>
      </c>
      <c r="J279" t="inlineStr">
        <is>
          <t>https://www.google.com/maps/@?api=1&amp;map_action=pano&amp;viewpoint=33.184490,-117.253900&amp;heading=63</t>
        </is>
      </c>
      <c r="K279" t="inlineStr">
        <is>
          <t>https://www.google.com/maps/search/?api=1&amp;query=33.184490,-117.253900</t>
        </is>
      </c>
      <c r="L279" t="inlineStr"/>
      <c r="M279" t="inlineStr"/>
      <c r="N279" t="inlineStr"/>
      <c r="O279" t="inlineStr"/>
      <c r="P279" t="inlineStr">
        <is>
          <t>pending</t>
        </is>
      </c>
      <c r="Q279" t="inlineStr"/>
      <c r="R279" t="inlineStr"/>
      <c r="S279" t="inlineStr"/>
      <c r="T279" t="inlineStr"/>
      <c r="U279" t="inlineStr"/>
      <c r="V279">
        <f>IF(OR(L279="",S279=""),"",IF(VALUE(L279)=VALUE(S279),"Y","N"))</f>
        <v/>
      </c>
      <c r="W279">
        <f>IF(V279="Y",S279,"")</f>
        <v/>
      </c>
      <c r="X279" t="inlineStr">
        <is>
          <t>unverified: map has 25 mph (guessed from road type); is it 25 (carts OK) or 30+?</t>
        </is>
      </c>
      <c r="Y279" t="inlineStr"/>
      <c r="Z279" t="n">
        <v>1458</v>
      </c>
      <c r="AA279" t="inlineStr">
        <is>
          <t>sd</t>
        </is>
      </c>
      <c r="AB279" t="inlineStr">
        <is>
          <t>sd|33.18449,-117.25390</t>
        </is>
      </c>
    </row>
    <row r="280">
      <c r="A280" t="inlineStr">
        <is>
          <t>SD-B2-279</t>
        </is>
      </c>
      <c r="B280" t="inlineStr">
        <is>
          <t>San Diego area</t>
        </is>
      </c>
      <c r="C280" t="inlineStr">
        <is>
          <t>Emerald Drive</t>
        </is>
      </c>
      <c r="D280" t="inlineStr">
        <is>
          <t>Jonathon Place</t>
        </is>
      </c>
      <c r="E280" t="inlineStr">
        <is>
          <t>Esperanza Way</t>
        </is>
      </c>
      <c r="F280" t="inlineStr">
        <is>
          <t>6051257</t>
        </is>
      </c>
      <c r="G280" t="inlineStr"/>
      <c r="H280" t="inlineStr">
        <is>
          <t>inferred</t>
        </is>
      </c>
      <c r="I280" t="inlineStr">
        <is>
          <t>no</t>
        </is>
      </c>
      <c r="J280" t="inlineStr">
        <is>
          <t>https://www.google.com/maps/@?api=1&amp;map_action=pano&amp;viewpoint=33.202970,-117.279525&amp;heading=360</t>
        </is>
      </c>
      <c r="K280" t="inlineStr">
        <is>
          <t>https://www.google.com/maps/search/?api=1&amp;query=33.202970,-117.279525</t>
        </is>
      </c>
      <c r="L280" t="inlineStr"/>
      <c r="M280" t="inlineStr"/>
      <c r="N280" t="inlineStr"/>
      <c r="O280" t="inlineStr"/>
      <c r="P280" t="inlineStr">
        <is>
          <t>pending</t>
        </is>
      </c>
      <c r="Q280" t="inlineStr"/>
      <c r="R280" t="inlineStr"/>
      <c r="S280" t="inlineStr"/>
      <c r="T280" t="inlineStr"/>
      <c r="U280" t="inlineStr"/>
      <c r="V280">
        <f>IF(OR(L280="",S280=""),"",IF(VALUE(L280)=VALUE(S280),"Y","N"))</f>
        <v/>
      </c>
      <c r="W280">
        <f>IF(V280="Y",S280,"")</f>
        <v/>
      </c>
      <c r="X280" t="inlineStr">
        <is>
          <t>unverified: map has no limit (guessed from road type); main road: what is posted? 35 or lower opens it to LSVs</t>
        </is>
      </c>
      <c r="Y280" t="inlineStr"/>
      <c r="Z280" t="n">
        <v>1161</v>
      </c>
      <c r="AA280" t="inlineStr">
        <is>
          <t>sd</t>
        </is>
      </c>
      <c r="AB280" t="inlineStr">
        <is>
          <t>sd|33.20297,-117.27953</t>
        </is>
      </c>
    </row>
    <row r="281">
      <c r="A281" t="inlineStr">
        <is>
          <t>SD-B2-280</t>
        </is>
      </c>
      <c r="B281" t="inlineStr">
        <is>
          <t>San Diego area</t>
        </is>
      </c>
      <c r="C281" t="inlineStr">
        <is>
          <t>Fenton Parkway</t>
        </is>
      </c>
      <c r="D281" t="inlineStr">
        <is>
          <t>(see map link)</t>
        </is>
      </c>
      <c r="E281" t="inlineStr">
        <is>
          <t>Friars Road</t>
        </is>
      </c>
      <c r="F281" t="inlineStr">
        <is>
          <t>227453844</t>
        </is>
      </c>
      <c r="G281" t="inlineStr"/>
      <c r="H281" t="inlineStr">
        <is>
          <t>inferred</t>
        </is>
      </c>
      <c r="I281" t="inlineStr">
        <is>
          <t>no</t>
        </is>
      </c>
      <c r="J281" t="inlineStr">
        <is>
          <t>https://www.google.com/maps/@?api=1&amp;map_action=pano&amp;viewpoint=32.779190,-117.127550&amp;heading=104</t>
        </is>
      </c>
      <c r="K281" t="inlineStr">
        <is>
          <t>https://www.google.com/maps/search/?api=1&amp;query=32.779190,-117.127550</t>
        </is>
      </c>
      <c r="L281" t="inlineStr"/>
      <c r="M281" t="inlineStr"/>
      <c r="N281" t="inlineStr"/>
      <c r="O281" t="inlineStr"/>
      <c r="P281" t="inlineStr">
        <is>
          <t>pending</t>
        </is>
      </c>
      <c r="Q281" t="inlineStr"/>
      <c r="R281" t="inlineStr"/>
      <c r="S281" t="inlineStr"/>
      <c r="T281" t="inlineStr"/>
      <c r="U281" t="inlineStr"/>
      <c r="V281">
        <f>IF(OR(L281="",S281=""),"",IF(VALUE(L281)=VALUE(S281),"Y","N"))</f>
        <v/>
      </c>
      <c r="W281">
        <f>IF(V281="Y",S281,"")</f>
        <v/>
      </c>
      <c r="X281" t="inlineStr">
        <is>
          <t>unverified: map has no limit (guessed from road type); main road: what is posted? 35 or lower opens it to LSVs</t>
        </is>
      </c>
      <c r="Y281" t="inlineStr"/>
      <c r="Z281" t="n">
        <v>1157</v>
      </c>
      <c r="AA281" t="inlineStr">
        <is>
          <t>sd</t>
        </is>
      </c>
      <c r="AB281" t="inlineStr">
        <is>
          <t>sd|32.77919,-117.12755</t>
        </is>
      </c>
    </row>
    <row r="282">
      <c r="A282" t="inlineStr">
        <is>
          <t>SD-B2-281</t>
        </is>
      </c>
      <c r="B282" t="inlineStr">
        <is>
          <t>San Diego area</t>
        </is>
      </c>
      <c r="C282" t="inlineStr">
        <is>
          <t>El Secreto</t>
        </is>
      </c>
      <c r="D282" t="inlineStr">
        <is>
          <t>Rambla de Las Flores</t>
        </is>
      </c>
      <c r="E282" t="inlineStr">
        <is>
          <t>Avenue Maravillas</t>
        </is>
      </c>
      <c r="F282" t="inlineStr">
        <is>
          <t>6024716</t>
        </is>
      </c>
      <c r="G282" t="n">
        <v>25</v>
      </c>
      <c r="H282" t="inlineStr">
        <is>
          <t>inferred</t>
        </is>
      </c>
      <c r="I282" t="inlineStr">
        <is>
          <t>cart+LSV</t>
        </is>
      </c>
      <c r="J282" t="inlineStr">
        <is>
          <t>https://www.google.com/maps/@?api=1&amp;map_action=pano&amp;viewpoint=33.017330,-117.218070&amp;heading=150</t>
        </is>
      </c>
      <c r="K282" t="inlineStr">
        <is>
          <t>https://www.google.com/maps/search/?api=1&amp;query=33.017330,-117.218070</t>
        </is>
      </c>
      <c r="L282" t="inlineStr"/>
      <c r="M282" t="inlineStr"/>
      <c r="N282" t="inlineStr"/>
      <c r="O282" t="inlineStr"/>
      <c r="P282" t="inlineStr">
        <is>
          <t>pending</t>
        </is>
      </c>
      <c r="Q282" t="inlineStr"/>
      <c r="R282" t="inlineStr"/>
      <c r="S282" t="inlineStr"/>
      <c r="T282" t="inlineStr"/>
      <c r="U282" t="inlineStr"/>
      <c r="V282">
        <f>IF(OR(L282="",S282=""),"",IF(VALUE(L282)=VALUE(S282),"Y","N"))</f>
        <v/>
      </c>
      <c r="W282">
        <f>IF(V282="Y",S282,"")</f>
        <v/>
      </c>
      <c r="X282" t="inlineStr">
        <is>
          <t>unverified: map has 25 mph (guessed from road type); is it 25 (carts OK) or 30+?</t>
        </is>
      </c>
      <c r="Y282" t="inlineStr"/>
      <c r="Z282" t="n">
        <v>1446</v>
      </c>
      <c r="AA282" t="inlineStr">
        <is>
          <t>sd</t>
        </is>
      </c>
      <c r="AB282" t="inlineStr">
        <is>
          <t>sd|33.01733,-117.21807</t>
        </is>
      </c>
    </row>
    <row r="283">
      <c r="A283" t="inlineStr">
        <is>
          <t>SD-B2-282</t>
        </is>
      </c>
      <c r="B283" t="inlineStr">
        <is>
          <t>San Diego area</t>
        </is>
      </c>
      <c r="C283" t="inlineStr">
        <is>
          <t>Front Street</t>
        </is>
      </c>
      <c r="D283" t="inlineStr">
        <is>
          <t>West Harbor Drive</t>
        </is>
      </c>
      <c r="E283" t="inlineStr">
        <is>
          <t>West Date Street</t>
        </is>
      </c>
      <c r="F283" t="inlineStr">
        <is>
          <t>1071843943</t>
        </is>
      </c>
      <c r="G283" t="n">
        <v>25</v>
      </c>
      <c r="H283" t="inlineStr">
        <is>
          <t>tag</t>
        </is>
      </c>
      <c r="I283" t="inlineStr">
        <is>
          <t>cart+LSV</t>
        </is>
      </c>
      <c r="J283" t="inlineStr">
        <is>
          <t>https://www.google.com/maps/@?api=1&amp;map_action=pano&amp;viewpoint=32.721440,-117.164775&amp;heading=179</t>
        </is>
      </c>
      <c r="K283" t="inlineStr">
        <is>
          <t>https://www.google.com/maps/search/?api=1&amp;query=32.721440,-117.164775</t>
        </is>
      </c>
      <c r="L283" t="inlineStr"/>
      <c r="M283" t="inlineStr"/>
      <c r="N283" t="inlineStr"/>
      <c r="O283" t="inlineStr"/>
      <c r="P283" t="inlineStr">
        <is>
          <t>pending</t>
        </is>
      </c>
      <c r="Q283" t="inlineStr"/>
      <c r="R283" t="inlineStr"/>
      <c r="S283" t="inlineStr"/>
      <c r="T283" t="inlineStr"/>
      <c r="U283" t="inlineStr"/>
      <c r="V283">
        <f>IF(OR(L283="",S283=""),"",IF(VALUE(L283)=VALUE(S283),"Y","N"))</f>
        <v/>
      </c>
      <c r="W283">
        <f>IF(V283="Y",S283,"")</f>
        <v/>
      </c>
      <c r="X283" t="inlineStr">
        <is>
          <t>unverified: map has 25 mph (OSM tag only); is it 25 (carts OK) or 30+?</t>
        </is>
      </c>
      <c r="Y283" t="inlineStr"/>
      <c r="Z283" t="n">
        <v>1503</v>
      </c>
      <c r="AA283" t="inlineStr">
        <is>
          <t>sd</t>
        </is>
      </c>
      <c r="AB283" t="inlineStr">
        <is>
          <t>sd|32.72144,-117.16477</t>
        </is>
      </c>
    </row>
    <row r="284">
      <c r="A284" t="inlineStr">
        <is>
          <t>SD-B2-283</t>
        </is>
      </c>
      <c r="B284" t="inlineStr">
        <is>
          <t>San Diego area</t>
        </is>
      </c>
      <c r="C284" t="inlineStr">
        <is>
          <t>Carroll Canyon Road</t>
        </is>
      </c>
      <c r="D284" t="inlineStr">
        <is>
          <t>(see map link)</t>
        </is>
      </c>
      <c r="E284" t="inlineStr">
        <is>
          <t>Scranton Road</t>
        </is>
      </c>
      <c r="F284" t="inlineStr">
        <is>
          <t>5985125</t>
        </is>
      </c>
      <c r="G284" t="n">
        <v>45</v>
      </c>
      <c r="H284" t="inlineStr">
        <is>
          <t>tag</t>
        </is>
      </c>
      <c r="I284" t="inlineStr">
        <is>
          <t>no</t>
        </is>
      </c>
      <c r="J284" t="inlineStr">
        <is>
          <t>https://www.google.com/maps/@?api=1&amp;map_action=pano&amp;viewpoint=32.890470,-117.197120&amp;heading=75</t>
        </is>
      </c>
      <c r="K284" t="inlineStr">
        <is>
          <t>https://www.google.com/maps/search/?api=1&amp;query=32.890470,-117.197120</t>
        </is>
      </c>
      <c r="L284" t="inlineStr"/>
      <c r="M284" t="inlineStr"/>
      <c r="N284" t="inlineStr"/>
      <c r="O284" t="inlineStr"/>
      <c r="P284" t="inlineStr">
        <is>
          <t>pending</t>
        </is>
      </c>
      <c r="Q284" t="inlineStr"/>
      <c r="R284" t="inlineStr"/>
      <c r="S284" t="inlineStr"/>
      <c r="T284" t="inlineStr"/>
      <c r="U284" t="inlineStr"/>
      <c r="V284">
        <f>IF(OR(L284="",S284=""),"",IF(VALUE(L284)=VALUE(S284),"Y","N"))</f>
        <v/>
      </c>
      <c r="W284">
        <f>IF(V284="Y",S284,"")</f>
        <v/>
      </c>
      <c r="X284" t="inlineStr">
        <is>
          <t>unverified: map has 45 mph (OSM tag only); main road: what is posted? 35 or lower opens it to LSVs</t>
        </is>
      </c>
      <c r="Y284" t="inlineStr"/>
      <c r="Z284" t="n">
        <v>1565</v>
      </c>
      <c r="AA284" t="inlineStr">
        <is>
          <t>sd</t>
        </is>
      </c>
      <c r="AB284" t="inlineStr">
        <is>
          <t>sd|32.89047,-117.19712</t>
        </is>
      </c>
    </row>
    <row r="285">
      <c r="A285" t="inlineStr">
        <is>
          <t>SD-B2-284</t>
        </is>
      </c>
      <c r="B285" t="inlineStr">
        <is>
          <t>San Diego area</t>
        </is>
      </c>
      <c r="C285" t="inlineStr">
        <is>
          <t>Nobel Drive</t>
        </is>
      </c>
      <c r="D285" t="inlineStr">
        <is>
          <t>(see map link)</t>
        </is>
      </c>
      <c r="E285" t="inlineStr">
        <is>
          <t>Avenida la Bahia</t>
        </is>
      </c>
      <c r="F285" t="inlineStr">
        <is>
          <t>6046765</t>
        </is>
      </c>
      <c r="G285" t="n">
        <v>45</v>
      </c>
      <c r="H285" t="inlineStr">
        <is>
          <t>tag</t>
        </is>
      </c>
      <c r="I285" t="inlineStr">
        <is>
          <t>no</t>
        </is>
      </c>
      <c r="J285" t="inlineStr">
        <is>
          <t>https://www.google.com/maps/@?api=1&amp;map_action=pano&amp;viewpoint=32.864020,-117.205790&amp;heading=276</t>
        </is>
      </c>
      <c r="K285" t="inlineStr">
        <is>
          <t>https://www.google.com/maps/search/?api=1&amp;query=32.864020,-117.205790</t>
        </is>
      </c>
      <c r="L285" t="inlineStr"/>
      <c r="M285" t="inlineStr"/>
      <c r="N285" t="inlineStr"/>
      <c r="O285" t="inlineStr"/>
      <c r="P285" t="inlineStr">
        <is>
          <t>pending</t>
        </is>
      </c>
      <c r="Q285" t="inlineStr"/>
      <c r="R285" t="inlineStr"/>
      <c r="S285" t="inlineStr"/>
      <c r="T285" t="inlineStr"/>
      <c r="U285" t="inlineStr"/>
      <c r="V285">
        <f>IF(OR(L285="",S285=""),"",IF(VALUE(L285)=VALUE(S285),"Y","N"))</f>
        <v/>
      </c>
      <c r="W285">
        <f>IF(V285="Y",S285,"")</f>
        <v/>
      </c>
      <c r="X285" t="inlineStr">
        <is>
          <t>unverified: map has 45 mph (OSM tag only); main road: what is posted? 35 or lower opens it to LSVs</t>
        </is>
      </c>
      <c r="Y285" t="inlineStr"/>
      <c r="Z285" t="n">
        <v>4920</v>
      </c>
      <c r="AA285" t="inlineStr">
        <is>
          <t>sd</t>
        </is>
      </c>
      <c r="AB285" t="inlineStr">
        <is>
          <t>sd|32.86402,-117.20579</t>
        </is>
      </c>
    </row>
    <row r="286">
      <c r="A286" t="inlineStr">
        <is>
          <t>SD-B2-285</t>
        </is>
      </c>
      <c r="B286" t="inlineStr">
        <is>
          <t>San Diego area</t>
        </is>
      </c>
      <c r="C286" t="inlineStr">
        <is>
          <t>Carroll Road</t>
        </is>
      </c>
      <c r="D286" t="inlineStr">
        <is>
          <t>Miramar Road</t>
        </is>
      </c>
      <c r="E286" t="inlineStr">
        <is>
          <t>Nancy Ridge Drive</t>
        </is>
      </c>
      <c r="F286" t="inlineStr">
        <is>
          <t>594882994</t>
        </is>
      </c>
      <c r="G286" t="n">
        <v>35</v>
      </c>
      <c r="H286" t="inlineStr">
        <is>
          <t>tag</t>
        </is>
      </c>
      <c r="I286" t="inlineStr">
        <is>
          <t>LSV</t>
        </is>
      </c>
      <c r="J286" t="inlineStr">
        <is>
          <t>https://www.google.com/maps/@?api=1&amp;map_action=pano&amp;viewpoint=32.885400,-117.167595&amp;heading=85</t>
        </is>
      </c>
      <c r="K286" t="inlineStr">
        <is>
          <t>https://www.google.com/maps/search/?api=1&amp;query=32.885400,-117.167595</t>
        </is>
      </c>
      <c r="L286" t="inlineStr"/>
      <c r="M286" t="inlineStr"/>
      <c r="N286" t="inlineStr"/>
      <c r="O286" t="inlineStr"/>
      <c r="P286" t="inlineStr">
        <is>
          <t>pending</t>
        </is>
      </c>
      <c r="Q286" t="inlineStr"/>
      <c r="R286" t="inlineStr"/>
      <c r="S286" t="inlineStr"/>
      <c r="T286" t="inlineStr"/>
      <c r="U286" t="inlineStr"/>
      <c r="V286">
        <f>IF(OR(L286="",S286=""),"",IF(VALUE(L286)=VALUE(S286),"Y","N"))</f>
        <v/>
      </c>
      <c r="W286">
        <f>IF(V286="Y",S286,"")</f>
        <v/>
      </c>
      <c r="X286" t="inlineStr">
        <is>
          <t>unverified: map has 35 mph (OSM tag only); is it 35 (LSV OK) or 40+?</t>
        </is>
      </c>
      <c r="Y286" t="inlineStr"/>
      <c r="Z286" t="n">
        <v>1835</v>
      </c>
      <c r="AA286" t="inlineStr">
        <is>
          <t>sd</t>
        </is>
      </c>
      <c r="AB286" t="inlineStr">
        <is>
          <t>sd|32.88540,-117.16760</t>
        </is>
      </c>
    </row>
    <row r="287">
      <c r="A287" t="inlineStr">
        <is>
          <t>SD-B2-286</t>
        </is>
      </c>
      <c r="B287" t="inlineStr">
        <is>
          <t>San Diego area</t>
        </is>
      </c>
      <c r="C287" t="inlineStr">
        <is>
          <t>Kearny Villa Road</t>
        </is>
      </c>
      <c r="D287" t="inlineStr">
        <is>
          <t>(see map link)</t>
        </is>
      </c>
      <c r="E287" t="inlineStr">
        <is>
          <t>Mesa College Drive</t>
        </is>
      </c>
      <c r="F287" t="inlineStr">
        <is>
          <t>436423395</t>
        </is>
      </c>
      <c r="G287" t="n">
        <v>45</v>
      </c>
      <c r="H287" t="inlineStr">
        <is>
          <t>tag</t>
        </is>
      </c>
      <c r="I287" t="inlineStr">
        <is>
          <t>no</t>
        </is>
      </c>
      <c r="J287" t="inlineStr">
        <is>
          <t>https://www.google.com/maps/@?api=1&amp;map_action=pano&amp;viewpoint=32.814320,-117.150140&amp;heading=11</t>
        </is>
      </c>
      <c r="K287" t="inlineStr">
        <is>
          <t>https://www.google.com/maps/search/?api=1&amp;query=32.814320,-117.150140</t>
        </is>
      </c>
      <c r="L287" t="inlineStr"/>
      <c r="M287" t="inlineStr"/>
      <c r="N287" t="inlineStr"/>
      <c r="O287" t="inlineStr"/>
      <c r="P287" t="inlineStr">
        <is>
          <t>pending</t>
        </is>
      </c>
      <c r="Q287" t="inlineStr"/>
      <c r="R287" t="inlineStr"/>
      <c r="S287" t="inlineStr"/>
      <c r="T287" t="inlineStr"/>
      <c r="U287" t="inlineStr"/>
      <c r="V287">
        <f>IF(OR(L287="",S287=""),"",IF(VALUE(L287)=VALUE(S287),"Y","N"))</f>
        <v/>
      </c>
      <c r="W287">
        <f>IF(V287="Y",S287,"")</f>
        <v/>
      </c>
      <c r="X287" t="inlineStr">
        <is>
          <t>unverified: map has 45 mph (OSM tag only); main road: what is posted? 35 or lower opens it to LSVs</t>
        </is>
      </c>
      <c r="Y287" t="inlineStr"/>
      <c r="Z287" t="n">
        <v>2010</v>
      </c>
      <c r="AA287" t="inlineStr">
        <is>
          <t>sd</t>
        </is>
      </c>
      <c r="AB287" t="inlineStr">
        <is>
          <t>sd|32.81432,-117.15014</t>
        </is>
      </c>
    </row>
    <row r="288">
      <c r="A288" t="inlineStr">
        <is>
          <t>SD-B2-287</t>
        </is>
      </c>
      <c r="B288" t="inlineStr">
        <is>
          <t>San Diego area</t>
        </is>
      </c>
      <c r="C288" t="inlineStr">
        <is>
          <t>Governor Drive</t>
        </is>
      </c>
      <c r="D288" t="inlineStr">
        <is>
          <t>Gullstrand Street</t>
        </is>
      </c>
      <c r="E288" t="inlineStr">
        <is>
          <t>Panel Court</t>
        </is>
      </c>
      <c r="F288" t="inlineStr">
        <is>
          <t>235409048</t>
        </is>
      </c>
      <c r="G288" t="n">
        <v>35</v>
      </c>
      <c r="H288" t="inlineStr">
        <is>
          <t>tag</t>
        </is>
      </c>
      <c r="I288" t="inlineStr">
        <is>
          <t>LSV</t>
        </is>
      </c>
      <c r="J288" t="inlineStr">
        <is>
          <t>https://www.google.com/maps/@?api=1&amp;map_action=pano&amp;viewpoint=32.852460,-117.196170&amp;heading=281</t>
        </is>
      </c>
      <c r="K288" t="inlineStr">
        <is>
          <t>https://www.google.com/maps/search/?api=1&amp;query=32.852460,-117.196170</t>
        </is>
      </c>
      <c r="L288" t="inlineStr"/>
      <c r="M288" t="inlineStr"/>
      <c r="N288" t="inlineStr"/>
      <c r="O288" t="inlineStr"/>
      <c r="P288" t="inlineStr">
        <is>
          <t>pending</t>
        </is>
      </c>
      <c r="Q288" t="inlineStr"/>
      <c r="R288" t="inlineStr"/>
      <c r="S288" t="inlineStr"/>
      <c r="T288" t="inlineStr"/>
      <c r="U288" t="inlineStr"/>
      <c r="V288">
        <f>IF(OR(L288="",S288=""),"",IF(VALUE(L288)=VALUE(S288),"Y","N"))</f>
        <v/>
      </c>
      <c r="W288">
        <f>IF(V288="Y",S288,"")</f>
        <v/>
      </c>
      <c r="X288" t="inlineStr">
        <is>
          <t>unverified: map has 35 mph (OSM tag only); is it 35 (LSV OK) or 40+?</t>
        </is>
      </c>
      <c r="Y288" t="inlineStr"/>
      <c r="Z288" t="n">
        <v>2571</v>
      </c>
      <c r="AA288" t="inlineStr">
        <is>
          <t>sd</t>
        </is>
      </c>
      <c r="AB288" t="inlineStr">
        <is>
          <t>sd|32.85246,-117.19617</t>
        </is>
      </c>
    </row>
    <row r="289">
      <c r="A289" t="inlineStr">
        <is>
          <t>SD-B2-288</t>
        </is>
      </c>
      <c r="B289" t="inlineStr">
        <is>
          <t>San Diego area</t>
        </is>
      </c>
      <c r="C289" t="inlineStr">
        <is>
          <t>Eastgate Mall</t>
        </is>
      </c>
      <c r="D289" t="inlineStr">
        <is>
          <t>(see map link)</t>
        </is>
      </c>
      <c r="E289" t="inlineStr">
        <is>
          <t>Towne Centre Drive</t>
        </is>
      </c>
      <c r="F289" t="inlineStr">
        <is>
          <t>120771965</t>
        </is>
      </c>
      <c r="G289" t="n">
        <v>45</v>
      </c>
      <c r="H289" t="inlineStr">
        <is>
          <t>tag</t>
        </is>
      </c>
      <c r="I289" t="inlineStr">
        <is>
          <t>no</t>
        </is>
      </c>
      <c r="J289" t="inlineStr">
        <is>
          <t>https://www.google.com/maps/@?api=1&amp;map_action=pano&amp;viewpoint=32.880340,-117.203535&amp;heading=255</t>
        </is>
      </c>
      <c r="K289" t="inlineStr">
        <is>
          <t>https://www.google.com/maps/search/?api=1&amp;query=32.880340,-117.203535</t>
        </is>
      </c>
      <c r="L289" t="inlineStr"/>
      <c r="M289" t="inlineStr"/>
      <c r="N289" t="inlineStr"/>
      <c r="O289" t="inlineStr"/>
      <c r="P289" t="inlineStr">
        <is>
          <t>pending</t>
        </is>
      </c>
      <c r="Q289" t="inlineStr"/>
      <c r="R289" t="inlineStr"/>
      <c r="S289" t="inlineStr"/>
      <c r="T289" t="inlineStr"/>
      <c r="U289" t="inlineStr"/>
      <c r="V289">
        <f>IF(OR(L289="",S289=""),"",IF(VALUE(L289)=VALUE(S289),"Y","N"))</f>
        <v/>
      </c>
      <c r="W289">
        <f>IF(V289="Y",S289,"")</f>
        <v/>
      </c>
      <c r="X289" t="inlineStr">
        <is>
          <t>unverified: map has 45 mph (OSM tag only); main road: what is posted? 35 or lower opens it to LSVs</t>
        </is>
      </c>
      <c r="Y289" t="inlineStr"/>
      <c r="Z289" t="n">
        <v>2214</v>
      </c>
      <c r="AA289" t="inlineStr">
        <is>
          <t>sd</t>
        </is>
      </c>
      <c r="AB289" t="inlineStr">
        <is>
          <t>sd|32.88034,-117.20354</t>
        </is>
      </c>
    </row>
    <row r="290">
      <c r="A290" t="inlineStr">
        <is>
          <t>SD-B2-289</t>
        </is>
      </c>
      <c r="B290" t="inlineStr">
        <is>
          <t>San Diego area</t>
        </is>
      </c>
      <c r="C290" t="inlineStr">
        <is>
          <t>Sorrento Valley Boulevard</t>
        </is>
      </c>
      <c r="D290" t="inlineStr">
        <is>
          <t>Juniper Park Lane</t>
        </is>
      </c>
      <c r="E290" t="inlineStr">
        <is>
          <t>Whispering Heights Lane</t>
        </is>
      </c>
      <c r="F290" t="inlineStr">
        <is>
          <t>1137959837</t>
        </is>
      </c>
      <c r="G290" t="n">
        <v>45</v>
      </c>
      <c r="H290" t="inlineStr">
        <is>
          <t>tag</t>
        </is>
      </c>
      <c r="I290" t="inlineStr">
        <is>
          <t>no</t>
        </is>
      </c>
      <c r="J290" t="inlineStr">
        <is>
          <t>https://www.google.com/maps/@?api=1&amp;map_action=pano&amp;viewpoint=32.917980,-117.186650&amp;heading=262</t>
        </is>
      </c>
      <c r="K290" t="inlineStr">
        <is>
          <t>https://www.google.com/maps/search/?api=1&amp;query=32.917980,-117.186650</t>
        </is>
      </c>
      <c r="L290" t="inlineStr"/>
      <c r="M290" t="inlineStr"/>
      <c r="N290" t="inlineStr"/>
      <c r="O290" t="inlineStr"/>
      <c r="P290" t="inlineStr">
        <is>
          <t>pending</t>
        </is>
      </c>
      <c r="Q290" t="inlineStr"/>
      <c r="R290" t="inlineStr"/>
      <c r="S290" t="inlineStr"/>
      <c r="T290" t="inlineStr"/>
      <c r="U290" t="inlineStr"/>
      <c r="V290">
        <f>IF(OR(L290="",S290=""),"",IF(VALUE(L290)=VALUE(S290),"Y","N"))</f>
        <v/>
      </c>
      <c r="W290">
        <f>IF(V290="Y",S290,"")</f>
        <v/>
      </c>
      <c r="X290" t="inlineStr">
        <is>
          <t>unverified: map has 45 mph (OSM tag only); main road: what is posted? 35 or lower opens it to LSVs</t>
        </is>
      </c>
      <c r="Y290" t="inlineStr"/>
      <c r="Z290" t="n">
        <v>1742</v>
      </c>
      <c r="AA290" t="inlineStr">
        <is>
          <t>sd</t>
        </is>
      </c>
      <c r="AB290" t="inlineStr">
        <is>
          <t>sd|32.91798,-117.18665</t>
        </is>
      </c>
    </row>
    <row r="291">
      <c r="A291" t="inlineStr">
        <is>
          <t>SD-B2-290</t>
        </is>
      </c>
      <c r="B291" t="inlineStr">
        <is>
          <t>San Diego area</t>
        </is>
      </c>
      <c r="C291" t="inlineStr">
        <is>
          <t>Carmel Mountain Road</t>
        </is>
      </c>
      <c r="D291" t="inlineStr">
        <is>
          <t>Plumcrest Lane</t>
        </is>
      </c>
      <c r="E291" t="inlineStr">
        <is>
          <t>Carmel Country Road</t>
        </is>
      </c>
      <c r="F291" t="inlineStr">
        <is>
          <t>594177000</t>
        </is>
      </c>
      <c r="G291" t="n">
        <v>45</v>
      </c>
      <c r="H291" t="inlineStr">
        <is>
          <t>tag</t>
        </is>
      </c>
      <c r="I291" t="inlineStr">
        <is>
          <t>no</t>
        </is>
      </c>
      <c r="J291" t="inlineStr">
        <is>
          <t>https://www.google.com/maps/@?api=1&amp;map_action=pano&amp;viewpoint=32.927180,-117.201570&amp;heading=267</t>
        </is>
      </c>
      <c r="K291" t="inlineStr">
        <is>
          <t>https://www.google.com/maps/search/?api=1&amp;query=32.927180,-117.201570</t>
        </is>
      </c>
      <c r="L291" t="inlineStr"/>
      <c r="M291" t="inlineStr"/>
      <c r="N291" t="inlineStr"/>
      <c r="O291" t="inlineStr"/>
      <c r="P291" t="inlineStr">
        <is>
          <t>pending</t>
        </is>
      </c>
      <c r="Q291" t="inlineStr"/>
      <c r="R291" t="inlineStr"/>
      <c r="S291" t="inlineStr"/>
      <c r="T291" t="inlineStr"/>
      <c r="U291" t="inlineStr"/>
      <c r="V291">
        <f>IF(OR(L291="",S291=""),"",IF(VALUE(L291)=VALUE(S291),"Y","N"))</f>
        <v/>
      </c>
      <c r="W291">
        <f>IF(V291="Y",S291,"")</f>
        <v/>
      </c>
      <c r="X291" t="inlineStr">
        <is>
          <t>unverified: map has 45 mph (OSM tag only); main road: what is posted? 35 or lower opens it to LSVs</t>
        </is>
      </c>
      <c r="Y291" t="inlineStr"/>
      <c r="Z291" t="n">
        <v>4975</v>
      </c>
      <c r="AA291" t="inlineStr">
        <is>
          <t>sd</t>
        </is>
      </c>
      <c r="AB291" t="inlineStr">
        <is>
          <t>sd|32.92718,-117.20157</t>
        </is>
      </c>
    </row>
    <row r="292">
      <c r="A292" t="inlineStr">
        <is>
          <t>SD-B2-291</t>
        </is>
      </c>
      <c r="B292" t="inlineStr">
        <is>
          <t>San Diego area</t>
        </is>
      </c>
      <c r="C292" t="inlineStr">
        <is>
          <t>Carmel Country Road</t>
        </is>
      </c>
      <c r="D292" t="inlineStr">
        <is>
          <t>Carmel Mountain Road</t>
        </is>
      </c>
      <c r="E292" t="inlineStr">
        <is>
          <t>Clews Ranch Road</t>
        </is>
      </c>
      <c r="F292" t="inlineStr">
        <is>
          <t>260005769</t>
        </is>
      </c>
      <c r="G292" t="n">
        <v>40</v>
      </c>
      <c r="H292" t="inlineStr">
        <is>
          <t>tag</t>
        </is>
      </c>
      <c r="I292" t="inlineStr">
        <is>
          <t>no</t>
        </is>
      </c>
      <c r="J292" t="inlineStr">
        <is>
          <t>https://www.google.com/maps/@?api=1&amp;map_action=pano&amp;viewpoint=32.935740,-117.210440&amp;heading=166</t>
        </is>
      </c>
      <c r="K292" t="inlineStr">
        <is>
          <t>https://www.google.com/maps/search/?api=1&amp;query=32.935740,-117.210440</t>
        </is>
      </c>
      <c r="L292" t="inlineStr"/>
      <c r="M292" t="inlineStr"/>
      <c r="N292" t="inlineStr"/>
      <c r="O292" t="inlineStr"/>
      <c r="P292" t="inlineStr">
        <is>
          <t>pending</t>
        </is>
      </c>
      <c r="Q292" t="inlineStr"/>
      <c r="R292" t="inlineStr"/>
      <c r="S292" t="inlineStr"/>
      <c r="T292" t="inlineStr"/>
      <c r="U292" t="inlineStr"/>
      <c r="V292">
        <f>IF(OR(L292="",S292=""),"",IF(VALUE(L292)=VALUE(S292),"Y","N"))</f>
        <v/>
      </c>
      <c r="W292">
        <f>IF(V292="Y",S292,"")</f>
        <v/>
      </c>
      <c r="X292" t="inlineStr">
        <is>
          <t>unverified: map has 40 mph (OSM tag only); is it 35 (LSV OK) or 40+?</t>
        </is>
      </c>
      <c r="Y292" t="inlineStr"/>
      <c r="Z292" t="n">
        <v>2219</v>
      </c>
      <c r="AA292" t="inlineStr">
        <is>
          <t>sd</t>
        </is>
      </c>
      <c r="AB292" t="inlineStr">
        <is>
          <t>sd|32.93574,-117.21044</t>
        </is>
      </c>
    </row>
    <row r="293">
      <c r="A293" t="inlineStr">
        <is>
          <t>SD-B2-292</t>
        </is>
      </c>
      <c r="B293" t="inlineStr">
        <is>
          <t>San Diego area</t>
        </is>
      </c>
      <c r="C293" t="inlineStr">
        <is>
          <t>Calle Cristobal</t>
        </is>
      </c>
      <c r="D293" t="inlineStr">
        <is>
          <t>Lopez Point</t>
        </is>
      </c>
      <c r="E293" t="inlineStr">
        <is>
          <t>Camino Santa Fe</t>
        </is>
      </c>
      <c r="F293" t="inlineStr">
        <is>
          <t>217102939</t>
        </is>
      </c>
      <c r="G293" t="n">
        <v>45</v>
      </c>
      <c r="H293" t="inlineStr">
        <is>
          <t>tag</t>
        </is>
      </c>
      <c r="I293" t="inlineStr">
        <is>
          <t>no</t>
        </is>
      </c>
      <c r="J293" t="inlineStr">
        <is>
          <t>https://www.google.com/maps/@?api=1&amp;map_action=pano&amp;viewpoint=32.918510,-117.172730&amp;heading=70</t>
        </is>
      </c>
      <c r="K293" t="inlineStr">
        <is>
          <t>https://www.google.com/maps/search/?api=1&amp;query=32.918510,-117.172730</t>
        </is>
      </c>
      <c r="L293" t="inlineStr"/>
      <c r="M293" t="inlineStr"/>
      <c r="N293" t="inlineStr"/>
      <c r="O293" t="inlineStr"/>
      <c r="P293" t="inlineStr">
        <is>
          <t>pending</t>
        </is>
      </c>
      <c r="Q293" t="inlineStr"/>
      <c r="R293" t="inlineStr"/>
      <c r="S293" t="inlineStr"/>
      <c r="T293" t="inlineStr"/>
      <c r="U293" t="inlineStr"/>
      <c r="V293">
        <f>IF(OR(L293="",S293=""),"",IF(VALUE(L293)=VALUE(S293),"Y","N"))</f>
        <v/>
      </c>
      <c r="W293">
        <f>IF(V293="Y",S293,"")</f>
        <v/>
      </c>
      <c r="X293" t="inlineStr">
        <is>
          <t>unverified: map has 45 mph (OSM tag only); main road: what is posted? 35 or lower opens it to LSVs</t>
        </is>
      </c>
      <c r="Y293" t="inlineStr"/>
      <c r="Z293" t="n">
        <v>3658</v>
      </c>
      <c r="AA293" t="inlineStr">
        <is>
          <t>sd</t>
        </is>
      </c>
      <c r="AB293" t="inlineStr">
        <is>
          <t>sd|32.91851,-117.17273</t>
        </is>
      </c>
    </row>
    <row r="294">
      <c r="A294" t="inlineStr">
        <is>
          <t>SD-B2-293</t>
        </is>
      </c>
      <c r="B294" t="inlineStr">
        <is>
          <t>San Diego area</t>
        </is>
      </c>
      <c r="C294" t="inlineStr">
        <is>
          <t>Calle Cristobal</t>
        </is>
      </c>
      <c r="D294" t="inlineStr">
        <is>
          <t>Frames Port Place</t>
        </is>
      </c>
      <c r="E294" t="inlineStr">
        <is>
          <t>Avenida del Gato</t>
        </is>
      </c>
      <c r="F294" t="inlineStr">
        <is>
          <t>5969364</t>
        </is>
      </c>
      <c r="G294" t="n">
        <v>45</v>
      </c>
      <c r="H294" t="inlineStr">
        <is>
          <t>tag</t>
        </is>
      </c>
      <c r="I294" t="inlineStr">
        <is>
          <t>no</t>
        </is>
      </c>
      <c r="J294" t="inlineStr">
        <is>
          <t>https://www.google.com/maps/@?api=1&amp;map_action=pano&amp;viewpoint=32.929430,-117.151980&amp;heading=221</t>
        </is>
      </c>
      <c r="K294" t="inlineStr">
        <is>
          <t>https://www.google.com/maps/search/?api=1&amp;query=32.929430,-117.151980</t>
        </is>
      </c>
      <c r="L294" t="inlineStr"/>
      <c r="M294" t="inlineStr"/>
      <c r="N294" t="inlineStr"/>
      <c r="O294" t="inlineStr"/>
      <c r="P294" t="inlineStr">
        <is>
          <t>pending</t>
        </is>
      </c>
      <c r="Q294" t="inlineStr"/>
      <c r="R294" t="inlineStr"/>
      <c r="S294" t="inlineStr"/>
      <c r="T294" t="inlineStr"/>
      <c r="U294" t="inlineStr"/>
      <c r="V294">
        <f>IF(OR(L294="",S294=""),"",IF(VALUE(L294)=VALUE(S294),"Y","N"))</f>
        <v/>
      </c>
      <c r="W294">
        <f>IF(V294="Y",S294,"")</f>
        <v/>
      </c>
      <c r="X294" t="inlineStr">
        <is>
          <t>unverified: map has 45 mph (OSM tag only); main road: what is posted? 35 or lower opens it to LSVs</t>
        </is>
      </c>
      <c r="Y294" t="inlineStr"/>
      <c r="Z294" t="n">
        <v>1820</v>
      </c>
      <c r="AA294" t="inlineStr">
        <is>
          <t>sd</t>
        </is>
      </c>
      <c r="AB294" t="inlineStr">
        <is>
          <t>sd|32.92943,-117.15198</t>
        </is>
      </c>
    </row>
    <row r="295">
      <c r="A295" t="inlineStr">
        <is>
          <t>SD-B2-294</t>
        </is>
      </c>
      <c r="B295" t="inlineStr">
        <is>
          <t>San Diego area</t>
        </is>
      </c>
      <c r="C295" t="inlineStr">
        <is>
          <t>San Dieguito Road</t>
        </is>
      </c>
      <c r="D295" t="inlineStr">
        <is>
          <t>Camino Santa Fe</t>
        </is>
      </c>
      <c r="E295" t="inlineStr">
        <is>
          <t>Winland Hills Drive</t>
        </is>
      </c>
      <c r="F295" t="inlineStr">
        <is>
          <t>436426925</t>
        </is>
      </c>
      <c r="G295" t="n">
        <v>45</v>
      </c>
      <c r="H295" t="inlineStr">
        <is>
          <t>tag</t>
        </is>
      </c>
      <c r="I295" t="inlineStr">
        <is>
          <t>no</t>
        </is>
      </c>
      <c r="J295" t="inlineStr">
        <is>
          <t>https://www.google.com/maps/@?api=1&amp;map_action=pano&amp;viewpoint=32.984470,-117.203090&amp;heading=269</t>
        </is>
      </c>
      <c r="K295" t="inlineStr">
        <is>
          <t>https://www.google.com/maps/search/?api=1&amp;query=32.984470,-117.203090</t>
        </is>
      </c>
      <c r="L295" t="inlineStr"/>
      <c r="M295" t="inlineStr"/>
      <c r="N295" t="inlineStr"/>
      <c r="O295" t="inlineStr"/>
      <c r="P295" t="inlineStr">
        <is>
          <t>pending</t>
        </is>
      </c>
      <c r="Q295" t="inlineStr"/>
      <c r="R295" t="inlineStr"/>
      <c r="S295" t="inlineStr"/>
      <c r="T295" t="inlineStr"/>
      <c r="U295" t="inlineStr"/>
      <c r="V295">
        <f>IF(OR(L295="",S295=""),"",IF(VALUE(L295)=VALUE(S295),"Y","N"))</f>
        <v/>
      </c>
      <c r="W295">
        <f>IF(V295="Y",S295,"")</f>
        <v/>
      </c>
      <c r="X295" t="inlineStr">
        <is>
          <t>unverified: map has 45 mph (OSM tag only); main road: what is posted? 35 or lower opens it to LSVs</t>
        </is>
      </c>
      <c r="Y295" t="inlineStr"/>
      <c r="Z295" t="n">
        <v>2126</v>
      </c>
      <c r="AA295" t="inlineStr">
        <is>
          <t>sd</t>
        </is>
      </c>
      <c r="AB295" t="inlineStr">
        <is>
          <t>sd|32.98447,-117.20309</t>
        </is>
      </c>
    </row>
    <row r="296">
      <c r="A296" t="inlineStr">
        <is>
          <t>SD-B2-295</t>
        </is>
      </c>
      <c r="B296" t="inlineStr">
        <is>
          <t>San Diego area</t>
        </is>
      </c>
      <c r="C296" t="inlineStr">
        <is>
          <t>La Jolla Scenic Drive North</t>
        </is>
      </c>
      <c r="D296" t="inlineStr">
        <is>
          <t>Moonridge Drive</t>
        </is>
      </c>
      <c r="E296" t="inlineStr">
        <is>
          <t>Sugarman Drive</t>
        </is>
      </c>
      <c r="F296" t="inlineStr">
        <is>
          <t>598765500</t>
        </is>
      </c>
      <c r="G296" t="n">
        <v>30</v>
      </c>
      <c r="H296" t="inlineStr">
        <is>
          <t>tag</t>
        </is>
      </c>
      <c r="I296" t="inlineStr">
        <is>
          <t>LSV</t>
        </is>
      </c>
      <c r="J296" t="inlineStr">
        <is>
          <t>https://www.google.com/maps/@?api=1&amp;map_action=pano&amp;viewpoint=32.861025,-117.239905&amp;heading=0</t>
        </is>
      </c>
      <c r="K296" t="inlineStr">
        <is>
          <t>https://www.google.com/maps/search/?api=1&amp;query=32.861025,-117.239905</t>
        </is>
      </c>
      <c r="L296" t="inlineStr"/>
      <c r="M296" t="inlineStr"/>
      <c r="N296" t="inlineStr"/>
      <c r="O296" t="inlineStr"/>
      <c r="P296" t="inlineStr">
        <is>
          <t>pending</t>
        </is>
      </c>
      <c r="Q296" t="inlineStr"/>
      <c r="R296" t="inlineStr"/>
      <c r="S296" t="inlineStr"/>
      <c r="T296" t="inlineStr"/>
      <c r="U296" t="inlineStr"/>
      <c r="V296">
        <f>IF(OR(L296="",S296=""),"",IF(VALUE(L296)=VALUE(S296),"Y","N"))</f>
        <v/>
      </c>
      <c r="W296">
        <f>IF(V296="Y",S296,"")</f>
        <v/>
      </c>
      <c r="X296" t="inlineStr">
        <is>
          <t>unverified: map has 30 mph (OSM tag only); is it 25 (carts OK) or 30+?</t>
        </is>
      </c>
      <c r="Y296" t="inlineStr"/>
      <c r="Z296" t="n">
        <v>1667</v>
      </c>
      <c r="AA296" t="inlineStr">
        <is>
          <t>sd</t>
        </is>
      </c>
      <c r="AB296" t="inlineStr">
        <is>
          <t>sd|32.86102,-117.23990</t>
        </is>
      </c>
    </row>
    <row r="297">
      <c r="A297" t="inlineStr">
        <is>
          <t>SD-B2-296</t>
        </is>
      </c>
      <c r="B297" t="inlineStr">
        <is>
          <t>San Diego area</t>
        </is>
      </c>
      <c r="C297" t="inlineStr">
        <is>
          <t>Sorrento Valley Road</t>
        </is>
      </c>
      <c r="D297" t="inlineStr">
        <is>
          <t>(see map link)</t>
        </is>
      </c>
      <c r="E297" t="inlineStr">
        <is>
          <t>Tripp Court</t>
        </is>
      </c>
      <c r="F297" t="inlineStr">
        <is>
          <t>436413588</t>
        </is>
      </c>
      <c r="G297" t="n">
        <v>45</v>
      </c>
      <c r="H297" t="inlineStr">
        <is>
          <t>tag</t>
        </is>
      </c>
      <c r="I297" t="inlineStr">
        <is>
          <t>no</t>
        </is>
      </c>
      <c r="J297" t="inlineStr">
        <is>
          <t>https://www.google.com/maps/@?api=1&amp;map_action=pano&amp;viewpoint=32.908760,-117.228830&amp;heading=143</t>
        </is>
      </c>
      <c r="K297" t="inlineStr">
        <is>
          <t>https://www.google.com/maps/search/?api=1&amp;query=32.908760,-117.228830</t>
        </is>
      </c>
      <c r="L297" t="inlineStr"/>
      <c r="M297" t="inlineStr"/>
      <c r="N297" t="inlineStr"/>
      <c r="O297" t="inlineStr"/>
      <c r="P297" t="inlineStr">
        <is>
          <t>pending</t>
        </is>
      </c>
      <c r="Q297" t="inlineStr"/>
      <c r="R297" t="inlineStr"/>
      <c r="S297" t="inlineStr"/>
      <c r="T297" t="inlineStr"/>
      <c r="U297" t="inlineStr"/>
      <c r="V297">
        <f>IF(OR(L297="",S297=""),"",IF(VALUE(L297)=VALUE(S297),"Y","N"))</f>
        <v/>
      </c>
      <c r="W297">
        <f>IF(V297="Y",S297,"")</f>
        <v/>
      </c>
      <c r="X297" t="inlineStr">
        <is>
          <t>unverified: map has 45 mph (OSM tag only); main road: what is posted? 35 or lower opens it to LSVs</t>
        </is>
      </c>
      <c r="Y297" t="inlineStr"/>
      <c r="Z297" t="n">
        <v>2936</v>
      </c>
      <c r="AA297" t="inlineStr">
        <is>
          <t>sd</t>
        </is>
      </c>
      <c r="AB297" t="inlineStr">
        <is>
          <t>sd|32.90876,-117.22883</t>
        </is>
      </c>
    </row>
    <row r="298">
      <c r="A298" t="inlineStr">
        <is>
          <t>SD-B2-297</t>
        </is>
      </c>
      <c r="B298" t="inlineStr">
        <is>
          <t>San Diego area</t>
        </is>
      </c>
      <c r="C298" t="inlineStr">
        <is>
          <t>Carmel Country Road</t>
        </is>
      </c>
      <c r="D298" t="inlineStr">
        <is>
          <t>(see map link)</t>
        </is>
      </c>
      <c r="E298" t="inlineStr">
        <is>
          <t>Del Mar Heights Road</t>
        </is>
      </c>
      <c r="F298" t="inlineStr">
        <is>
          <t>436312484</t>
        </is>
      </c>
      <c r="G298" t="n">
        <v>45</v>
      </c>
      <c r="H298" t="inlineStr">
        <is>
          <t>tag</t>
        </is>
      </c>
      <c r="I298" t="inlineStr">
        <is>
          <t>no</t>
        </is>
      </c>
      <c r="J298" t="inlineStr">
        <is>
          <t>https://www.google.com/maps/@?api=1&amp;map_action=pano&amp;viewpoint=32.945900,-117.224040&amp;heading=103</t>
        </is>
      </c>
      <c r="K298" t="inlineStr">
        <is>
          <t>https://www.google.com/maps/search/?api=1&amp;query=32.945900,-117.224040</t>
        </is>
      </c>
      <c r="L298" t="inlineStr"/>
      <c r="M298" t="inlineStr"/>
      <c r="N298" t="inlineStr"/>
      <c r="O298" t="inlineStr"/>
      <c r="P298" t="inlineStr">
        <is>
          <t>pending</t>
        </is>
      </c>
      <c r="Q298" t="inlineStr"/>
      <c r="R298" t="inlineStr"/>
      <c r="S298" t="inlineStr"/>
      <c r="T298" t="inlineStr"/>
      <c r="U298" t="inlineStr"/>
      <c r="V298">
        <f>IF(OR(L298="",S298=""),"",IF(VALUE(L298)=VALUE(S298),"Y","N"))</f>
        <v/>
      </c>
      <c r="W298">
        <f>IF(V298="Y",S298,"")</f>
        <v/>
      </c>
      <c r="X298" t="inlineStr">
        <is>
          <t>unverified: map has 45 mph (OSM tag only); main road: what is posted? 35 or lower opens it to LSVs</t>
        </is>
      </c>
      <c r="Y298" t="inlineStr"/>
      <c r="Z298" t="n">
        <v>2618</v>
      </c>
      <c r="AA298" t="inlineStr">
        <is>
          <t>sd</t>
        </is>
      </c>
      <c r="AB298" t="inlineStr">
        <is>
          <t>sd|32.94590,-117.22404</t>
        </is>
      </c>
    </row>
    <row r="299">
      <c r="A299" t="inlineStr">
        <is>
          <t>SD-B2-298</t>
        </is>
      </c>
      <c r="B299" t="inlineStr">
        <is>
          <t>San Diego area</t>
        </is>
      </c>
      <c r="C299" t="inlineStr">
        <is>
          <t>Stevens Avenue</t>
        </is>
      </c>
      <c r="D299" t="inlineStr">
        <is>
          <t>Lomas Santa Fe Drive</t>
        </is>
      </c>
      <c r="E299" t="inlineStr">
        <is>
          <t>San Rodolfo Drive</t>
        </is>
      </c>
      <c r="F299" t="inlineStr">
        <is>
          <t>663338072</t>
        </is>
      </c>
      <c r="G299" t="n">
        <v>40</v>
      </c>
      <c r="H299" t="inlineStr">
        <is>
          <t>tag</t>
        </is>
      </c>
      <c r="I299" t="inlineStr">
        <is>
          <t>no</t>
        </is>
      </c>
      <c r="J299" t="inlineStr">
        <is>
          <t>https://www.google.com/maps/@?api=1&amp;map_action=pano&amp;viewpoint=32.987140,-117.259910&amp;heading=170</t>
        </is>
      </c>
      <c r="K299" t="inlineStr">
        <is>
          <t>https://www.google.com/maps/search/?api=1&amp;query=32.987140,-117.259910</t>
        </is>
      </c>
      <c r="L299" t="inlineStr"/>
      <c r="M299" t="inlineStr"/>
      <c r="N299" t="inlineStr"/>
      <c r="O299" t="inlineStr"/>
      <c r="P299" t="inlineStr">
        <is>
          <t>pending</t>
        </is>
      </c>
      <c r="Q299" t="inlineStr"/>
      <c r="R299" t="inlineStr"/>
      <c r="S299" t="inlineStr"/>
      <c r="T299" t="inlineStr"/>
      <c r="U299" t="inlineStr"/>
      <c r="V299">
        <f>IF(OR(L299="",S299=""),"",IF(VALUE(L299)=VALUE(S299),"Y","N"))</f>
        <v/>
      </c>
      <c r="W299">
        <f>IF(V299="Y",S299,"")</f>
        <v/>
      </c>
      <c r="X299" t="inlineStr">
        <is>
          <t>unverified: map has 40 mph (OSM tag only); is it 35 (LSV OK) or 40+?</t>
        </is>
      </c>
      <c r="Y299" t="inlineStr"/>
      <c r="Z299" t="n">
        <v>1508</v>
      </c>
      <c r="AA299" t="inlineStr">
        <is>
          <t>sd</t>
        </is>
      </c>
      <c r="AB299" t="inlineStr">
        <is>
          <t>sd|32.98714,-117.25991</t>
        </is>
      </c>
    </row>
    <row r="300">
      <c r="A300" t="inlineStr">
        <is>
          <t>SD-B2-299</t>
        </is>
      </c>
      <c r="B300" t="inlineStr">
        <is>
          <t>San Diego area</t>
        </is>
      </c>
      <c r="C300" t="inlineStr">
        <is>
          <t>Lomas Santa Fe Drive</t>
        </is>
      </c>
      <c r="D300" t="inlineStr">
        <is>
          <t>Santa Helena</t>
        </is>
      </c>
      <c r="E300" t="inlineStr">
        <is>
          <t>Stevens Avenue</t>
        </is>
      </c>
      <c r="F300" t="inlineStr"/>
      <c r="G300" t="n">
        <v>35</v>
      </c>
      <c r="H300" t="inlineStr">
        <is>
          <t>tag</t>
        </is>
      </c>
      <c r="I300" t="inlineStr">
        <is>
          <t>LSV</t>
        </is>
      </c>
      <c r="J300" t="inlineStr">
        <is>
          <t>https://www.google.com/maps/@?api=1&amp;map_action=pano&amp;viewpoint=32.996010,-117.245065&amp;heading=91</t>
        </is>
      </c>
      <c r="K300" t="inlineStr">
        <is>
          <t>https://www.google.com/maps/search/?api=1&amp;query=32.996010,-117.245065</t>
        </is>
      </c>
      <c r="L300" t="inlineStr"/>
      <c r="M300" t="inlineStr"/>
      <c r="N300" t="inlineStr"/>
      <c r="O300" t="inlineStr"/>
      <c r="P300" t="inlineStr">
        <is>
          <t>pending</t>
        </is>
      </c>
      <c r="Q300" t="inlineStr"/>
      <c r="R300" t="inlineStr"/>
      <c r="S300" t="inlineStr"/>
      <c r="T300" t="inlineStr"/>
      <c r="U300" t="inlineStr"/>
      <c r="V300">
        <f>IF(OR(L300="",S300=""),"",IF(VALUE(L300)=VALUE(S300),"Y","N"))</f>
        <v/>
      </c>
      <c r="W300">
        <f>IF(V300="Y",S300,"")</f>
        <v/>
      </c>
      <c r="X300" t="inlineStr">
        <is>
          <t>unverified: map has 35 mph (OSM tag only); is it 35 (LSV OK) or 40+?</t>
        </is>
      </c>
      <c r="Y300" t="inlineStr"/>
      <c r="Z300" t="n">
        <v>2489</v>
      </c>
      <c r="AA300" t="inlineStr">
        <is>
          <t>sd</t>
        </is>
      </c>
      <c r="AB300" t="inlineStr">
        <is>
          <t>sd|32.99601,-117.24506</t>
        </is>
      </c>
    </row>
    <row r="301">
      <c r="A301" t="inlineStr">
        <is>
          <t>SD-B2-300</t>
        </is>
      </c>
      <c r="B301" t="inlineStr">
        <is>
          <t>San Diego area</t>
        </is>
      </c>
      <c r="C301" t="inlineStr">
        <is>
          <t>Lake Drive</t>
        </is>
      </c>
      <c r="D301" t="inlineStr">
        <is>
          <t>Santa Fe Drive</t>
        </is>
      </c>
      <c r="E301" t="inlineStr">
        <is>
          <t>Sea Village Way</t>
        </is>
      </c>
      <c r="F301" t="inlineStr">
        <is>
          <t>32679191</t>
        </is>
      </c>
      <c r="G301" t="n">
        <v>30</v>
      </c>
      <c r="H301" t="inlineStr">
        <is>
          <t>tag</t>
        </is>
      </c>
      <c r="I301" t="inlineStr">
        <is>
          <t>LSV</t>
        </is>
      </c>
      <c r="J301" t="inlineStr">
        <is>
          <t>https://www.google.com/maps/@?api=1&amp;map_action=pano&amp;viewpoint=33.024100,-117.266520&amp;heading=2</t>
        </is>
      </c>
      <c r="K301" t="inlineStr">
        <is>
          <t>https://www.google.com/maps/search/?api=1&amp;query=33.024100,-117.266520</t>
        </is>
      </c>
      <c r="L301" t="inlineStr"/>
      <c r="M301" t="inlineStr"/>
      <c r="N301" t="inlineStr"/>
      <c r="O301" t="inlineStr"/>
      <c r="P301" t="inlineStr">
        <is>
          <t>pending</t>
        </is>
      </c>
      <c r="Q301" t="inlineStr"/>
      <c r="R301" t="inlineStr"/>
      <c r="S301" t="inlineStr"/>
      <c r="T301" t="inlineStr"/>
      <c r="U301" t="inlineStr"/>
      <c r="V301">
        <f>IF(OR(L301="",S301=""),"",IF(VALUE(L301)=VALUE(S301),"Y","N"))</f>
        <v/>
      </c>
      <c r="W301">
        <f>IF(V301="Y",S301,"")</f>
        <v/>
      </c>
      <c r="X301" t="inlineStr">
        <is>
          <t>unverified: map has 30 mph (OSM tag only); is it 25 (carts OK) or 30+?</t>
        </is>
      </c>
      <c r="Y301" t="inlineStr"/>
      <c r="Z301" t="n">
        <v>2001</v>
      </c>
      <c r="AA301" t="inlineStr">
        <is>
          <t>sd</t>
        </is>
      </c>
      <c r="AB301" t="inlineStr">
        <is>
          <t>sd|33.02410,-117.26652</t>
        </is>
      </c>
    </row>
    <row r="302">
      <c r="A302" t="inlineStr">
        <is>
          <t>SD-B2-301</t>
        </is>
      </c>
      <c r="B302" t="inlineStr">
        <is>
          <t>San Diego area</t>
        </is>
      </c>
      <c r="C302" t="inlineStr">
        <is>
          <t>Rancho Santa Fe Road</t>
        </is>
      </c>
      <c r="D302" t="inlineStr">
        <is>
          <t>(see map link)</t>
        </is>
      </c>
      <c r="E302" t="inlineStr">
        <is>
          <t>Encinitas Boulevard</t>
        </is>
      </c>
      <c r="F302" t="inlineStr">
        <is>
          <t>6027200</t>
        </is>
      </c>
      <c r="G302" t="n">
        <v>40</v>
      </c>
      <c r="H302" t="inlineStr">
        <is>
          <t>tag</t>
        </is>
      </c>
      <c r="I302" t="inlineStr">
        <is>
          <t>no</t>
        </is>
      </c>
      <c r="J302" t="inlineStr">
        <is>
          <t>https://www.google.com/maps/@?api=1&amp;map_action=pano&amp;viewpoint=33.039900,-117.236560&amp;heading=41</t>
        </is>
      </c>
      <c r="K302" t="inlineStr">
        <is>
          <t>https://www.google.com/maps/search/?api=1&amp;query=33.039900,-117.236560</t>
        </is>
      </c>
      <c r="L302" t="inlineStr"/>
      <c r="M302" t="inlineStr"/>
      <c r="N302" t="inlineStr"/>
      <c r="O302" t="inlineStr"/>
      <c r="P302" t="inlineStr">
        <is>
          <t>pending</t>
        </is>
      </c>
      <c r="Q302" t="inlineStr"/>
      <c r="R302" t="inlineStr"/>
      <c r="S302" t="inlineStr"/>
      <c r="T302" t="inlineStr"/>
      <c r="U302" t="inlineStr"/>
      <c r="V302">
        <f>IF(OR(L302="",S302=""),"",IF(VALUE(L302)=VALUE(S302),"Y","N"))</f>
        <v/>
      </c>
      <c r="W302">
        <f>IF(V302="Y",S302,"")</f>
        <v/>
      </c>
      <c r="X302" t="inlineStr">
        <is>
          <t>unverified: map has 40 mph (OSM tag only); is it 35 (LSV OK) or 40+?</t>
        </is>
      </c>
      <c r="Y302" t="inlineStr"/>
      <c r="Z302" t="n">
        <v>1714</v>
      </c>
      <c r="AA302" t="inlineStr">
        <is>
          <t>sd</t>
        </is>
      </c>
      <c r="AB302" t="inlineStr">
        <is>
          <t>sd|33.03990,-117.23656</t>
        </is>
      </c>
    </row>
    <row r="303">
      <c r="A303" t="inlineStr">
        <is>
          <t>SD-B2-302</t>
        </is>
      </c>
      <c r="B303" t="inlineStr">
        <is>
          <t>San Diego area</t>
        </is>
      </c>
      <c r="C303" t="inlineStr">
        <is>
          <t>Calle Barcelona</t>
        </is>
      </c>
      <c r="D303" t="inlineStr">
        <is>
          <t>(see map link)</t>
        </is>
      </c>
      <c r="E303" t="inlineStr">
        <is>
          <t>Woodfern Lane</t>
        </is>
      </c>
      <c r="F303" t="inlineStr">
        <is>
          <t>436278006</t>
        </is>
      </c>
      <c r="G303" t="n">
        <v>40</v>
      </c>
      <c r="H303" t="inlineStr">
        <is>
          <t>tag</t>
        </is>
      </c>
      <c r="I303" t="inlineStr">
        <is>
          <t>no</t>
        </is>
      </c>
      <c r="J303" t="inlineStr">
        <is>
          <t>https://www.google.com/maps/@?api=1&amp;map_action=pano&amp;viewpoint=33.075700,-117.248920&amp;heading=108</t>
        </is>
      </c>
      <c r="K303" t="inlineStr">
        <is>
          <t>https://www.google.com/maps/search/?api=1&amp;query=33.075700,-117.248920</t>
        </is>
      </c>
      <c r="L303" t="inlineStr"/>
      <c r="M303" t="inlineStr"/>
      <c r="N303" t="inlineStr"/>
      <c r="O303" t="inlineStr"/>
      <c r="P303" t="inlineStr">
        <is>
          <t>pending</t>
        </is>
      </c>
      <c r="Q303" t="inlineStr"/>
      <c r="R303" t="inlineStr"/>
      <c r="S303" t="inlineStr"/>
      <c r="T303" t="inlineStr"/>
      <c r="U303" t="inlineStr"/>
      <c r="V303">
        <f>IF(OR(L303="",S303=""),"",IF(VALUE(L303)=VALUE(S303),"Y","N"))</f>
        <v/>
      </c>
      <c r="W303">
        <f>IF(V303="Y",S303,"")</f>
        <v/>
      </c>
      <c r="X303" t="inlineStr">
        <is>
          <t>unverified: map has 40 mph (OSM tag only); is it 35 (LSV OK) or 40+?</t>
        </is>
      </c>
      <c r="Y303" t="inlineStr"/>
      <c r="Z303" t="n">
        <v>4138</v>
      </c>
      <c r="AA303" t="inlineStr">
        <is>
          <t>sd</t>
        </is>
      </c>
      <c r="AB303" t="inlineStr">
        <is>
          <t>sd|33.07570,-117.24892</t>
        </is>
      </c>
    </row>
    <row r="304">
      <c r="A304" t="inlineStr">
        <is>
          <t>SD-B2-303</t>
        </is>
      </c>
      <c r="B304" t="inlineStr">
        <is>
          <t>San Diego area</t>
        </is>
      </c>
      <c r="C304" t="inlineStr">
        <is>
          <t>Quail Gardens Drive</t>
        </is>
      </c>
      <c r="D304" t="inlineStr">
        <is>
          <t>Paseo de Las Flores</t>
        </is>
      </c>
      <c r="E304" t="inlineStr">
        <is>
          <t>Leucadia Boulevard</t>
        </is>
      </c>
      <c r="F304" t="inlineStr">
        <is>
          <t>1028271361</t>
        </is>
      </c>
      <c r="G304" t="n">
        <v>30</v>
      </c>
      <c r="H304" t="inlineStr">
        <is>
          <t>tag</t>
        </is>
      </c>
      <c r="I304" t="inlineStr">
        <is>
          <t>LSV</t>
        </is>
      </c>
      <c r="J304" t="inlineStr">
        <is>
          <t>https://www.google.com/maps/@?api=1&amp;map_action=pano&amp;viewpoint=33.060150,-117.280450&amp;heading=338</t>
        </is>
      </c>
      <c r="K304" t="inlineStr">
        <is>
          <t>https://www.google.com/maps/search/?api=1&amp;query=33.060150,-117.280450</t>
        </is>
      </c>
      <c r="L304" t="inlineStr"/>
      <c r="M304" t="inlineStr"/>
      <c r="N304" t="inlineStr"/>
      <c r="O304" t="inlineStr"/>
      <c r="P304" t="inlineStr">
        <is>
          <t>pending</t>
        </is>
      </c>
      <c r="Q304" t="inlineStr"/>
      <c r="R304" t="inlineStr"/>
      <c r="S304" t="inlineStr"/>
      <c r="T304" t="inlineStr"/>
      <c r="U304" t="inlineStr"/>
      <c r="V304">
        <f>IF(OR(L304="",S304=""),"",IF(VALUE(L304)=VALUE(S304),"Y","N"))</f>
        <v/>
      </c>
      <c r="W304">
        <f>IF(V304="Y",S304,"")</f>
        <v/>
      </c>
      <c r="X304" t="inlineStr">
        <is>
          <t>unverified: map has 30 mph (OSM tag only); is it 25 (carts OK) or 30+?</t>
        </is>
      </c>
      <c r="Y304" t="inlineStr"/>
      <c r="Z304" t="n">
        <v>3068</v>
      </c>
      <c r="AA304" t="inlineStr">
        <is>
          <t>sd</t>
        </is>
      </c>
      <c r="AB304" t="inlineStr">
        <is>
          <t>sd|33.06015,-117.28045</t>
        </is>
      </c>
    </row>
    <row r="305">
      <c r="A305" t="inlineStr">
        <is>
          <t>SD-B2-304</t>
        </is>
      </c>
      <c r="B305" t="inlineStr">
        <is>
          <t>San Diego area</t>
        </is>
      </c>
      <c r="C305" t="inlineStr">
        <is>
          <t>Aviara Parkway</t>
        </is>
      </c>
      <c r="D305" t="inlineStr">
        <is>
          <t>Batiquitos Drive</t>
        </is>
      </c>
      <c r="E305" t="inlineStr">
        <is>
          <t>Ambrosia Lane</t>
        </is>
      </c>
      <c r="F305" t="inlineStr">
        <is>
          <t>293501410</t>
        </is>
      </c>
      <c r="G305" t="n">
        <v>40</v>
      </c>
      <c r="H305" t="inlineStr">
        <is>
          <t>tag</t>
        </is>
      </c>
      <c r="I305" t="inlineStr">
        <is>
          <t>no</t>
        </is>
      </c>
      <c r="J305" t="inlineStr">
        <is>
          <t>https://www.google.com/maps/@?api=1&amp;map_action=pano&amp;viewpoint=33.102190,-117.274910&amp;heading=71</t>
        </is>
      </c>
      <c r="K305" t="inlineStr">
        <is>
          <t>https://www.google.com/maps/search/?api=1&amp;query=33.102190,-117.274910</t>
        </is>
      </c>
      <c r="L305" t="inlineStr"/>
      <c r="M305" t="inlineStr"/>
      <c r="N305" t="inlineStr"/>
      <c r="O305" t="inlineStr"/>
      <c r="P305" t="inlineStr">
        <is>
          <t>pending</t>
        </is>
      </c>
      <c r="Q305" t="inlineStr"/>
      <c r="R305" t="inlineStr"/>
      <c r="S305" t="inlineStr"/>
      <c r="T305" t="inlineStr"/>
      <c r="U305" t="inlineStr"/>
      <c r="V305">
        <f>IF(OR(L305="",S305=""),"",IF(VALUE(L305)=VALUE(S305),"Y","N"))</f>
        <v/>
      </c>
      <c r="W305">
        <f>IF(V305="Y",S305,"")</f>
        <v/>
      </c>
      <c r="X305" t="inlineStr">
        <is>
          <t>unverified: map has 40 mph (OSM tag only); is it 35 (LSV OK) or 40+?</t>
        </is>
      </c>
      <c r="Y305" t="inlineStr"/>
      <c r="Z305" t="n">
        <v>1569</v>
      </c>
      <c r="AA305" t="inlineStr">
        <is>
          <t>sd</t>
        </is>
      </c>
      <c r="AB305" t="inlineStr">
        <is>
          <t>sd|33.10219,-117.27491</t>
        </is>
      </c>
    </row>
    <row r="306">
      <c r="A306" t="inlineStr">
        <is>
          <t>SD-B2-305</t>
        </is>
      </c>
      <c r="B306" t="inlineStr">
        <is>
          <t>San Diego area</t>
        </is>
      </c>
      <c r="C306" t="inlineStr">
        <is>
          <t>Aviara Parkway</t>
        </is>
      </c>
      <c r="D306" t="inlineStr">
        <is>
          <t>Kingfisher Lane</t>
        </is>
      </c>
      <c r="E306" t="inlineStr">
        <is>
          <t>Alga Road</t>
        </is>
      </c>
      <c r="F306" t="inlineStr">
        <is>
          <t>435642107</t>
        </is>
      </c>
      <c r="G306" t="n">
        <v>40</v>
      </c>
      <c r="H306" t="inlineStr">
        <is>
          <t>tag</t>
        </is>
      </c>
      <c r="I306" t="inlineStr">
        <is>
          <t>no</t>
        </is>
      </c>
      <c r="J306" t="inlineStr">
        <is>
          <t>https://www.google.com/maps/@?api=1&amp;map_action=pano&amp;viewpoint=33.102370,-117.274520&amp;heading=273</t>
        </is>
      </c>
      <c r="K306" t="inlineStr">
        <is>
          <t>https://www.google.com/maps/search/?api=1&amp;query=33.102370,-117.274520</t>
        </is>
      </c>
      <c r="L306" t="inlineStr"/>
      <c r="M306" t="inlineStr"/>
      <c r="N306" t="inlineStr"/>
      <c r="O306" t="inlineStr"/>
      <c r="P306" t="inlineStr">
        <is>
          <t>pending</t>
        </is>
      </c>
      <c r="Q306" t="inlineStr"/>
      <c r="R306" t="inlineStr"/>
      <c r="S306" t="inlineStr"/>
      <c r="T306" t="inlineStr"/>
      <c r="U306" t="inlineStr"/>
      <c r="V306">
        <f>IF(OR(L306="",S306=""),"",IF(VALUE(L306)=VALUE(S306),"Y","N"))</f>
        <v/>
      </c>
      <c r="W306">
        <f>IF(V306="Y",S306,"")</f>
        <v/>
      </c>
      <c r="X306" t="inlineStr">
        <is>
          <t>unverified: map has 40 mph (OSM tag only); is it 35 (LSV OK) or 40+?</t>
        </is>
      </c>
      <c r="Y306" t="inlineStr"/>
      <c r="Z306" t="n">
        <v>2999</v>
      </c>
      <c r="AA306" t="inlineStr">
        <is>
          <t>sd</t>
        </is>
      </c>
      <c r="AB306" t="inlineStr">
        <is>
          <t>sd|33.10237,-117.27452</t>
        </is>
      </c>
    </row>
    <row r="307">
      <c r="A307" t="inlineStr">
        <is>
          <t>SD-B2-306</t>
        </is>
      </c>
      <c r="B307" t="inlineStr">
        <is>
          <t>San Diego area</t>
        </is>
      </c>
      <c r="C307" t="inlineStr">
        <is>
          <t>Saxony Road</t>
        </is>
      </c>
      <c r="D307" t="inlineStr">
        <is>
          <t>Normandy Road</t>
        </is>
      </c>
      <c r="E307" t="inlineStr">
        <is>
          <t>La Costa Avenue</t>
        </is>
      </c>
      <c r="F307" t="inlineStr">
        <is>
          <t>744959215</t>
        </is>
      </c>
      <c r="G307" t="n">
        <v>40</v>
      </c>
      <c r="H307" t="inlineStr">
        <is>
          <t>tag</t>
        </is>
      </c>
      <c r="I307" t="inlineStr">
        <is>
          <t>no</t>
        </is>
      </c>
      <c r="J307" t="inlineStr">
        <is>
          <t>https://www.google.com/maps/@?api=1&amp;map_action=pano&amp;viewpoint=33.079560,-117.285300&amp;heading=352</t>
        </is>
      </c>
      <c r="K307" t="inlineStr">
        <is>
          <t>https://www.google.com/maps/search/?api=1&amp;query=33.079560,-117.285300</t>
        </is>
      </c>
      <c r="L307" t="inlineStr"/>
      <c r="M307" t="inlineStr"/>
      <c r="N307" t="inlineStr"/>
      <c r="O307" t="inlineStr"/>
      <c r="P307" t="inlineStr">
        <is>
          <t>pending</t>
        </is>
      </c>
      <c r="Q307" t="inlineStr"/>
      <c r="R307" t="inlineStr"/>
      <c r="S307" t="inlineStr"/>
      <c r="T307" t="inlineStr"/>
      <c r="U307" t="inlineStr"/>
      <c r="V307">
        <f>IF(OR(L307="",S307=""),"",IF(VALUE(L307)=VALUE(S307),"Y","N"))</f>
        <v/>
      </c>
      <c r="W307">
        <f>IF(V307="Y",S307,"")</f>
        <v/>
      </c>
      <c r="X307" t="inlineStr">
        <is>
          <t>unverified: map has 40 mph (OSM tag only); is it 35 (LSV OK) or 40+?</t>
        </is>
      </c>
      <c r="Y307" t="inlineStr"/>
      <c r="Z307" t="n">
        <v>1829</v>
      </c>
      <c r="AA307" t="inlineStr">
        <is>
          <t>sd</t>
        </is>
      </c>
      <c r="AB307" t="inlineStr">
        <is>
          <t>sd|33.07956,-117.28530</t>
        </is>
      </c>
    </row>
    <row r="308">
      <c r="A308" t="inlineStr">
        <is>
          <t>SD-B2-307</t>
        </is>
      </c>
      <c r="B308" t="inlineStr">
        <is>
          <t>San Diego area</t>
        </is>
      </c>
      <c r="C308" t="inlineStr">
        <is>
          <t>Village Park Way</t>
        </is>
      </c>
      <c r="D308" t="inlineStr">
        <is>
          <t>Park Dale Lane</t>
        </is>
      </c>
      <c r="E308" t="inlineStr">
        <is>
          <t>Gatepost Road</t>
        </is>
      </c>
      <c r="F308" t="inlineStr">
        <is>
          <t>6042633</t>
        </is>
      </c>
      <c r="G308" t="n">
        <v>35</v>
      </c>
      <c r="H308" t="inlineStr">
        <is>
          <t>tag</t>
        </is>
      </c>
      <c r="I308" t="inlineStr">
        <is>
          <t>LSV</t>
        </is>
      </c>
      <c r="J308" t="inlineStr">
        <is>
          <t>https://www.google.com/maps/@?api=1&amp;map_action=pano&amp;viewpoint=33.048670,-117.245480&amp;heading=30</t>
        </is>
      </c>
      <c r="K308" t="inlineStr">
        <is>
          <t>https://www.google.com/maps/search/?api=1&amp;query=33.048670,-117.245480</t>
        </is>
      </c>
      <c r="L308" t="inlineStr"/>
      <c r="M308" t="inlineStr"/>
      <c r="N308" t="inlineStr"/>
      <c r="O308" t="inlineStr"/>
      <c r="P308" t="inlineStr">
        <is>
          <t>pending</t>
        </is>
      </c>
      <c r="Q308" t="inlineStr"/>
      <c r="R308" t="inlineStr"/>
      <c r="S308" t="inlineStr"/>
      <c r="T308" t="inlineStr"/>
      <c r="U308" t="inlineStr"/>
      <c r="V308">
        <f>IF(OR(L308="",S308=""),"",IF(VALUE(L308)=VALUE(S308),"Y","N"))</f>
        <v/>
      </c>
      <c r="W308">
        <f>IF(V308="Y",S308,"")</f>
        <v/>
      </c>
      <c r="X308" t="inlineStr">
        <is>
          <t>unverified: map has 35 mph (OSM tag only); is it 35 (LSV OK) or 40+?</t>
        </is>
      </c>
      <c r="Y308" t="inlineStr"/>
      <c r="Z308" t="n">
        <v>2409</v>
      </c>
      <c r="AA308" t="inlineStr">
        <is>
          <t>sd</t>
        </is>
      </c>
      <c r="AB308" t="inlineStr">
        <is>
          <t>sd|33.04867,-117.24548</t>
        </is>
      </c>
    </row>
    <row r="309">
      <c r="A309" t="inlineStr">
        <is>
          <t>SD-B2-308</t>
        </is>
      </c>
      <c r="B309" t="inlineStr">
        <is>
          <t>San Diego area</t>
        </is>
      </c>
      <c r="C309" t="inlineStr">
        <is>
          <t>Alga Road</t>
        </is>
      </c>
      <c r="D309" t="inlineStr">
        <is>
          <t>Aviara Parkway</t>
        </is>
      </c>
      <c r="E309" t="inlineStr">
        <is>
          <t>Corte Casitas</t>
        </is>
      </c>
      <c r="F309" t="inlineStr">
        <is>
          <t>436347438</t>
        </is>
      </c>
      <c r="G309" t="n">
        <v>40</v>
      </c>
      <c r="H309" t="inlineStr">
        <is>
          <t>tag</t>
        </is>
      </c>
      <c r="I309" t="inlineStr">
        <is>
          <t>no</t>
        </is>
      </c>
      <c r="J309" t="inlineStr">
        <is>
          <t>https://www.google.com/maps/@?api=1&amp;map_action=pano&amp;viewpoint=33.100350,-117.255970&amp;heading=87</t>
        </is>
      </c>
      <c r="K309" t="inlineStr">
        <is>
          <t>https://www.google.com/maps/search/?api=1&amp;query=33.100350,-117.255970</t>
        </is>
      </c>
      <c r="L309" t="inlineStr"/>
      <c r="M309" t="inlineStr"/>
      <c r="N309" t="inlineStr"/>
      <c r="O309" t="inlineStr"/>
      <c r="P309" t="inlineStr">
        <is>
          <t>pending</t>
        </is>
      </c>
      <c r="Q309" t="inlineStr"/>
      <c r="R309" t="inlineStr"/>
      <c r="S309" t="inlineStr"/>
      <c r="T309" t="inlineStr"/>
      <c r="U309" t="inlineStr"/>
      <c r="V309">
        <f>IF(OR(L309="",S309=""),"",IF(VALUE(L309)=VALUE(S309),"Y","N"))</f>
        <v/>
      </c>
      <c r="W309">
        <f>IF(V309="Y",S309,"")</f>
        <v/>
      </c>
      <c r="X309" t="inlineStr">
        <is>
          <t>unverified: map has 40 mph (OSM tag only); is it 35 (LSV OK) or 40+?</t>
        </is>
      </c>
      <c r="Y309" t="inlineStr"/>
      <c r="Z309" t="n">
        <v>1991</v>
      </c>
      <c r="AA309" t="inlineStr">
        <is>
          <t>sd</t>
        </is>
      </c>
      <c r="AB309" t="inlineStr">
        <is>
          <t>sd|33.10035,-117.25597</t>
        </is>
      </c>
    </row>
    <row r="310">
      <c r="A310" t="inlineStr">
        <is>
          <t>SD-B2-309</t>
        </is>
      </c>
      <c r="B310" t="inlineStr">
        <is>
          <t>San Diego area</t>
        </is>
      </c>
      <c r="C310" t="inlineStr">
        <is>
          <t>Alga Road</t>
        </is>
      </c>
      <c r="D310" t="inlineStr">
        <is>
          <t>Xana Way</t>
        </is>
      </c>
      <c r="E310" t="inlineStr">
        <is>
          <t>Camino de Amigos</t>
        </is>
      </c>
      <c r="F310" t="inlineStr">
        <is>
          <t>1343350009</t>
        </is>
      </c>
      <c r="G310" t="n">
        <v>40</v>
      </c>
      <c r="H310" t="inlineStr">
        <is>
          <t>tag</t>
        </is>
      </c>
      <c r="I310" t="inlineStr">
        <is>
          <t>no</t>
        </is>
      </c>
      <c r="J310" t="inlineStr">
        <is>
          <t>https://www.google.com/maps/@?api=1&amp;map_action=pano&amp;viewpoint=33.110760,-117.235260&amp;heading=257</t>
        </is>
      </c>
      <c r="K310" t="inlineStr">
        <is>
          <t>https://www.google.com/maps/search/?api=1&amp;query=33.110760,-117.235260</t>
        </is>
      </c>
      <c r="L310" t="inlineStr"/>
      <c r="M310" t="inlineStr"/>
      <c r="N310" t="inlineStr"/>
      <c r="O310" t="inlineStr"/>
      <c r="P310" t="inlineStr">
        <is>
          <t>pending</t>
        </is>
      </c>
      <c r="Q310" t="inlineStr"/>
      <c r="R310" t="inlineStr"/>
      <c r="S310" t="inlineStr"/>
      <c r="T310" t="inlineStr"/>
      <c r="U310" t="inlineStr"/>
      <c r="V310">
        <f>IF(OR(L310="",S310=""),"",IF(VALUE(L310)=VALUE(S310),"Y","N"))</f>
        <v/>
      </c>
      <c r="W310">
        <f>IF(V310="Y",S310,"")</f>
        <v/>
      </c>
      <c r="X310" t="inlineStr">
        <is>
          <t>unverified: map has 40 mph (OSM tag only); is it 35 (LSV OK) or 40+?</t>
        </is>
      </c>
      <c r="Y310" t="inlineStr"/>
      <c r="Z310" t="n">
        <v>1643</v>
      </c>
      <c r="AA310" t="inlineStr">
        <is>
          <t>sd</t>
        </is>
      </c>
      <c r="AB310" t="inlineStr">
        <is>
          <t>sd|33.11076,-117.23526</t>
        </is>
      </c>
    </row>
    <row r="311">
      <c r="A311" t="inlineStr">
        <is>
          <t>SD-B2-310</t>
        </is>
      </c>
      <c r="B311" t="inlineStr">
        <is>
          <t>San Diego area</t>
        </is>
      </c>
      <c r="C311" t="inlineStr">
        <is>
          <t>Grapevine Road</t>
        </is>
      </c>
      <c r="D311" t="inlineStr">
        <is>
          <t>(see map link)</t>
        </is>
      </c>
      <c r="E311" t="inlineStr">
        <is>
          <t>West Vista Way</t>
        </is>
      </c>
      <c r="F311" t="inlineStr">
        <is>
          <t>5996891</t>
        </is>
      </c>
      <c r="G311" t="n">
        <v>25</v>
      </c>
      <c r="H311" t="inlineStr">
        <is>
          <t>tag</t>
        </is>
      </c>
      <c r="I311" t="inlineStr">
        <is>
          <t>cart+LSV</t>
        </is>
      </c>
      <c r="J311" t="inlineStr">
        <is>
          <t>https://www.google.com/maps/@?api=1&amp;map_action=pano&amp;viewpoint=33.203820,-117.273715&amp;heading=360</t>
        </is>
      </c>
      <c r="K311" t="inlineStr">
        <is>
          <t>https://www.google.com/maps/search/?api=1&amp;query=33.203820,-117.273715</t>
        </is>
      </c>
      <c r="L311" t="inlineStr"/>
      <c r="M311" t="inlineStr"/>
      <c r="N311" t="inlineStr"/>
      <c r="O311" t="inlineStr"/>
      <c r="P311" t="inlineStr">
        <is>
          <t>pending</t>
        </is>
      </c>
      <c r="Q311" t="inlineStr"/>
      <c r="R311" t="inlineStr"/>
      <c r="S311" t="inlineStr"/>
      <c r="T311" t="inlineStr"/>
      <c r="U311" t="inlineStr"/>
      <c r="V311">
        <f>IF(OR(L311="",S311=""),"",IF(VALUE(L311)=VALUE(S311),"Y","N"))</f>
        <v/>
      </c>
      <c r="W311">
        <f>IF(V311="Y",S311,"")</f>
        <v/>
      </c>
      <c r="X311" t="inlineStr">
        <is>
          <t>unverified: map has 25 mph (OSM tag only); is it 25 (carts OK) or 30+?</t>
        </is>
      </c>
      <c r="Y311" t="inlineStr"/>
      <c r="Z311" t="n">
        <v>1626</v>
      </c>
      <c r="AA311" t="inlineStr">
        <is>
          <t>sd</t>
        </is>
      </c>
      <c r="AB311" t="inlineStr">
        <is>
          <t>sd|33.20382,-117.27371</t>
        </is>
      </c>
    </row>
    <row r="312">
      <c r="A312" t="inlineStr">
        <is>
          <t>SD-B2-311</t>
        </is>
      </c>
      <c r="B312" t="inlineStr">
        <is>
          <t>San Diego area</t>
        </is>
      </c>
      <c r="C312" t="inlineStr">
        <is>
          <t>Vista Way</t>
        </is>
      </c>
      <c r="D312" t="inlineStr">
        <is>
          <t>Princeton Drive</t>
        </is>
      </c>
      <c r="E312" t="inlineStr">
        <is>
          <t>Valley Glen Drive</t>
        </is>
      </c>
      <c r="F312" t="inlineStr">
        <is>
          <t>436316216</t>
        </is>
      </c>
      <c r="G312" t="n">
        <v>45</v>
      </c>
      <c r="H312" t="inlineStr">
        <is>
          <t>tag</t>
        </is>
      </c>
      <c r="I312" t="inlineStr">
        <is>
          <t>no</t>
        </is>
      </c>
      <c r="J312" t="inlineStr">
        <is>
          <t>https://www.google.com/maps/@?api=1&amp;map_action=pano&amp;viewpoint=33.181970,-117.303525&amp;heading=76</t>
        </is>
      </c>
      <c r="K312" t="inlineStr">
        <is>
          <t>https://www.google.com/maps/search/?api=1&amp;query=33.181970,-117.303525</t>
        </is>
      </c>
      <c r="L312" t="inlineStr"/>
      <c r="M312" t="inlineStr"/>
      <c r="N312" t="inlineStr"/>
      <c r="O312" t="inlineStr"/>
      <c r="P312" t="inlineStr">
        <is>
          <t>pending</t>
        </is>
      </c>
      <c r="Q312" t="inlineStr"/>
      <c r="R312" t="inlineStr"/>
      <c r="S312" t="inlineStr"/>
      <c r="T312" t="inlineStr"/>
      <c r="U312" t="inlineStr"/>
      <c r="V312">
        <f>IF(OR(L312="",S312=""),"",IF(VALUE(L312)=VALUE(S312),"Y","N"))</f>
        <v/>
      </c>
      <c r="W312">
        <f>IF(V312="Y",S312,"")</f>
        <v/>
      </c>
      <c r="X312" t="inlineStr">
        <is>
          <t>unverified: map has 45 mph (OSM tag only); main road: what is posted? 35 or lower opens it to LSVs</t>
        </is>
      </c>
      <c r="Y312" t="inlineStr"/>
      <c r="Z312" t="n">
        <v>3003</v>
      </c>
      <c r="AA312" t="inlineStr">
        <is>
          <t>sd</t>
        </is>
      </c>
      <c r="AB312" t="inlineStr">
        <is>
          <t>sd|33.18197,-117.30353</t>
        </is>
      </c>
    </row>
    <row r="313">
      <c r="A313" t="inlineStr">
        <is>
          <t>SD-B2-312</t>
        </is>
      </c>
      <c r="B313" t="inlineStr">
        <is>
          <t>San Diego area</t>
        </is>
      </c>
      <c r="C313" t="inlineStr">
        <is>
          <t>Paseo del Norte</t>
        </is>
      </c>
      <c r="D313" t="inlineStr">
        <is>
          <t>Cannon Road</t>
        </is>
      </c>
      <c r="E313" t="inlineStr">
        <is>
          <t>Car Country Drive</t>
        </is>
      </c>
      <c r="F313" t="inlineStr">
        <is>
          <t>1028963528</t>
        </is>
      </c>
      <c r="G313" t="n">
        <v>35</v>
      </c>
      <c r="H313" t="inlineStr">
        <is>
          <t>tag</t>
        </is>
      </c>
      <c r="I313" t="inlineStr">
        <is>
          <t>LSV</t>
        </is>
      </c>
      <c r="J313" t="inlineStr">
        <is>
          <t>https://www.google.com/maps/@?api=1&amp;map_action=pano&amp;viewpoint=33.129575,-117.325260&amp;heading=137</t>
        </is>
      </c>
      <c r="K313" t="inlineStr">
        <is>
          <t>https://www.google.com/maps/search/?api=1&amp;query=33.129575,-117.325260</t>
        </is>
      </c>
      <c r="L313" t="inlineStr"/>
      <c r="M313" t="inlineStr"/>
      <c r="N313" t="inlineStr"/>
      <c r="O313" t="inlineStr"/>
      <c r="P313" t="inlineStr">
        <is>
          <t>pending</t>
        </is>
      </c>
      <c r="Q313" t="inlineStr"/>
      <c r="R313" t="inlineStr"/>
      <c r="S313" t="inlineStr"/>
      <c r="T313" t="inlineStr"/>
      <c r="U313" t="inlineStr"/>
      <c r="V313">
        <f>IF(OR(L313="",S313=""),"",IF(VALUE(L313)=VALUE(S313),"Y","N"))</f>
        <v/>
      </c>
      <c r="W313">
        <f>IF(V313="Y",S313,"")</f>
        <v/>
      </c>
      <c r="X313" t="inlineStr">
        <is>
          <t>unverified: map has 35 mph (OSM tag only); is it 35 (LSV OK) or 40+?</t>
        </is>
      </c>
      <c r="Y313" t="inlineStr"/>
      <c r="Z313" t="n">
        <v>1857</v>
      </c>
      <c r="AA313" t="inlineStr">
        <is>
          <t>sd</t>
        </is>
      </c>
      <c r="AB313" t="inlineStr">
        <is>
          <t>sd|33.12958,-117.32526</t>
        </is>
      </c>
    </row>
    <row r="314">
      <c r="A314" t="inlineStr">
        <is>
          <t>SD-B2-313</t>
        </is>
      </c>
      <c r="B314" t="inlineStr">
        <is>
          <t>San Diego area</t>
        </is>
      </c>
      <c r="C314" t="inlineStr">
        <is>
          <t>Rancho del Oro Road</t>
        </is>
      </c>
      <c r="D314" t="inlineStr">
        <is>
          <t>Rancho del Oro Drive</t>
        </is>
      </c>
      <c r="E314" t="inlineStr">
        <is>
          <t>Cameo Drive</t>
        </is>
      </c>
      <c r="F314" t="inlineStr">
        <is>
          <t>436315763</t>
        </is>
      </c>
      <c r="G314" t="n">
        <v>35</v>
      </c>
      <c r="H314" t="inlineStr">
        <is>
          <t>tag</t>
        </is>
      </c>
      <c r="I314" t="inlineStr">
        <is>
          <t>LSV</t>
        </is>
      </c>
      <c r="J314" t="inlineStr">
        <is>
          <t>https://www.google.com/maps/@?api=1&amp;map_action=pano&amp;viewpoint=33.187330,-117.308780&amp;heading=187</t>
        </is>
      </c>
      <c r="K314" t="inlineStr">
        <is>
          <t>https://www.google.com/maps/search/?api=1&amp;query=33.187330,-117.308780</t>
        </is>
      </c>
      <c r="L314" t="inlineStr"/>
      <c r="M314" t="inlineStr"/>
      <c r="N314" t="inlineStr"/>
      <c r="O314" t="inlineStr"/>
      <c r="P314" t="inlineStr">
        <is>
          <t>pending</t>
        </is>
      </c>
      <c r="Q314" t="inlineStr"/>
      <c r="R314" t="inlineStr"/>
      <c r="S314" t="inlineStr"/>
      <c r="T314" t="inlineStr"/>
      <c r="U314" t="inlineStr"/>
      <c r="V314">
        <f>IF(OR(L314="",S314=""),"",IF(VALUE(L314)=VALUE(S314),"Y","N"))</f>
        <v/>
      </c>
      <c r="W314">
        <f>IF(V314="Y",S314,"")</f>
        <v/>
      </c>
      <c r="X314" t="inlineStr">
        <is>
          <t>unverified: map has 35 mph (OSM tag only); is it 35 (LSV OK) or 40+?</t>
        </is>
      </c>
      <c r="Y314" t="inlineStr"/>
      <c r="Z314" t="n">
        <v>2555</v>
      </c>
      <c r="AA314" t="inlineStr">
        <is>
          <t>sd</t>
        </is>
      </c>
      <c r="AB314" t="inlineStr">
        <is>
          <t>sd|33.18733,-117.30878</t>
        </is>
      </c>
    </row>
    <row r="315">
      <c r="A315" t="inlineStr">
        <is>
          <t>SD-B2-314</t>
        </is>
      </c>
      <c r="B315" t="inlineStr">
        <is>
          <t>San Diego area</t>
        </is>
      </c>
      <c r="C315" t="inlineStr">
        <is>
          <t>Rancho del Oro Drive</t>
        </is>
      </c>
      <c r="D315" t="inlineStr">
        <is>
          <t>Vista del Oro Drive</t>
        </is>
      </c>
      <c r="E315" t="inlineStr">
        <is>
          <t>Mesa Drive</t>
        </is>
      </c>
      <c r="F315" t="inlineStr">
        <is>
          <t>5957967</t>
        </is>
      </c>
      <c r="G315" t="n">
        <v>35</v>
      </c>
      <c r="H315" t="inlineStr">
        <is>
          <t>tag</t>
        </is>
      </c>
      <c r="I315" t="inlineStr">
        <is>
          <t>LSV</t>
        </is>
      </c>
      <c r="J315" t="inlineStr">
        <is>
          <t>https://www.google.com/maps/@?api=1&amp;map_action=pano&amp;viewpoint=33.211700,-117.316110&amp;heading=143</t>
        </is>
      </c>
      <c r="K315" t="inlineStr">
        <is>
          <t>https://www.google.com/maps/search/?api=1&amp;query=33.211700,-117.316110</t>
        </is>
      </c>
      <c r="L315" t="inlineStr"/>
      <c r="M315" t="inlineStr"/>
      <c r="N315" t="inlineStr"/>
      <c r="O315" t="inlineStr"/>
      <c r="P315" t="inlineStr">
        <is>
          <t>pending</t>
        </is>
      </c>
      <c r="Q315" t="inlineStr"/>
      <c r="R315" t="inlineStr"/>
      <c r="S315" t="inlineStr"/>
      <c r="T315" t="inlineStr"/>
      <c r="U315" t="inlineStr"/>
      <c r="V315">
        <f>IF(OR(L315="",S315=""),"",IF(VALUE(L315)=VALUE(S315),"Y","N"))</f>
        <v/>
      </c>
      <c r="W315">
        <f>IF(V315="Y",S315,"")</f>
        <v/>
      </c>
      <c r="X315" t="inlineStr">
        <is>
          <t>unverified: map has 35 mph (OSM tag only); is it 35 (LSV OK) or 40+?</t>
        </is>
      </c>
      <c r="Y315" t="inlineStr"/>
      <c r="Z315" t="n">
        <v>2722</v>
      </c>
      <c r="AA315" t="inlineStr">
        <is>
          <t>sd</t>
        </is>
      </c>
      <c r="AB315" t="inlineStr">
        <is>
          <t>sd|33.21170,-117.31611</t>
        </is>
      </c>
    </row>
    <row r="316">
      <c r="A316" t="inlineStr">
        <is>
          <t>SD-B2-315</t>
        </is>
      </c>
      <c r="B316" t="inlineStr">
        <is>
          <t>San Diego area</t>
        </is>
      </c>
      <c r="C316" t="inlineStr">
        <is>
          <t>Rancho del Oro Drive</t>
        </is>
      </c>
      <c r="D316" t="inlineStr">
        <is>
          <t>Waterford Drive</t>
        </is>
      </c>
      <c r="E316" t="inlineStr">
        <is>
          <t>Cameo Drive</t>
        </is>
      </c>
      <c r="F316" t="inlineStr">
        <is>
          <t>436450813</t>
        </is>
      </c>
      <c r="G316" t="n">
        <v>35</v>
      </c>
      <c r="H316" t="inlineStr">
        <is>
          <t>tag</t>
        </is>
      </c>
      <c r="I316" t="inlineStr">
        <is>
          <t>LSV</t>
        </is>
      </c>
      <c r="J316" t="inlineStr">
        <is>
          <t>https://www.google.com/maps/@?api=1&amp;map_action=pano&amp;viewpoint=33.211620,-117.315840&amp;heading=311</t>
        </is>
      </c>
      <c r="K316" t="inlineStr">
        <is>
          <t>https://www.google.com/maps/search/?api=1&amp;query=33.211620,-117.315840</t>
        </is>
      </c>
      <c r="L316" t="inlineStr"/>
      <c r="M316" t="inlineStr"/>
      <c r="N316" t="inlineStr"/>
      <c r="O316" t="inlineStr"/>
      <c r="P316" t="inlineStr">
        <is>
          <t>pending</t>
        </is>
      </c>
      <c r="Q316" t="inlineStr"/>
      <c r="R316" t="inlineStr"/>
      <c r="S316" t="inlineStr"/>
      <c r="T316" t="inlineStr"/>
      <c r="U316" t="inlineStr"/>
      <c r="V316">
        <f>IF(OR(L316="",S316=""),"",IF(VALUE(L316)=VALUE(S316),"Y","N"))</f>
        <v/>
      </c>
      <c r="W316">
        <f>IF(V316="Y",S316,"")</f>
        <v/>
      </c>
      <c r="X316" t="inlineStr">
        <is>
          <t>unverified: map has 35 mph (OSM tag only); is it 35 (LSV OK) or 40+?</t>
        </is>
      </c>
      <c r="Y316" t="inlineStr"/>
      <c r="Z316" t="n">
        <v>2724</v>
      </c>
      <c r="AA316" t="inlineStr">
        <is>
          <t>sd</t>
        </is>
      </c>
      <c r="AB316" t="inlineStr">
        <is>
          <t>sd|33.21162,-117.31584</t>
        </is>
      </c>
    </row>
    <row r="317">
      <c r="A317" t="inlineStr">
        <is>
          <t>SD-B2-316</t>
        </is>
      </c>
      <c r="B317" t="inlineStr">
        <is>
          <t>San Diego area</t>
        </is>
      </c>
      <c r="C317" t="inlineStr">
        <is>
          <t>Rancho del Oro Drive</t>
        </is>
      </c>
      <c r="D317" t="inlineStr">
        <is>
          <t>Via Rancho Road</t>
        </is>
      </c>
      <c r="E317" t="inlineStr">
        <is>
          <t>San Luis Rey Mission Expressway</t>
        </is>
      </c>
      <c r="F317" t="inlineStr">
        <is>
          <t>436596422</t>
        </is>
      </c>
      <c r="G317" t="n">
        <v>45</v>
      </c>
      <c r="H317" t="inlineStr">
        <is>
          <t>tag</t>
        </is>
      </c>
      <c r="I317" t="inlineStr">
        <is>
          <t>no</t>
        </is>
      </c>
      <c r="J317" t="inlineStr">
        <is>
          <t>https://www.google.com/maps/@?api=1&amp;map_action=pano&amp;viewpoint=33.223530,-117.320380&amp;heading=201</t>
        </is>
      </c>
      <c r="K317" t="inlineStr">
        <is>
          <t>https://www.google.com/maps/search/?api=1&amp;query=33.223530,-117.320380</t>
        </is>
      </c>
      <c r="L317" t="inlineStr"/>
      <c r="M317" t="inlineStr"/>
      <c r="N317" t="inlineStr"/>
      <c r="O317" t="inlineStr"/>
      <c r="P317" t="inlineStr">
        <is>
          <t>pending</t>
        </is>
      </c>
      <c r="Q317" t="inlineStr"/>
      <c r="R317" t="inlineStr"/>
      <c r="S317" t="inlineStr"/>
      <c r="T317" t="inlineStr"/>
      <c r="U317" t="inlineStr"/>
      <c r="V317">
        <f>IF(OR(L317="",S317=""),"",IF(VALUE(L317)=VALUE(S317),"Y","N"))</f>
        <v/>
      </c>
      <c r="W317">
        <f>IF(V317="Y",S317,"")</f>
        <v/>
      </c>
      <c r="X317" t="inlineStr">
        <is>
          <t>unverified: map has 45 mph (OSM tag only); main road: what is posted? 35 or lower opens it to LSVs</t>
        </is>
      </c>
      <c r="Y317" t="inlineStr"/>
      <c r="Z317" t="n">
        <v>2633</v>
      </c>
      <c r="AA317" t="inlineStr">
        <is>
          <t>sd</t>
        </is>
      </c>
      <c r="AB317" t="inlineStr">
        <is>
          <t>sd|33.22353,-117.32038</t>
        </is>
      </c>
    </row>
    <row r="318">
      <c r="A318" t="inlineStr">
        <is>
          <t>SD-B2-317</t>
        </is>
      </c>
      <c r="B318" t="inlineStr">
        <is>
          <t>San Diego area</t>
        </is>
      </c>
      <c r="C318" t="inlineStr">
        <is>
          <t>Mesa Drive</t>
        </is>
      </c>
      <c r="D318" t="inlineStr">
        <is>
          <t>Cinnamon Way</t>
        </is>
      </c>
      <c r="E318" t="inlineStr">
        <is>
          <t>Rancho del Oro Drive</t>
        </is>
      </c>
      <c r="F318" t="inlineStr">
        <is>
          <t>1239979359</t>
        </is>
      </c>
      <c r="G318" t="n">
        <v>40</v>
      </c>
      <c r="H318" t="inlineStr">
        <is>
          <t>tag</t>
        </is>
      </c>
      <c r="I318" t="inlineStr">
        <is>
          <t>no</t>
        </is>
      </c>
      <c r="J318" t="inlineStr">
        <is>
          <t>https://www.google.com/maps/@?api=1&amp;map_action=pano&amp;viewpoint=33.211990,-117.323890&amp;heading=265</t>
        </is>
      </c>
      <c r="K318" t="inlineStr">
        <is>
          <t>https://www.google.com/maps/search/?api=1&amp;query=33.211990,-117.323890</t>
        </is>
      </c>
      <c r="L318" t="inlineStr"/>
      <c r="M318" t="inlineStr"/>
      <c r="N318" t="inlineStr"/>
      <c r="O318" t="inlineStr"/>
      <c r="P318" t="inlineStr">
        <is>
          <t>pending</t>
        </is>
      </c>
      <c r="Q318" t="inlineStr"/>
      <c r="R318" t="inlineStr"/>
      <c r="S318" t="inlineStr"/>
      <c r="T318" t="inlineStr"/>
      <c r="U318" t="inlineStr"/>
      <c r="V318">
        <f>IF(OR(L318="",S318=""),"",IF(VALUE(L318)=VALUE(S318),"Y","N"))</f>
        <v/>
      </c>
      <c r="W318">
        <f>IF(V318="Y",S318,"")</f>
        <v/>
      </c>
      <c r="X318" t="inlineStr">
        <is>
          <t>unverified: map has 40 mph (OSM tag only); is it 35 (LSV OK) or 40+?</t>
        </is>
      </c>
      <c r="Y318" t="inlineStr"/>
      <c r="Z318" t="n">
        <v>1702</v>
      </c>
      <c r="AA318" t="inlineStr">
        <is>
          <t>sd</t>
        </is>
      </c>
      <c r="AB318" t="inlineStr">
        <is>
          <t>sd|33.21199,-117.32389</t>
        </is>
      </c>
    </row>
    <row r="319">
      <c r="A319" t="inlineStr">
        <is>
          <t>SD-B2-318</t>
        </is>
      </c>
      <c r="B319" t="inlineStr">
        <is>
          <t>San Diego area</t>
        </is>
      </c>
      <c r="C319" t="inlineStr">
        <is>
          <t>Stuart Mesa Road</t>
        </is>
      </c>
      <c r="D319" t="inlineStr">
        <is>
          <t>(see map link)</t>
        </is>
      </c>
      <c r="E319" t="inlineStr">
        <is>
          <t>(see map link)</t>
        </is>
      </c>
      <c r="F319" t="inlineStr">
        <is>
          <t>628200272</t>
        </is>
      </c>
      <c r="G319" t="n">
        <v>35</v>
      </c>
      <c r="H319" t="inlineStr">
        <is>
          <t>tag</t>
        </is>
      </c>
      <c r="I319" t="inlineStr">
        <is>
          <t>LSV</t>
        </is>
      </c>
      <c r="J319" t="inlineStr">
        <is>
          <t>https://www.google.com/maps/@?api=1&amp;map_action=pano&amp;viewpoint=33.258690,-117.415160&amp;heading=73</t>
        </is>
      </c>
      <c r="K319" t="inlineStr">
        <is>
          <t>https://www.google.com/maps/search/?api=1&amp;query=33.258690,-117.415160</t>
        </is>
      </c>
      <c r="L319" t="inlineStr"/>
      <c r="M319" t="inlineStr"/>
      <c r="N319" t="inlineStr"/>
      <c r="O319" t="inlineStr"/>
      <c r="P319" t="inlineStr">
        <is>
          <t>pending</t>
        </is>
      </c>
      <c r="Q319" t="inlineStr"/>
      <c r="R319" t="inlineStr"/>
      <c r="S319" t="inlineStr"/>
      <c r="T319" t="inlineStr"/>
      <c r="U319" t="inlineStr"/>
      <c r="V319">
        <f>IF(OR(L319="",S319=""),"",IF(VALUE(L319)=VALUE(S319),"Y","N"))</f>
        <v/>
      </c>
      <c r="W319">
        <f>IF(V319="Y",S319,"")</f>
        <v/>
      </c>
      <c r="X319" t="inlineStr">
        <is>
          <t>unverified: map has 35 mph (OSM tag only); is it 35 (LSV OK) or 40+?</t>
        </is>
      </c>
      <c r="Y319" t="inlineStr"/>
      <c r="Z319" t="n">
        <v>2479</v>
      </c>
      <c r="AA319" t="inlineStr">
        <is>
          <t>sd</t>
        </is>
      </c>
      <c r="AB319" t="inlineStr">
        <is>
          <t>sd|33.25869,-117.41516</t>
        </is>
      </c>
    </row>
    <row r="320">
      <c r="A320" t="inlineStr">
        <is>
          <t>SD-B2-319</t>
        </is>
      </c>
      <c r="B320" t="inlineStr">
        <is>
          <t>San Diego area</t>
        </is>
      </c>
      <c r="C320" t="inlineStr">
        <is>
          <t>Rutherford Road</t>
        </is>
      </c>
      <c r="D320" t="inlineStr">
        <is>
          <t>(see map link)</t>
        </is>
      </c>
      <c r="E320" t="inlineStr">
        <is>
          <t>Faraday Avenue</t>
        </is>
      </c>
      <c r="F320" t="inlineStr">
        <is>
          <t>5974556</t>
        </is>
      </c>
      <c r="G320" t="n">
        <v>25</v>
      </c>
      <c r="H320" t="inlineStr">
        <is>
          <t>inferred</t>
        </is>
      </c>
      <c r="I320" t="inlineStr">
        <is>
          <t>cart+LSV</t>
        </is>
      </c>
      <c r="J320" t="inlineStr">
        <is>
          <t>https://www.google.com/maps/@?api=1&amp;map_action=pano&amp;viewpoint=33.132870,-117.273940&amp;heading=40</t>
        </is>
      </c>
      <c r="K320" t="inlineStr">
        <is>
          <t>https://www.google.com/maps/search/?api=1&amp;query=33.132870,-117.273940</t>
        </is>
      </c>
      <c r="L320" t="inlineStr"/>
      <c r="M320" t="inlineStr"/>
      <c r="N320" t="inlineStr"/>
      <c r="O320" t="inlineStr"/>
      <c r="P320" t="inlineStr">
        <is>
          <t>pending</t>
        </is>
      </c>
      <c r="Q320" t="inlineStr"/>
      <c r="R320" t="inlineStr"/>
      <c r="S320" t="inlineStr"/>
      <c r="T320" t="inlineStr"/>
      <c r="U320" t="inlineStr"/>
      <c r="V320">
        <f>IF(OR(L320="",S320=""),"",IF(VALUE(L320)=VALUE(S320),"Y","N"))</f>
        <v/>
      </c>
      <c r="W320">
        <f>IF(V320="Y",S320,"")</f>
        <v/>
      </c>
      <c r="X320" t="inlineStr">
        <is>
          <t>unverified: map has 25 mph (guessed from road type); is it 25 (carts OK) or 30+?</t>
        </is>
      </c>
      <c r="Y320" t="inlineStr"/>
      <c r="Z320" t="n">
        <v>1437</v>
      </c>
      <c r="AA320" t="inlineStr">
        <is>
          <t>sd</t>
        </is>
      </c>
      <c r="AB320" t="inlineStr">
        <is>
          <t>sd|33.13287,-117.27394</t>
        </is>
      </c>
    </row>
    <row r="321">
      <c r="A321" t="inlineStr">
        <is>
          <t>SD-B2-320</t>
        </is>
      </c>
      <c r="B321" t="inlineStr">
        <is>
          <t>San Diego area</t>
        </is>
      </c>
      <c r="C321" t="inlineStr">
        <is>
          <t>Cannon Road</t>
        </is>
      </c>
      <c r="D321" t="inlineStr">
        <is>
          <t>Legoland Drive</t>
        </is>
      </c>
      <c r="E321" t="inlineStr">
        <is>
          <t>Car Country Drive</t>
        </is>
      </c>
      <c r="F321" t="inlineStr">
        <is>
          <t>644024714</t>
        </is>
      </c>
      <c r="G321" t="inlineStr"/>
      <c r="H321" t="inlineStr">
        <is>
          <t>inferred</t>
        </is>
      </c>
      <c r="I321" t="inlineStr">
        <is>
          <t>no</t>
        </is>
      </c>
      <c r="J321" t="inlineStr">
        <is>
          <t>https://www.google.com/maps/@?api=1&amp;map_action=pano&amp;viewpoint=33.134180,-117.315180&amp;heading=93</t>
        </is>
      </c>
      <c r="K321" t="inlineStr">
        <is>
          <t>https://www.google.com/maps/search/?api=1&amp;query=33.134180,-117.315180</t>
        </is>
      </c>
      <c r="L321" t="inlineStr"/>
      <c r="M321" t="inlineStr"/>
      <c r="N321" t="inlineStr"/>
      <c r="O321" t="inlineStr"/>
      <c r="P321" t="inlineStr">
        <is>
          <t>pending</t>
        </is>
      </c>
      <c r="Q321" t="inlineStr"/>
      <c r="R321" t="inlineStr"/>
      <c r="S321" t="inlineStr"/>
      <c r="T321" t="inlineStr"/>
      <c r="U321" t="inlineStr"/>
      <c r="V321">
        <f>IF(OR(L321="",S321=""),"",IF(VALUE(L321)=VALUE(S321),"Y","N"))</f>
        <v/>
      </c>
      <c r="W321">
        <f>IF(V321="Y",S321,"")</f>
        <v/>
      </c>
      <c r="X321" t="inlineStr">
        <is>
          <t>unverified: map has no limit (guessed from road type); main road: what is posted? 35 or lower opens it to LSVs</t>
        </is>
      </c>
      <c r="Y321" t="inlineStr"/>
      <c r="Z321" t="n">
        <v>955</v>
      </c>
      <c r="AA321" t="inlineStr">
        <is>
          <t>sd</t>
        </is>
      </c>
      <c r="AB321" t="inlineStr">
        <is>
          <t>sd|33.13418,-117.31518</t>
        </is>
      </c>
    </row>
    <row r="322">
      <c r="A322" t="inlineStr">
        <is>
          <t>SD-B2-321</t>
        </is>
      </c>
      <c r="B322" t="inlineStr">
        <is>
          <t>San Diego area</t>
        </is>
      </c>
      <c r="C322" t="inlineStr">
        <is>
          <t>Lionshead Avenue</t>
        </is>
      </c>
      <c r="D322" t="inlineStr">
        <is>
          <t>(see map link)</t>
        </is>
      </c>
      <c r="E322" t="inlineStr">
        <is>
          <t>Melrose Drive</t>
        </is>
      </c>
      <c r="F322" t="inlineStr">
        <is>
          <t>32686828</t>
        </is>
      </c>
      <c r="G322" t="n">
        <v>25</v>
      </c>
      <c r="H322" t="inlineStr">
        <is>
          <t>inferred</t>
        </is>
      </c>
      <c r="I322" t="inlineStr">
        <is>
          <t>cart+LSV</t>
        </is>
      </c>
      <c r="J322" t="inlineStr">
        <is>
          <t>https://www.google.com/maps/@?api=1&amp;map_action=pano&amp;viewpoint=33.132780,-117.232090&amp;heading=82</t>
        </is>
      </c>
      <c r="K322" t="inlineStr">
        <is>
          <t>https://www.google.com/maps/search/?api=1&amp;query=33.132780,-117.232090</t>
        </is>
      </c>
      <c r="L322" t="inlineStr"/>
      <c r="M322" t="inlineStr"/>
      <c r="N322" t="inlineStr"/>
      <c r="O322" t="inlineStr"/>
      <c r="P322" t="inlineStr">
        <is>
          <t>pending</t>
        </is>
      </c>
      <c r="Q322" t="inlineStr"/>
      <c r="R322" t="inlineStr"/>
      <c r="S322" t="inlineStr"/>
      <c r="T322" t="inlineStr"/>
      <c r="U322" t="inlineStr"/>
      <c r="V322">
        <f>IF(OR(L322="",S322=""),"",IF(VALUE(L322)=VALUE(S322),"Y","N"))</f>
        <v/>
      </c>
      <c r="W322">
        <f>IF(V322="Y",S322,"")</f>
        <v/>
      </c>
      <c r="X322" t="inlineStr">
        <is>
          <t>unverified: map has 25 mph (guessed from road type); is it 25 (carts OK) or 30+?</t>
        </is>
      </c>
      <c r="Y322" t="inlineStr"/>
      <c r="Z322" t="n">
        <v>1431</v>
      </c>
      <c r="AA322" t="inlineStr">
        <is>
          <t>sd</t>
        </is>
      </c>
      <c r="AB322" t="inlineStr">
        <is>
          <t>sd|33.13278,-117.23209</t>
        </is>
      </c>
    </row>
    <row r="323">
      <c r="A323" t="inlineStr">
        <is>
          <t>SD-B2-322</t>
        </is>
      </c>
      <c r="B323" t="inlineStr">
        <is>
          <t>San Diego area</t>
        </is>
      </c>
      <c r="C323" t="inlineStr">
        <is>
          <t>West Point Loma Boulevard</t>
        </is>
      </c>
      <c r="D323" t="inlineStr">
        <is>
          <t>(see map link)</t>
        </is>
      </c>
      <c r="E323" t="inlineStr">
        <is>
          <t>Midway Drive</t>
        </is>
      </c>
      <c r="F323" t="inlineStr">
        <is>
          <t>740679996</t>
        </is>
      </c>
      <c r="G323" t="n">
        <v>35</v>
      </c>
      <c r="H323" t="inlineStr">
        <is>
          <t>tag</t>
        </is>
      </c>
      <c r="I323" t="inlineStr">
        <is>
          <t>LSV</t>
        </is>
      </c>
      <c r="J323" t="inlineStr">
        <is>
          <t>https://www.google.com/maps/@?api=1&amp;map_action=pano&amp;viewpoint=32.752780,-117.227305&amp;heading=267</t>
        </is>
      </c>
      <c r="K323" t="inlineStr">
        <is>
          <t>https://www.google.com/maps/search/?api=1&amp;query=32.752780,-117.227305</t>
        </is>
      </c>
      <c r="L323" t="inlineStr"/>
      <c r="M323" t="inlineStr"/>
      <c r="N323" t="inlineStr"/>
      <c r="O323" t="inlineStr"/>
      <c r="P323" t="inlineStr">
        <is>
          <t>pending</t>
        </is>
      </c>
      <c r="Q323" t="inlineStr"/>
      <c r="R323" t="inlineStr"/>
      <c r="S323" t="inlineStr"/>
      <c r="T323" t="inlineStr"/>
      <c r="U323" t="inlineStr"/>
      <c r="V323">
        <f>IF(OR(L323="",S323=""),"",IF(VALUE(L323)=VALUE(S323),"Y","N"))</f>
        <v/>
      </c>
      <c r="W323">
        <f>IF(V323="Y",S323,"")</f>
        <v/>
      </c>
      <c r="X323" t="inlineStr">
        <is>
          <t>unverified: map has 35 mph (OSM tag only); is it 35 (LSV OK) or 40+?</t>
        </is>
      </c>
      <c r="Y323" t="inlineStr"/>
      <c r="Z323" t="n">
        <v>1487</v>
      </c>
      <c r="AA323" t="inlineStr">
        <is>
          <t>sd</t>
        </is>
      </c>
      <c r="AB323" t="inlineStr">
        <is>
          <t>sd|32.75278,-117.22731</t>
        </is>
      </c>
    </row>
    <row r="324">
      <c r="A324" t="inlineStr">
        <is>
          <t>SD-B2-323</t>
        </is>
      </c>
      <c r="B324" t="inlineStr">
        <is>
          <t>San Diego area</t>
        </is>
      </c>
      <c r="C324" t="inlineStr">
        <is>
          <t>Via de la Valle</t>
        </is>
      </c>
      <c r="D324" t="inlineStr">
        <is>
          <t>(see map link)</t>
        </is>
      </c>
      <c r="E324" t="inlineStr">
        <is>
          <t>Jimmy Durante Boulevard</t>
        </is>
      </c>
      <c r="F324" t="inlineStr">
        <is>
          <t>436425210</t>
        </is>
      </c>
      <c r="G324" t="inlineStr"/>
      <c r="H324" t="inlineStr">
        <is>
          <t>inferred</t>
        </is>
      </c>
      <c r="I324" t="inlineStr">
        <is>
          <t>no</t>
        </is>
      </c>
      <c r="J324" t="inlineStr">
        <is>
          <t>https://www.google.com/maps/@?api=1&amp;map_action=pano&amp;viewpoint=32.980920,-117.248720&amp;heading=272</t>
        </is>
      </c>
      <c r="K324" t="inlineStr">
        <is>
          <t>https://www.google.com/maps/search/?api=1&amp;query=32.980920,-117.248720</t>
        </is>
      </c>
      <c r="L324" t="inlineStr"/>
      <c r="M324" t="inlineStr"/>
      <c r="N324" t="inlineStr"/>
      <c r="O324" t="inlineStr"/>
      <c r="P324" t="inlineStr">
        <is>
          <t>pending</t>
        </is>
      </c>
      <c r="Q324" t="inlineStr"/>
      <c r="R324" t="inlineStr"/>
      <c r="S324" t="inlineStr"/>
      <c r="T324" t="inlineStr"/>
      <c r="U324" t="inlineStr"/>
      <c r="V324">
        <f>IF(OR(L324="",S324=""),"",IF(VALUE(L324)=VALUE(S324),"Y","N"))</f>
        <v/>
      </c>
      <c r="W324">
        <f>IF(V324="Y",S324,"")</f>
        <v/>
      </c>
      <c r="X324" t="inlineStr">
        <is>
          <t>unverified: map has no limit (guessed from road type); main road: what is posted? 35 or lower opens it to LSVs</t>
        </is>
      </c>
      <c r="Y324" t="inlineStr"/>
      <c r="Z324" t="n">
        <v>953</v>
      </c>
      <c r="AA324" t="inlineStr">
        <is>
          <t>sd</t>
        </is>
      </c>
      <c r="AB324" t="inlineStr">
        <is>
          <t>sd|32.98092,-117.24872</t>
        </is>
      </c>
    </row>
    <row r="325">
      <c r="A325" t="inlineStr">
        <is>
          <t>SD-B2-324</t>
        </is>
      </c>
      <c r="B325" t="inlineStr">
        <is>
          <t>San Diego area</t>
        </is>
      </c>
      <c r="C325" t="inlineStr">
        <is>
          <t>West Vista Way</t>
        </is>
      </c>
      <c r="D325" t="inlineStr">
        <is>
          <t>(see map link)</t>
        </is>
      </c>
      <c r="E325" t="inlineStr">
        <is>
          <t>Vista Way</t>
        </is>
      </c>
      <c r="F325" t="inlineStr">
        <is>
          <t>404144863</t>
        </is>
      </c>
      <c r="G325" t="n">
        <v>40</v>
      </c>
      <c r="H325" t="inlineStr">
        <is>
          <t>tag</t>
        </is>
      </c>
      <c r="I325" t="inlineStr">
        <is>
          <t>no</t>
        </is>
      </c>
      <c r="J325" t="inlineStr">
        <is>
          <t>https://www.google.com/maps/@?api=1&amp;map_action=pano&amp;viewpoint=33.184535,-117.287465&amp;heading=248</t>
        </is>
      </c>
      <c r="K325" t="inlineStr">
        <is>
          <t>https://www.google.com/maps/search/?api=1&amp;query=33.184535,-117.287465</t>
        </is>
      </c>
      <c r="L325" t="inlineStr"/>
      <c r="M325" t="inlineStr"/>
      <c r="N325" t="inlineStr"/>
      <c r="O325" t="inlineStr"/>
      <c r="P325" t="inlineStr">
        <is>
          <t>pending</t>
        </is>
      </c>
      <c r="Q325" t="inlineStr"/>
      <c r="R325" t="inlineStr"/>
      <c r="S325" t="inlineStr"/>
      <c r="T325" t="inlineStr"/>
      <c r="U325" t="inlineStr"/>
      <c r="V325">
        <f>IF(OR(L325="",S325=""),"",IF(VALUE(L325)=VALUE(S325),"Y","N"))</f>
        <v/>
      </c>
      <c r="W325">
        <f>IF(V325="Y",S325,"")</f>
        <v/>
      </c>
      <c r="X325" t="inlineStr">
        <is>
          <t>unverified: map has 40 mph (OSM tag only); is it 35 (LSV OK) or 40+?</t>
        </is>
      </c>
      <c r="Y325" t="inlineStr"/>
      <c r="Z325" t="n">
        <v>1485</v>
      </c>
      <c r="AA325" t="inlineStr">
        <is>
          <t>sd</t>
        </is>
      </c>
      <c r="AB325" t="inlineStr">
        <is>
          <t>sd|33.18453,-117.28746</t>
        </is>
      </c>
    </row>
    <row r="326">
      <c r="A326" t="inlineStr">
        <is>
          <t>SD-B2-325</t>
        </is>
      </c>
      <c r="B326" t="inlineStr">
        <is>
          <t>San Diego area</t>
        </is>
      </c>
      <c r="C326" t="inlineStr">
        <is>
          <t>Donna Drive</t>
        </is>
      </c>
      <c r="D326" t="inlineStr">
        <is>
          <t>Carlsbad Village Drive</t>
        </is>
      </c>
      <c r="E326" t="inlineStr">
        <is>
          <t>Austin Terrace</t>
        </is>
      </c>
      <c r="F326" t="inlineStr">
        <is>
          <t>225875498</t>
        </is>
      </c>
      <c r="G326" t="n">
        <v>25</v>
      </c>
      <c r="H326" t="inlineStr">
        <is>
          <t>inferred</t>
        </is>
      </c>
      <c r="I326" t="inlineStr">
        <is>
          <t>cart+LSV</t>
        </is>
      </c>
      <c r="J326" t="inlineStr">
        <is>
          <t>https://www.google.com/maps/@?api=1&amp;map_action=pano&amp;viewpoint=33.168710,-117.328030&amp;heading=129</t>
        </is>
      </c>
      <c r="K326" t="inlineStr">
        <is>
          <t>https://www.google.com/maps/search/?api=1&amp;query=33.168710,-117.328030</t>
        </is>
      </c>
      <c r="L326" t="inlineStr"/>
      <c r="M326" t="inlineStr"/>
      <c r="N326" t="inlineStr"/>
      <c r="O326" t="inlineStr"/>
      <c r="P326" t="inlineStr">
        <is>
          <t>pending</t>
        </is>
      </c>
      <c r="Q326" t="inlineStr"/>
      <c r="R326" t="inlineStr"/>
      <c r="S326" t="inlineStr"/>
      <c r="T326" t="inlineStr"/>
      <c r="U326" t="inlineStr"/>
      <c r="V326">
        <f>IF(OR(L326="",S326=""),"",IF(VALUE(L326)=VALUE(S326),"Y","N"))</f>
        <v/>
      </c>
      <c r="W326">
        <f>IF(V326="Y",S326,"")</f>
        <v/>
      </c>
      <c r="X326" t="inlineStr">
        <is>
          <t>unverified: map has 25 mph (guessed from road type); is it 25 (carts OK) or 30+?</t>
        </is>
      </c>
      <c r="Y326" t="inlineStr"/>
      <c r="Z326" t="n">
        <v>1425</v>
      </c>
      <c r="AA326" t="inlineStr">
        <is>
          <t>sd</t>
        </is>
      </c>
      <c r="AB326" t="inlineStr">
        <is>
          <t>sd|33.16871,-117.32803</t>
        </is>
      </c>
    </row>
    <row r="327">
      <c r="A327" t="inlineStr">
        <is>
          <t>SD-B2-326</t>
        </is>
      </c>
      <c r="B327" t="inlineStr">
        <is>
          <t>San Diego area</t>
        </is>
      </c>
      <c r="C327" t="inlineStr">
        <is>
          <t>Encinitas Boulevard</t>
        </is>
      </c>
      <c r="D327" t="inlineStr">
        <is>
          <t>(see map link)</t>
        </is>
      </c>
      <c r="E327" t="inlineStr">
        <is>
          <t>Village Square Drive</t>
        </is>
      </c>
      <c r="F327" t="inlineStr">
        <is>
          <t>436261486</t>
        </is>
      </c>
      <c r="G327" t="n">
        <v>40</v>
      </c>
      <c r="H327" t="inlineStr">
        <is>
          <t>tag</t>
        </is>
      </c>
      <c r="I327" t="inlineStr">
        <is>
          <t>no</t>
        </is>
      </c>
      <c r="J327" t="inlineStr">
        <is>
          <t>https://www.google.com/maps/@?api=1&amp;map_action=pano&amp;viewpoint=33.045450,-117.250390&amp;heading=283</t>
        </is>
      </c>
      <c r="K327" t="inlineStr">
        <is>
          <t>https://www.google.com/maps/search/?api=1&amp;query=33.045450,-117.250390</t>
        </is>
      </c>
      <c r="L327" t="inlineStr"/>
      <c r="M327" t="inlineStr"/>
      <c r="N327" t="inlineStr"/>
      <c r="O327" t="inlineStr"/>
      <c r="P327" t="inlineStr">
        <is>
          <t>pending</t>
        </is>
      </c>
      <c r="Q327" t="inlineStr"/>
      <c r="R327" t="inlineStr"/>
      <c r="S327" t="inlineStr"/>
      <c r="T327" t="inlineStr"/>
      <c r="U327" t="inlineStr"/>
      <c r="V327">
        <f>IF(OR(L327="",S327=""),"",IF(VALUE(L327)=VALUE(S327),"Y","N"))</f>
        <v/>
      </c>
      <c r="W327">
        <f>IF(V327="Y",S327,"")</f>
        <v/>
      </c>
      <c r="X327" t="inlineStr">
        <is>
          <t>unverified: map has 40 mph (OSM tag only); is it 35 (LSV OK) or 40+?</t>
        </is>
      </c>
      <c r="Y327" t="inlineStr"/>
      <c r="Z327" t="n">
        <v>1233</v>
      </c>
      <c r="AA327" t="inlineStr">
        <is>
          <t>sd</t>
        </is>
      </c>
      <c r="AB327" t="inlineStr">
        <is>
          <t>sd|33.04545,-117.25039</t>
        </is>
      </c>
    </row>
    <row r="328">
      <c r="A328" t="inlineStr">
        <is>
          <t>SD-B2-327</t>
        </is>
      </c>
      <c r="B328" t="inlineStr">
        <is>
          <t>San Diego area</t>
        </is>
      </c>
      <c r="C328" t="inlineStr">
        <is>
          <t>Hymettus Avenue</t>
        </is>
      </c>
      <c r="D328" t="inlineStr">
        <is>
          <t>(see map link)</t>
        </is>
      </c>
      <c r="E328" t="inlineStr">
        <is>
          <t>Eolus Avenue</t>
        </is>
      </c>
      <c r="F328" t="inlineStr">
        <is>
          <t>118689658</t>
        </is>
      </c>
      <c r="G328" t="n">
        <v>25</v>
      </c>
      <c r="H328" t="inlineStr">
        <is>
          <t>inferred</t>
        </is>
      </c>
      <c r="I328" t="inlineStr">
        <is>
          <t>cart+LSV</t>
        </is>
      </c>
      <c r="J328" t="inlineStr">
        <is>
          <t>https://www.google.com/maps/@?api=1&amp;map_action=pano&amp;viewpoint=33.066430,-117.296760&amp;heading=345</t>
        </is>
      </c>
      <c r="K328" t="inlineStr">
        <is>
          <t>https://www.google.com/maps/search/?api=1&amp;query=33.066430,-117.296760</t>
        </is>
      </c>
      <c r="L328" t="inlineStr"/>
      <c r="M328" t="inlineStr"/>
      <c r="N328" t="inlineStr"/>
      <c r="O328" t="inlineStr"/>
      <c r="P328" t="inlineStr">
        <is>
          <t>pending</t>
        </is>
      </c>
      <c r="Q328" t="inlineStr"/>
      <c r="R328" t="inlineStr"/>
      <c r="S328" t="inlineStr"/>
      <c r="T328" t="inlineStr"/>
      <c r="U328" t="inlineStr"/>
      <c r="V328">
        <f>IF(OR(L328="",S328=""),"",IF(VALUE(L328)=VALUE(S328),"Y","N"))</f>
        <v/>
      </c>
      <c r="W328">
        <f>IF(V328="Y",S328,"")</f>
        <v/>
      </c>
      <c r="X328" t="inlineStr">
        <is>
          <t>unverified: map has 25 mph (guessed from road type); is it 25 (carts OK) or 30+?</t>
        </is>
      </c>
      <c r="Y328" t="inlineStr"/>
      <c r="Z328" t="n">
        <v>1421</v>
      </c>
      <c r="AA328" t="inlineStr">
        <is>
          <t>sd</t>
        </is>
      </c>
      <c r="AB328" t="inlineStr">
        <is>
          <t>sd|33.06643,-117.29676</t>
        </is>
      </c>
    </row>
    <row r="329">
      <c r="A329" t="inlineStr">
        <is>
          <t>SD-B2-328</t>
        </is>
      </c>
      <c r="B329" t="inlineStr">
        <is>
          <t>San Diego area</t>
        </is>
      </c>
      <c r="C329" t="inlineStr">
        <is>
          <t>Mount Acadia Boulevard</t>
        </is>
      </c>
      <c r="D329" t="inlineStr">
        <is>
          <t>Cowley Way</t>
        </is>
      </c>
      <c r="E329" t="inlineStr">
        <is>
          <t>Via Aquario</t>
        </is>
      </c>
      <c r="F329" t="inlineStr">
        <is>
          <t>6048248</t>
        </is>
      </c>
      <c r="G329" t="inlineStr"/>
      <c r="H329" t="inlineStr">
        <is>
          <t>inferred</t>
        </is>
      </c>
      <c r="I329" t="inlineStr">
        <is>
          <t>no</t>
        </is>
      </c>
      <c r="J329" t="inlineStr">
        <is>
          <t>https://www.google.com/maps/@?api=1&amp;map_action=pano&amp;viewpoint=32.794680,-117.190000&amp;heading=17</t>
        </is>
      </c>
      <c r="K329" t="inlineStr">
        <is>
          <t>https://www.google.com/maps/search/?api=1&amp;query=32.794680,-117.190000</t>
        </is>
      </c>
      <c r="L329" t="inlineStr"/>
      <c r="M329" t="inlineStr"/>
      <c r="N329" t="inlineStr"/>
      <c r="O329" t="inlineStr"/>
      <c r="P329" t="inlineStr">
        <is>
          <t>pending</t>
        </is>
      </c>
      <c r="Q329" t="inlineStr"/>
      <c r="R329" t="inlineStr"/>
      <c r="S329" t="inlineStr"/>
      <c r="T329" t="inlineStr"/>
      <c r="U329" t="inlineStr"/>
      <c r="V329">
        <f>IF(OR(L329="",S329=""),"",IF(VALUE(L329)=VALUE(S329),"Y","N"))</f>
        <v/>
      </c>
      <c r="W329">
        <f>IF(V329="Y",S329,"")</f>
        <v/>
      </c>
      <c r="X329" t="inlineStr">
        <is>
          <t>unverified: map has no limit (guessed from road type); main road: what is posted? 35 or lower opens it to LSVs</t>
        </is>
      </c>
      <c r="Y329" t="inlineStr"/>
      <c r="Z329" t="n">
        <v>1135</v>
      </c>
      <c r="AA329" t="inlineStr">
        <is>
          <t>sd</t>
        </is>
      </c>
      <c r="AB329" t="inlineStr">
        <is>
          <t>sd|32.79468,-117.19000</t>
        </is>
      </c>
    </row>
    <row r="330">
      <c r="A330" t="inlineStr">
        <is>
          <t>SD-B2-329</t>
        </is>
      </c>
      <c r="B330" t="inlineStr">
        <is>
          <t>San Diego area</t>
        </is>
      </c>
      <c r="C330" t="inlineStr">
        <is>
          <t>West Hawthorn Street</t>
        </is>
      </c>
      <c r="D330" t="inlineStr">
        <is>
          <t>Kettner Boulevard</t>
        </is>
      </c>
      <c r="E330" t="inlineStr">
        <is>
          <t>Front Street</t>
        </is>
      </c>
      <c r="F330" t="inlineStr">
        <is>
          <t>1021040880</t>
        </is>
      </c>
      <c r="G330" t="inlineStr"/>
      <c r="H330" t="inlineStr">
        <is>
          <t>inferred</t>
        </is>
      </c>
      <c r="I330" t="inlineStr">
        <is>
          <t>no</t>
        </is>
      </c>
      <c r="J330" t="inlineStr">
        <is>
          <t>https://www.google.com/maps/@?api=1&amp;map_action=pano&amp;viewpoint=32.725400,-117.172565&amp;heading=249</t>
        </is>
      </c>
      <c r="K330" t="inlineStr">
        <is>
          <t>https://www.google.com/maps/search/?api=1&amp;query=32.725400,-117.172565</t>
        </is>
      </c>
      <c r="L330" t="inlineStr"/>
      <c r="M330" t="inlineStr"/>
      <c r="N330" t="inlineStr"/>
      <c r="O330" t="inlineStr"/>
      <c r="P330" t="inlineStr">
        <is>
          <t>pending</t>
        </is>
      </c>
      <c r="Q330" t="inlineStr"/>
      <c r="R330" t="inlineStr"/>
      <c r="S330" t="inlineStr"/>
      <c r="T330" t="inlineStr"/>
      <c r="U330" t="inlineStr"/>
      <c r="V330">
        <f>IF(OR(L330="",S330=""),"",IF(VALUE(L330)=VALUE(S330),"Y","N"))</f>
        <v/>
      </c>
      <c r="W330">
        <f>IF(V330="Y",S330,"")</f>
        <v/>
      </c>
      <c r="X330" t="inlineStr">
        <is>
          <t>unverified: map has no limit (guessed from road type); main road: what is posted? 35 or lower opens it to LSVs</t>
        </is>
      </c>
      <c r="Y330" t="inlineStr"/>
      <c r="Z330" t="n">
        <v>945</v>
      </c>
      <c r="AA330" t="inlineStr">
        <is>
          <t>sd</t>
        </is>
      </c>
      <c r="AB330" t="inlineStr">
        <is>
          <t>sd|32.72540,-117.17256</t>
        </is>
      </c>
    </row>
    <row r="331">
      <c r="A331" t="inlineStr">
        <is>
          <t>SD-B2-330</t>
        </is>
      </c>
      <c r="B331" t="inlineStr">
        <is>
          <t>San Diego area</t>
        </is>
      </c>
      <c r="C331" t="inlineStr">
        <is>
          <t>National Avenue</t>
        </is>
      </c>
      <c r="D331" t="inlineStr">
        <is>
          <t>Dewey Street</t>
        </is>
      </c>
      <c r="E331" t="inlineStr">
        <is>
          <t>Beardsley Street</t>
        </is>
      </c>
      <c r="F331" t="inlineStr">
        <is>
          <t>1217444494</t>
        </is>
      </c>
      <c r="G331" t="inlineStr"/>
      <c r="H331" t="inlineStr">
        <is>
          <t>inferred</t>
        </is>
      </c>
      <c r="I331" t="inlineStr">
        <is>
          <t>no</t>
        </is>
      </c>
      <c r="J331" t="inlineStr">
        <is>
          <t>https://www.google.com/maps/@?api=1&amp;map_action=pano&amp;viewpoint=32.702405,-117.147580&amp;heading=129</t>
        </is>
      </c>
      <c r="K331" t="inlineStr">
        <is>
          <t>https://www.google.com/maps/search/?api=1&amp;query=32.702405,-117.147580</t>
        </is>
      </c>
      <c r="L331" t="inlineStr"/>
      <c r="M331" t="inlineStr"/>
      <c r="N331" t="inlineStr"/>
      <c r="O331" t="inlineStr"/>
      <c r="P331" t="inlineStr">
        <is>
          <t>pending</t>
        </is>
      </c>
      <c r="Q331" t="inlineStr"/>
      <c r="R331" t="inlineStr"/>
      <c r="S331" t="inlineStr"/>
      <c r="T331" t="inlineStr"/>
      <c r="U331" t="inlineStr"/>
      <c r="V331">
        <f>IF(OR(L331="",S331=""),"",IF(VALUE(L331)=VALUE(S331),"Y","N"))</f>
        <v/>
      </c>
      <c r="W331">
        <f>IF(V331="Y",S331,"")</f>
        <v/>
      </c>
      <c r="X331" t="inlineStr">
        <is>
          <t>unverified: map has no limit (guessed from road type); main road: what is posted? 35 or lower opens it to LSVs</t>
        </is>
      </c>
      <c r="Y331" t="inlineStr"/>
      <c r="Z331" t="n">
        <v>944</v>
      </c>
      <c r="AA331" t="inlineStr">
        <is>
          <t>sd</t>
        </is>
      </c>
      <c r="AB331" t="inlineStr">
        <is>
          <t>sd|32.70240,-117.14758</t>
        </is>
      </c>
    </row>
    <row r="332">
      <c r="A332" t="inlineStr">
        <is>
          <t>SD-B2-331</t>
        </is>
      </c>
      <c r="B332" t="inlineStr">
        <is>
          <t>San Diego area</t>
        </is>
      </c>
      <c r="C332" t="inlineStr">
        <is>
          <t>National Avenue</t>
        </is>
      </c>
      <c r="D332" t="inlineStr">
        <is>
          <t>Burns Court</t>
        </is>
      </c>
      <c r="E332" t="inlineStr">
        <is>
          <t>South 37th Street</t>
        </is>
      </c>
      <c r="F332" t="inlineStr"/>
      <c r="G332" t="inlineStr"/>
      <c r="H332" t="inlineStr">
        <is>
          <t>inferred</t>
        </is>
      </c>
      <c r="I332" t="inlineStr">
        <is>
          <t>no</t>
        </is>
      </c>
      <c r="J332" t="inlineStr">
        <is>
          <t>https://www.google.com/maps/@?api=1&amp;map_action=pano&amp;viewpoint=32.696025,-117.115620&amp;heading=90</t>
        </is>
      </c>
      <c r="K332" t="inlineStr">
        <is>
          <t>https://www.google.com/maps/search/?api=1&amp;query=32.696025,-117.115620</t>
        </is>
      </c>
      <c r="L332" t="inlineStr"/>
      <c r="M332" t="inlineStr"/>
      <c r="N332" t="inlineStr"/>
      <c r="O332" t="inlineStr"/>
      <c r="P332" t="inlineStr">
        <is>
          <t>pending</t>
        </is>
      </c>
      <c r="Q332" t="inlineStr"/>
      <c r="R332" t="inlineStr"/>
      <c r="S332" t="inlineStr"/>
      <c r="T332" t="inlineStr"/>
      <c r="U332" t="inlineStr"/>
      <c r="V332">
        <f>IF(OR(L332="",S332=""),"",IF(VALUE(L332)=VALUE(S332),"Y","N"))</f>
        <v/>
      </c>
      <c r="W332">
        <f>IF(V332="Y",S332,"")</f>
        <v/>
      </c>
      <c r="X332" t="inlineStr">
        <is>
          <t>unverified: map has no limit (guessed from road type); main road: what is posted? 35 or lower opens it to LSVs</t>
        </is>
      </c>
      <c r="Y332" t="inlineStr"/>
      <c r="Z332" t="n">
        <v>936</v>
      </c>
      <c r="AA332" t="inlineStr">
        <is>
          <t>sd</t>
        </is>
      </c>
      <c r="AB332" t="inlineStr">
        <is>
          <t>sd|32.69602,-117.11562</t>
        </is>
      </c>
    </row>
    <row r="333">
      <c r="A333" t="inlineStr">
        <is>
          <t>SD-B2-332</t>
        </is>
      </c>
      <c r="B333" t="inlineStr">
        <is>
          <t>San Diego area</t>
        </is>
      </c>
      <c r="C333" t="inlineStr">
        <is>
          <t>Camino de Los Coches</t>
        </is>
      </c>
      <c r="D333" t="inlineStr">
        <is>
          <t>La Costa Avenue</t>
        </is>
      </c>
      <c r="E333" t="inlineStr">
        <is>
          <t>Rancho Santa Fe Road</t>
        </is>
      </c>
      <c r="F333" t="inlineStr">
        <is>
          <t>5973313</t>
        </is>
      </c>
      <c r="G333" t="n">
        <v>25</v>
      </c>
      <c r="H333" t="inlineStr">
        <is>
          <t>inferred</t>
        </is>
      </c>
      <c r="I333" t="inlineStr">
        <is>
          <t>cart+LSV</t>
        </is>
      </c>
      <c r="J333" t="inlineStr">
        <is>
          <t>https://www.google.com/maps/@?api=1&amp;map_action=pano&amp;viewpoint=33.079080,-117.229800&amp;heading=167</t>
        </is>
      </c>
      <c r="K333" t="inlineStr">
        <is>
          <t>https://www.google.com/maps/search/?api=1&amp;query=33.079080,-117.229800</t>
        </is>
      </c>
      <c r="L333" t="inlineStr"/>
      <c r="M333" t="inlineStr"/>
      <c r="N333" t="inlineStr"/>
      <c r="O333" t="inlineStr"/>
      <c r="P333" t="inlineStr">
        <is>
          <t>pending</t>
        </is>
      </c>
      <c r="Q333" t="inlineStr"/>
      <c r="R333" t="inlineStr"/>
      <c r="S333" t="inlineStr"/>
      <c r="T333" t="inlineStr"/>
      <c r="U333" t="inlineStr"/>
      <c r="V333">
        <f>IF(OR(L333="",S333=""),"",IF(VALUE(L333)=VALUE(S333),"Y","N"))</f>
        <v/>
      </c>
      <c r="W333">
        <f>IF(V333="Y",S333,"")</f>
        <v/>
      </c>
      <c r="X333" t="inlineStr">
        <is>
          <t>unverified: map has 25 mph (guessed from road type); is it 25 (carts OK) or 30+?</t>
        </is>
      </c>
      <c r="Y333" t="inlineStr"/>
      <c r="Z333" t="n">
        <v>1399</v>
      </c>
      <c r="AA333" t="inlineStr">
        <is>
          <t>sd</t>
        </is>
      </c>
      <c r="AB333" t="inlineStr">
        <is>
          <t>sd|33.07908,-117.22980</t>
        </is>
      </c>
    </row>
    <row r="334">
      <c r="A334" t="inlineStr">
        <is>
          <t>SD-B2-333</t>
        </is>
      </c>
      <c r="B334" t="inlineStr">
        <is>
          <t>San Diego area</t>
        </is>
      </c>
      <c r="C334" t="inlineStr">
        <is>
          <t>Mesa College Drive</t>
        </is>
      </c>
      <c r="D334" t="inlineStr">
        <is>
          <t>Kearny Villa Road</t>
        </is>
      </c>
      <c r="E334" t="inlineStr">
        <is>
          <t>Armstrong Street</t>
        </is>
      </c>
      <c r="F334" t="inlineStr">
        <is>
          <t>5985474</t>
        </is>
      </c>
      <c r="G334" t="n">
        <v>45</v>
      </c>
      <c r="H334" t="inlineStr">
        <is>
          <t>tag</t>
        </is>
      </c>
      <c r="I334" t="inlineStr">
        <is>
          <t>no</t>
        </is>
      </c>
      <c r="J334" t="inlineStr">
        <is>
          <t>https://www.google.com/maps/@?api=1&amp;map_action=pano&amp;viewpoint=32.801905,-117.160670&amp;heading=296</t>
        </is>
      </c>
      <c r="K334" t="inlineStr">
        <is>
          <t>https://www.google.com/maps/search/?api=1&amp;query=32.801905,-117.160670</t>
        </is>
      </c>
      <c r="L334" t="inlineStr"/>
      <c r="M334" t="inlineStr"/>
      <c r="N334" t="inlineStr"/>
      <c r="O334" t="inlineStr"/>
      <c r="P334" t="inlineStr">
        <is>
          <t>pending</t>
        </is>
      </c>
      <c r="Q334" t="inlineStr"/>
      <c r="R334" t="inlineStr"/>
      <c r="S334" t="inlineStr"/>
      <c r="T334" t="inlineStr"/>
      <c r="U334" t="inlineStr"/>
      <c r="V334">
        <f>IF(OR(L334="",S334=""),"",IF(VALUE(L334)=VALUE(S334),"Y","N"))</f>
        <v/>
      </c>
      <c r="W334">
        <f>IF(V334="Y",S334,"")</f>
        <v/>
      </c>
      <c r="X334" t="inlineStr">
        <is>
          <t>unverified: map has 45 mph (OSM tag only); main road: what is posted? 35 or lower opens it to LSVs</t>
        </is>
      </c>
      <c r="Y334" t="inlineStr"/>
      <c r="Z334" t="n">
        <v>1451</v>
      </c>
      <c r="AA334" t="inlineStr">
        <is>
          <t>sd</t>
        </is>
      </c>
      <c r="AB334" t="inlineStr">
        <is>
          <t>sd|32.80190,-117.16067</t>
        </is>
      </c>
    </row>
    <row r="335">
      <c r="A335" t="inlineStr">
        <is>
          <t>SD-B2-334</t>
        </is>
      </c>
      <c r="B335" t="inlineStr">
        <is>
          <t>San Diego area</t>
        </is>
      </c>
      <c r="C335" t="inlineStr">
        <is>
          <t>El Cajon Boulevard</t>
        </is>
      </c>
      <c r="D335" t="inlineStr">
        <is>
          <t>Illinois Street</t>
        </is>
      </c>
      <c r="E335" t="inlineStr">
        <is>
          <t>33rd Street</t>
        </is>
      </c>
      <c r="F335" t="inlineStr">
        <is>
          <t>5969994</t>
        </is>
      </c>
      <c r="G335" t="n">
        <v>35</v>
      </c>
      <c r="H335" t="inlineStr">
        <is>
          <t>tag</t>
        </is>
      </c>
      <c r="I335" t="inlineStr">
        <is>
          <t>LSV</t>
        </is>
      </c>
      <c r="J335" t="inlineStr">
        <is>
          <t>https://www.google.com/maps/@?api=1&amp;map_action=pano&amp;viewpoint=32.755335,-117.120870&amp;heading=270</t>
        </is>
      </c>
      <c r="K335" t="inlineStr">
        <is>
          <t>https://www.google.com/maps/search/?api=1&amp;query=32.755335,-117.120870</t>
        </is>
      </c>
      <c r="L335" t="inlineStr"/>
      <c r="M335" t="inlineStr"/>
      <c r="N335" t="inlineStr"/>
      <c r="O335" t="inlineStr"/>
      <c r="P335" t="inlineStr">
        <is>
          <t>pending</t>
        </is>
      </c>
      <c r="Q335" t="inlineStr"/>
      <c r="R335" t="inlineStr"/>
      <c r="S335" t="inlineStr"/>
      <c r="T335" t="inlineStr"/>
      <c r="U335" t="inlineStr"/>
      <c r="V335">
        <f>IF(OR(L335="",S335=""),"",IF(VALUE(L335)=VALUE(S335),"Y","N"))</f>
        <v/>
      </c>
      <c r="W335">
        <f>IF(V335="Y",S335,"")</f>
        <v/>
      </c>
      <c r="X335" t="inlineStr">
        <is>
          <t>unverified: map has 35 mph (OSM tag only); is it 35 (LSV OK) or 40+?</t>
        </is>
      </c>
      <c r="Y335" t="inlineStr"/>
      <c r="Z335" t="n">
        <v>1207</v>
      </c>
      <c r="AA335" t="inlineStr">
        <is>
          <t>sd</t>
        </is>
      </c>
      <c r="AB335" t="inlineStr">
        <is>
          <t>sd|32.75534,-117.12087</t>
        </is>
      </c>
    </row>
    <row r="336">
      <c r="A336" t="inlineStr">
        <is>
          <t>SD-B2-335</t>
        </is>
      </c>
      <c r="B336" t="inlineStr">
        <is>
          <t>San Diego area</t>
        </is>
      </c>
      <c r="C336" t="inlineStr">
        <is>
          <t>Nimitz Boulevard</t>
        </is>
      </c>
      <c r="D336" t="inlineStr">
        <is>
          <t>Sunset Cliffs Boulevard</t>
        </is>
      </c>
      <c r="E336" t="inlineStr">
        <is>
          <t>West Point Loma Boulevard</t>
        </is>
      </c>
      <c r="F336" t="inlineStr"/>
      <c r="G336" t="inlineStr"/>
      <c r="H336" t="inlineStr">
        <is>
          <t>inferred</t>
        </is>
      </c>
      <c r="I336" t="inlineStr">
        <is>
          <t>no</t>
        </is>
      </c>
      <c r="J336" t="inlineStr">
        <is>
          <t>https://www.google.com/maps/@?api=1&amp;map_action=pano&amp;viewpoint=32.748845,-117.235020&amp;heading=159</t>
        </is>
      </c>
      <c r="K336" t="inlineStr">
        <is>
          <t>https://www.google.com/maps/search/?api=1&amp;query=32.748845,-117.235020</t>
        </is>
      </c>
      <c r="L336" t="inlineStr"/>
      <c r="M336" t="inlineStr"/>
      <c r="N336" t="inlineStr"/>
      <c r="O336" t="inlineStr"/>
      <c r="P336" t="inlineStr">
        <is>
          <t>pending</t>
        </is>
      </c>
      <c r="Q336" t="inlineStr"/>
      <c r="R336" t="inlineStr"/>
      <c r="S336" t="inlineStr"/>
      <c r="T336" t="inlineStr"/>
      <c r="U336" t="inlineStr"/>
      <c r="V336">
        <f>IF(OR(L336="",S336=""),"",IF(VALUE(L336)=VALUE(S336),"Y","N"))</f>
        <v/>
      </c>
      <c r="W336">
        <f>IF(V336="Y",S336,"")</f>
        <v/>
      </c>
      <c r="X336" t="inlineStr">
        <is>
          <t>unverified: map has no limit (guessed from road type); main road: what is posted? 35 or lower opens it to LSVs</t>
        </is>
      </c>
      <c r="Y336" t="inlineStr"/>
      <c r="Z336" t="n">
        <v>923</v>
      </c>
      <c r="AA336" t="inlineStr">
        <is>
          <t>sd</t>
        </is>
      </c>
      <c r="AB336" t="inlineStr">
        <is>
          <t>sd|32.74885,-117.23502</t>
        </is>
      </c>
    </row>
    <row r="337">
      <c r="A337" t="inlineStr">
        <is>
          <t>SD-B2-336</t>
        </is>
      </c>
      <c r="B337" t="inlineStr">
        <is>
          <t>San Diego area</t>
        </is>
      </c>
      <c r="C337" t="inlineStr">
        <is>
          <t>La Granada</t>
        </is>
      </c>
      <c r="D337" t="inlineStr">
        <is>
          <t>(see map link)</t>
        </is>
      </c>
      <c r="E337" t="inlineStr">
        <is>
          <t>Paseo Delicias</t>
        </is>
      </c>
      <c r="F337" t="inlineStr">
        <is>
          <t>345629388</t>
        </is>
      </c>
      <c r="G337" t="n">
        <v>45</v>
      </c>
      <c r="H337" t="inlineStr">
        <is>
          <t>mapillary</t>
        </is>
      </c>
      <c r="I337" t="inlineStr">
        <is>
          <t>no</t>
        </is>
      </c>
      <c r="J337" t="inlineStr">
        <is>
          <t>https://www.google.com/maps/@?api=1&amp;map_action=pano&amp;viewpoint=33.023700,-117.217930&amp;heading=54</t>
        </is>
      </c>
      <c r="K337" t="inlineStr">
        <is>
          <t>https://www.google.com/maps/search/?api=1&amp;query=33.023700,-117.217930</t>
        </is>
      </c>
      <c r="L337" t="inlineStr"/>
      <c r="M337" t="inlineStr"/>
      <c r="N337" t="inlineStr"/>
      <c r="O337" t="inlineStr"/>
      <c r="P337" t="inlineStr">
        <is>
          <t>pending</t>
        </is>
      </c>
      <c r="Q337" t="inlineStr"/>
      <c r="R337" t="inlineStr"/>
      <c r="S337" t="inlineStr"/>
      <c r="T337" t="inlineStr">
        <is>
          <t>Mapillary: 14 posted 45 mph sign(s) detected</t>
        </is>
      </c>
      <c r="U337" t="inlineStr">
        <is>
          <t>https://www.mapillary.com/app/?lat=33.022297&amp;lng=-117.222275&amp;z=19&amp;focus=map&amp;mapFeatureId=1053222685217818</t>
        </is>
      </c>
      <c r="V337">
        <f>IF(OR(L337="",S337=""),"",IF(VALUE(L337)=VALUE(S337),"Y","N"))</f>
        <v/>
      </c>
      <c r="W337">
        <f>IF(V337="Y",S337,"")</f>
        <v/>
      </c>
      <c r="X337" t="inlineStr">
        <is>
          <t>unverified: map has 45 mph (one Mapillary sign); main road: what is posted? 35 or lower opens it to LSVs</t>
        </is>
      </c>
      <c r="Y337" t="inlineStr"/>
      <c r="Z337" t="n">
        <v>2656</v>
      </c>
      <c r="AA337" t="inlineStr">
        <is>
          <t>sd</t>
        </is>
      </c>
      <c r="AB337" t="inlineStr">
        <is>
          <t>sd|33.02370,-117.21793</t>
        </is>
      </c>
    </row>
    <row r="338">
      <c r="A338" t="inlineStr">
        <is>
          <t>SD-B2-337</t>
        </is>
      </c>
      <c r="B338" t="inlineStr">
        <is>
          <t>San Diego area</t>
        </is>
      </c>
      <c r="C338" t="inlineStr">
        <is>
          <t>Cleveland Avenue</t>
        </is>
      </c>
      <c r="D338" t="inlineStr">
        <is>
          <t>(see map link)</t>
        </is>
      </c>
      <c r="E338" t="inlineStr">
        <is>
          <t>Civic Center Drive</t>
        </is>
      </c>
      <c r="F338" t="inlineStr">
        <is>
          <t>6045760</t>
        </is>
      </c>
      <c r="G338" t="inlineStr"/>
      <c r="H338" t="inlineStr">
        <is>
          <t>inferred</t>
        </is>
      </c>
      <c r="I338" t="inlineStr">
        <is>
          <t>no</t>
        </is>
      </c>
      <c r="J338" t="inlineStr">
        <is>
          <t>https://www.google.com/maps/@?api=1&amp;map_action=pano&amp;viewpoint=32.665980,-117.112205&amp;heading=162</t>
        </is>
      </c>
      <c r="K338" t="inlineStr">
        <is>
          <t>https://www.google.com/maps/search/?api=1&amp;query=32.665980,-117.112205</t>
        </is>
      </c>
      <c r="L338" t="inlineStr"/>
      <c r="M338" t="inlineStr"/>
      <c r="N338" t="inlineStr"/>
      <c r="O338" t="inlineStr"/>
      <c r="P338" t="inlineStr">
        <is>
          <t>pending</t>
        </is>
      </c>
      <c r="Q338" t="inlineStr"/>
      <c r="R338" t="inlineStr"/>
      <c r="S338" t="inlineStr"/>
      <c r="T338" t="inlineStr"/>
      <c r="U338" t="inlineStr"/>
      <c r="V338">
        <f>IF(OR(L338="",S338=""),"",IF(VALUE(L338)=VALUE(S338),"Y","N"))</f>
        <v/>
      </c>
      <c r="W338">
        <f>IF(V338="Y",S338,"")</f>
        <v/>
      </c>
      <c r="X338" t="inlineStr">
        <is>
          <t>unverified: map has no limit (guessed from road type); main road: what is posted? 35 or lower opens it to LSVs</t>
        </is>
      </c>
      <c r="Y338" t="inlineStr"/>
      <c r="Z338" t="n">
        <v>1105</v>
      </c>
      <c r="AA338" t="inlineStr">
        <is>
          <t>sd</t>
        </is>
      </c>
      <c r="AB338" t="inlineStr">
        <is>
          <t>sd|32.66598,-117.11220</t>
        </is>
      </c>
    </row>
    <row r="339">
      <c r="A339" t="inlineStr">
        <is>
          <t>SD-B2-338</t>
        </is>
      </c>
      <c r="B339" t="inlineStr">
        <is>
          <t>San Diego area</t>
        </is>
      </c>
      <c r="C339" t="inlineStr">
        <is>
          <t>Ivy Road</t>
        </is>
      </c>
      <c r="D339" t="inlineStr">
        <is>
          <t>Jefferson Street</t>
        </is>
      </c>
      <c r="E339" t="inlineStr">
        <is>
          <t>Avocado Road</t>
        </is>
      </c>
      <c r="F339" t="inlineStr">
        <is>
          <t>808604365</t>
        </is>
      </c>
      <c r="G339" t="n">
        <v>25</v>
      </c>
      <c r="H339" t="inlineStr">
        <is>
          <t>inferred</t>
        </is>
      </c>
      <c r="I339" t="inlineStr">
        <is>
          <t>cart+LSV</t>
        </is>
      </c>
      <c r="J339" t="inlineStr">
        <is>
          <t>https://www.google.com/maps/@?api=1&amp;map_action=pano&amp;viewpoint=33.185045,-117.339735&amp;heading=8</t>
        </is>
      </c>
      <c r="K339" t="inlineStr">
        <is>
          <t>https://www.google.com/maps/search/?api=1&amp;query=33.185045,-117.339735</t>
        </is>
      </c>
      <c r="L339" t="inlineStr"/>
      <c r="M339" t="inlineStr"/>
      <c r="N339" t="inlineStr"/>
      <c r="O339" t="inlineStr"/>
      <c r="P339" t="inlineStr">
        <is>
          <t>pending</t>
        </is>
      </c>
      <c r="Q339" t="inlineStr"/>
      <c r="R339" t="inlineStr"/>
      <c r="S339" t="inlineStr"/>
      <c r="T339" t="inlineStr"/>
      <c r="U339" t="inlineStr"/>
      <c r="V339">
        <f>IF(OR(L339="",S339=""),"",IF(VALUE(L339)=VALUE(S339),"Y","N"))</f>
        <v/>
      </c>
      <c r="W339">
        <f>IF(V339="Y",S339,"")</f>
        <v/>
      </c>
      <c r="X339" t="inlineStr">
        <is>
          <t>unverified: map has 25 mph (guessed from road type); is it 25 (carts OK) or 30+?</t>
        </is>
      </c>
      <c r="Y339" t="inlineStr"/>
      <c r="Z339" t="n">
        <v>1380</v>
      </c>
      <c r="AA339" t="inlineStr">
        <is>
          <t>sd</t>
        </is>
      </c>
      <c r="AB339" t="inlineStr">
        <is>
          <t>sd|33.18505,-117.33973</t>
        </is>
      </c>
    </row>
    <row r="340">
      <c r="A340" t="inlineStr">
        <is>
          <t>SD-B2-339</t>
        </is>
      </c>
      <c r="B340" t="inlineStr">
        <is>
          <t>San Diego area</t>
        </is>
      </c>
      <c r="C340" t="inlineStr">
        <is>
          <t>Genesee Avenue</t>
        </is>
      </c>
      <c r="D340" t="inlineStr">
        <is>
          <t>(see map link)</t>
        </is>
      </c>
      <c r="E340" t="inlineStr">
        <is>
          <t>Leeds Street</t>
        </is>
      </c>
      <c r="F340" t="inlineStr">
        <is>
          <t>436419449</t>
        </is>
      </c>
      <c r="G340" t="n">
        <v>45</v>
      </c>
      <c r="H340" t="inlineStr">
        <is>
          <t>tag</t>
        </is>
      </c>
      <c r="I340" t="inlineStr">
        <is>
          <t>no</t>
        </is>
      </c>
      <c r="J340" t="inlineStr">
        <is>
          <t>https://www.google.com/maps/@?api=1&amp;map_action=pano&amp;viewpoint=32.886050,-117.223380&amp;heading=317</t>
        </is>
      </c>
      <c r="K340" t="inlineStr">
        <is>
          <t>https://www.google.com/maps/search/?api=1&amp;query=32.886050,-117.223380</t>
        </is>
      </c>
      <c r="L340" t="inlineStr"/>
      <c r="M340" t="inlineStr"/>
      <c r="N340" t="inlineStr"/>
      <c r="O340" t="inlineStr"/>
      <c r="P340" t="inlineStr">
        <is>
          <t>pending</t>
        </is>
      </c>
      <c r="Q340" t="inlineStr"/>
      <c r="R340" t="inlineStr"/>
      <c r="S340" t="inlineStr"/>
      <c r="T340" t="inlineStr"/>
      <c r="U340" t="inlineStr"/>
      <c r="V340">
        <f>IF(OR(L340="",S340=""),"",IF(VALUE(L340)=VALUE(S340),"Y","N"))</f>
        <v/>
      </c>
      <c r="W340">
        <f>IF(V340="Y",S340,"")</f>
        <v/>
      </c>
      <c r="X340" t="inlineStr">
        <is>
          <t>unverified: map has 45 mph (OSM tag only); main road: what is posted? 35 or lower opens it to LSVs</t>
        </is>
      </c>
      <c r="Y340" t="inlineStr"/>
      <c r="Z340" t="n">
        <v>1186</v>
      </c>
      <c r="AA340" t="inlineStr">
        <is>
          <t>sd</t>
        </is>
      </c>
      <c r="AB340" t="inlineStr">
        <is>
          <t>sd|32.88605,-117.22338</t>
        </is>
      </c>
    </row>
    <row r="341">
      <c r="A341" t="inlineStr">
        <is>
          <t>SD-B2-340</t>
        </is>
      </c>
      <c r="B341" t="inlineStr">
        <is>
          <t>San Diego area</t>
        </is>
      </c>
      <c r="C341" t="inlineStr">
        <is>
          <t>South El Camino Real</t>
        </is>
      </c>
      <c r="D341" t="inlineStr">
        <is>
          <t>Camino Town</t>
        </is>
      </c>
      <c r="E341" t="inlineStr">
        <is>
          <t>Fire Mountain Drive</t>
        </is>
      </c>
      <c r="F341" t="inlineStr">
        <is>
          <t>1369011693</t>
        </is>
      </c>
      <c r="G341" t="n">
        <v>45</v>
      </c>
      <c r="H341" t="inlineStr">
        <is>
          <t>tag</t>
        </is>
      </c>
      <c r="I341" t="inlineStr">
        <is>
          <t>no</t>
        </is>
      </c>
      <c r="J341" t="inlineStr">
        <is>
          <t>https://www.google.com/maps/@?api=1&amp;map_action=pano&amp;viewpoint=33.189190,-117.328315&amp;heading=184</t>
        </is>
      </c>
      <c r="K341" t="inlineStr">
        <is>
          <t>https://www.google.com/maps/search/?api=1&amp;query=33.189190,-117.328315</t>
        </is>
      </c>
      <c r="L341" t="inlineStr"/>
      <c r="M341" t="inlineStr"/>
      <c r="N341" t="inlineStr"/>
      <c r="O341" t="inlineStr"/>
      <c r="P341" t="inlineStr">
        <is>
          <t>pending</t>
        </is>
      </c>
      <c r="Q341" t="inlineStr"/>
      <c r="R341" t="inlineStr"/>
      <c r="S341" t="inlineStr"/>
      <c r="T341" t="inlineStr"/>
      <c r="U341" t="inlineStr"/>
      <c r="V341">
        <f>IF(OR(L341="",S341=""),"",IF(VALUE(L341)=VALUE(S341),"Y","N"))</f>
        <v/>
      </c>
      <c r="W341">
        <f>IF(V341="Y",S341,"")</f>
        <v/>
      </c>
      <c r="X341" t="inlineStr">
        <is>
          <t>unverified: map has 45 mph (OSM tag only); main road: what is posted? 35 or lower opens it to LSVs</t>
        </is>
      </c>
      <c r="Y341" t="inlineStr"/>
      <c r="Z341" t="n">
        <v>1174</v>
      </c>
      <c r="AA341" t="inlineStr">
        <is>
          <t>sd</t>
        </is>
      </c>
      <c r="AB341" t="inlineStr">
        <is>
          <t>sd|33.18919,-117.32832</t>
        </is>
      </c>
    </row>
    <row r="342">
      <c r="A342" t="inlineStr">
        <is>
          <t>SD-B2-341</t>
        </is>
      </c>
      <c r="B342" t="inlineStr">
        <is>
          <t>San Diego area</t>
        </is>
      </c>
      <c r="C342" t="inlineStr">
        <is>
          <t>Bush Street</t>
        </is>
      </c>
      <c r="D342" t="inlineStr">
        <is>
          <t>Civic Center Drive</t>
        </is>
      </c>
      <c r="E342" t="inlineStr">
        <is>
          <t>Canyon Drive</t>
        </is>
      </c>
      <c r="F342" t="inlineStr">
        <is>
          <t>26798600</t>
        </is>
      </c>
      <c r="G342" t="inlineStr"/>
      <c r="H342" t="inlineStr">
        <is>
          <t>inferred</t>
        </is>
      </c>
      <c r="I342" t="inlineStr">
        <is>
          <t>no</t>
        </is>
      </c>
      <c r="J342" t="inlineStr">
        <is>
          <t>https://www.google.com/maps/@?api=1&amp;map_action=pano&amp;viewpoint=33.202010,-117.372995&amp;heading=59</t>
        </is>
      </c>
      <c r="K342" t="inlineStr">
        <is>
          <t>https://www.google.com/maps/search/?api=1&amp;query=33.202010,-117.372995</t>
        </is>
      </c>
      <c r="L342" t="inlineStr"/>
      <c r="M342" t="inlineStr"/>
      <c r="N342" t="inlineStr"/>
      <c r="O342" t="inlineStr"/>
      <c r="P342" t="inlineStr">
        <is>
          <t>pending</t>
        </is>
      </c>
      <c r="Q342" t="inlineStr"/>
      <c r="R342" t="inlineStr"/>
      <c r="S342" t="inlineStr"/>
      <c r="T342" t="inlineStr"/>
      <c r="U342" t="inlineStr"/>
      <c r="V342">
        <f>IF(OR(L342="",S342=""),"",IF(VALUE(L342)=VALUE(S342),"Y","N"))</f>
        <v/>
      </c>
      <c r="W342">
        <f>IF(V342="Y",S342,"")</f>
        <v/>
      </c>
      <c r="X342" t="inlineStr">
        <is>
          <t>unverified: map has no limit (guessed from road type); main road: what is posted? 35 or lower opens it to LSVs</t>
        </is>
      </c>
      <c r="Y342" t="inlineStr"/>
      <c r="Z342" t="n">
        <v>1081</v>
      </c>
      <c r="AA342" t="inlineStr">
        <is>
          <t>sd</t>
        </is>
      </c>
      <c r="AB342" t="inlineStr">
        <is>
          <t>sd|33.20201,-117.37300</t>
        </is>
      </c>
    </row>
    <row r="343">
      <c r="A343" t="inlineStr">
        <is>
          <t>SD-B2-342</t>
        </is>
      </c>
      <c r="B343" t="inlineStr">
        <is>
          <t>San Diego area</t>
        </is>
      </c>
      <c r="C343" t="inlineStr">
        <is>
          <t>Carroll Road</t>
        </is>
      </c>
      <c r="D343" t="inlineStr">
        <is>
          <t>Brown Deer Road</t>
        </is>
      </c>
      <c r="E343" t="inlineStr">
        <is>
          <t>Carroll Canyon Road</t>
        </is>
      </c>
      <c r="F343" t="inlineStr">
        <is>
          <t>1429907357</t>
        </is>
      </c>
      <c r="G343" t="n">
        <v>45</v>
      </c>
      <c r="H343" t="inlineStr">
        <is>
          <t>tag</t>
        </is>
      </c>
      <c r="I343" t="inlineStr">
        <is>
          <t>no</t>
        </is>
      </c>
      <c r="J343" t="inlineStr">
        <is>
          <t>https://www.google.com/maps/@?api=1&amp;map_action=pano&amp;viewpoint=32.887520,-117.176640&amp;heading=91</t>
        </is>
      </c>
      <c r="K343" t="inlineStr">
        <is>
          <t>https://www.google.com/maps/search/?api=1&amp;query=32.887520,-117.176640</t>
        </is>
      </c>
      <c r="L343" t="inlineStr"/>
      <c r="M343" t="inlineStr"/>
      <c r="N343" t="inlineStr"/>
      <c r="O343" t="inlineStr"/>
      <c r="P343" t="inlineStr">
        <is>
          <t>pending</t>
        </is>
      </c>
      <c r="Q343" t="inlineStr"/>
      <c r="R343" t="inlineStr"/>
      <c r="S343" t="inlineStr"/>
      <c r="T343" t="inlineStr"/>
      <c r="U343" t="inlineStr"/>
      <c r="V343">
        <f>IF(OR(L343="",S343=""),"",IF(VALUE(L343)=VALUE(S343),"Y","N"))</f>
        <v/>
      </c>
      <c r="W343">
        <f>IF(V343="Y",S343,"")</f>
        <v/>
      </c>
      <c r="X343" t="inlineStr">
        <is>
          <t>unverified: map has 45 mph (OSM tag only); main road: what is posted? 35 or lower opens it to LSVs</t>
        </is>
      </c>
      <c r="Y343" t="inlineStr"/>
      <c r="Z343" t="n">
        <v>1400</v>
      </c>
      <c r="AA343" t="inlineStr">
        <is>
          <t>sd</t>
        </is>
      </c>
      <c r="AB343" t="inlineStr">
        <is>
          <t>sd|32.88752,-117.17664</t>
        </is>
      </c>
    </row>
    <row r="344">
      <c r="A344" t="inlineStr">
        <is>
          <t>SD-B2-343</t>
        </is>
      </c>
      <c r="B344" t="inlineStr">
        <is>
          <t>San Diego area</t>
        </is>
      </c>
      <c r="C344" t="inlineStr">
        <is>
          <t>River Road</t>
        </is>
      </c>
      <c r="D344" t="inlineStr">
        <is>
          <t>Benet Road</t>
        </is>
      </c>
      <c r="E344" t="inlineStr">
        <is>
          <t>North Foussat Road</t>
        </is>
      </c>
      <c r="F344" t="inlineStr">
        <is>
          <t>6042498</t>
        </is>
      </c>
      <c r="G344" t="inlineStr"/>
      <c r="H344" t="inlineStr">
        <is>
          <t>inferred</t>
        </is>
      </c>
      <c r="I344" t="inlineStr">
        <is>
          <t>no</t>
        </is>
      </c>
      <c r="J344" t="inlineStr">
        <is>
          <t>https://www.google.com/maps/@?api=1&amp;map_action=pano&amp;viewpoint=33.223310,-117.351460&amp;heading=89</t>
        </is>
      </c>
      <c r="K344" t="inlineStr">
        <is>
          <t>https://www.google.com/maps/search/?api=1&amp;query=33.223310,-117.351460</t>
        </is>
      </c>
      <c r="L344" t="inlineStr"/>
      <c r="M344" t="inlineStr"/>
      <c r="N344" t="inlineStr"/>
      <c r="O344" t="inlineStr"/>
      <c r="P344" t="inlineStr">
        <is>
          <t>pending</t>
        </is>
      </c>
      <c r="Q344" t="inlineStr"/>
      <c r="R344" t="inlineStr"/>
      <c r="S344" t="inlineStr"/>
      <c r="T344" t="inlineStr"/>
      <c r="U344" t="inlineStr"/>
      <c r="V344">
        <f>IF(OR(L344="",S344=""),"",IF(VALUE(L344)=VALUE(S344),"Y","N"))</f>
        <v/>
      </c>
      <c r="W344">
        <f>IF(V344="Y",S344,"")</f>
        <v/>
      </c>
      <c r="X344" t="inlineStr">
        <is>
          <t>unverified: map has no limit (guessed from road type); main road: what is posted? 35 or lower opens it to LSVs</t>
        </is>
      </c>
      <c r="Y344" t="inlineStr"/>
      <c r="Z344" t="n">
        <v>1074</v>
      </c>
      <c r="AA344" t="inlineStr">
        <is>
          <t>sd</t>
        </is>
      </c>
      <c r="AB344" t="inlineStr">
        <is>
          <t>sd|33.22331,-117.35146</t>
        </is>
      </c>
    </row>
    <row r="345">
      <c r="A345" t="inlineStr">
        <is>
          <t>SD-B2-344</t>
        </is>
      </c>
      <c r="B345" t="inlineStr">
        <is>
          <t>San Diego area</t>
        </is>
      </c>
      <c r="C345" t="inlineStr">
        <is>
          <t>Gilman Drive</t>
        </is>
      </c>
      <c r="D345" t="inlineStr">
        <is>
          <t>(see map link)</t>
        </is>
      </c>
      <c r="E345" t="inlineStr">
        <is>
          <t>Villa La Jolla Drive</t>
        </is>
      </c>
      <c r="F345" t="inlineStr">
        <is>
          <t>778747012</t>
        </is>
      </c>
      <c r="G345" t="n">
        <v>45</v>
      </c>
      <c r="H345" t="inlineStr">
        <is>
          <t>tag</t>
        </is>
      </c>
      <c r="I345" t="inlineStr">
        <is>
          <t>no</t>
        </is>
      </c>
      <c r="J345" t="inlineStr">
        <is>
          <t>https://www.google.com/maps/@?api=1&amp;map_action=pano&amp;viewpoint=32.866460,-117.237260&amp;heading=189</t>
        </is>
      </c>
      <c r="K345" t="inlineStr">
        <is>
          <t>https://www.google.com/maps/search/?api=1&amp;query=32.866460,-117.237260</t>
        </is>
      </c>
      <c r="L345" t="inlineStr"/>
      <c r="M345" t="inlineStr"/>
      <c r="N345" t="inlineStr"/>
      <c r="O345" t="inlineStr"/>
      <c r="P345" t="inlineStr">
        <is>
          <t>pending</t>
        </is>
      </c>
      <c r="Q345" t="inlineStr"/>
      <c r="R345" t="inlineStr"/>
      <c r="S345" t="inlineStr"/>
      <c r="T345" t="inlineStr"/>
      <c r="U345" t="inlineStr"/>
      <c r="V345">
        <f>IF(OR(L345="",S345=""),"",IF(VALUE(L345)=VALUE(S345),"Y","N"))</f>
        <v/>
      </c>
      <c r="W345">
        <f>IF(V345="Y",S345,"")</f>
        <v/>
      </c>
      <c r="X345" t="inlineStr">
        <is>
          <t>unverified: map has 45 mph (OSM tag only); main road: what is posted? 35 or lower opens it to LSVs</t>
        </is>
      </c>
      <c r="Y345" t="inlineStr"/>
      <c r="Z345" t="n">
        <v>1392</v>
      </c>
      <c r="AA345" t="inlineStr">
        <is>
          <t>sd</t>
        </is>
      </c>
      <c r="AB345" t="inlineStr">
        <is>
          <t>sd|32.86646,-117.23726</t>
        </is>
      </c>
    </row>
    <row r="346">
      <c r="A346" t="inlineStr">
        <is>
          <t>SD-B2-345</t>
        </is>
      </c>
      <c r="B346" t="inlineStr">
        <is>
          <t>San Diego area</t>
        </is>
      </c>
      <c r="C346" t="inlineStr">
        <is>
          <t>Old Carmel Valley Road</t>
        </is>
      </c>
      <c r="D346" t="inlineStr">
        <is>
          <t>Del Mar Heights Road</t>
        </is>
      </c>
      <c r="E346" t="inlineStr">
        <is>
          <t>White Oak Lane</t>
        </is>
      </c>
      <c r="F346" t="inlineStr">
        <is>
          <t>1428962643</t>
        </is>
      </c>
      <c r="G346" t="n">
        <v>25</v>
      </c>
      <c r="H346" t="inlineStr">
        <is>
          <t>inferred</t>
        </is>
      </c>
      <c r="I346" t="inlineStr">
        <is>
          <t>cart+LSV</t>
        </is>
      </c>
      <c r="J346" t="inlineStr">
        <is>
          <t>https://www.google.com/maps/@?api=1&amp;map_action=pano&amp;viewpoint=32.954330,-117.199990&amp;heading=187</t>
        </is>
      </c>
      <c r="K346" t="inlineStr">
        <is>
          <t>https://www.google.com/maps/search/?api=1&amp;query=32.954330,-117.199990</t>
        </is>
      </c>
      <c r="L346" t="inlineStr"/>
      <c r="M346" t="inlineStr"/>
      <c r="N346" t="inlineStr"/>
      <c r="O346" t="inlineStr"/>
      <c r="P346" t="inlineStr">
        <is>
          <t>pending</t>
        </is>
      </c>
      <c r="Q346" t="inlineStr"/>
      <c r="R346" t="inlineStr"/>
      <c r="S346" t="inlineStr"/>
      <c r="T346" t="inlineStr"/>
      <c r="U346" t="inlineStr"/>
      <c r="V346">
        <f>IF(OR(L346="",S346=""),"",IF(VALUE(L346)=VALUE(S346),"Y","N"))</f>
        <v/>
      </c>
      <c r="W346">
        <f>IF(V346="Y",S346,"")</f>
        <v/>
      </c>
      <c r="X346" t="inlineStr">
        <is>
          <t>unverified: map has 25 mph (guessed from road type); is it 25 (carts OK) or 30+?</t>
        </is>
      </c>
      <c r="Y346" t="inlineStr"/>
      <c r="Z346" t="n">
        <v>1334</v>
      </c>
      <c r="AA346" t="inlineStr">
        <is>
          <t>sd</t>
        </is>
      </c>
      <c r="AB346" t="inlineStr">
        <is>
          <t>sd|32.95433,-117.19999</t>
        </is>
      </c>
    </row>
    <row r="347">
      <c r="A347" t="inlineStr">
        <is>
          <t>SD-B2-346</t>
        </is>
      </c>
      <c r="B347" t="inlineStr">
        <is>
          <t>San Diego area</t>
        </is>
      </c>
      <c r="C347" t="inlineStr">
        <is>
          <t>La Costa Avenue</t>
        </is>
      </c>
      <c r="D347" t="inlineStr">
        <is>
          <t>Nueva Castilla Way</t>
        </is>
      </c>
      <c r="E347" t="inlineStr">
        <is>
          <t>Viejo Castilla Way</t>
        </is>
      </c>
      <c r="F347" t="inlineStr">
        <is>
          <t>169543042</t>
        </is>
      </c>
      <c r="G347" t="n">
        <v>35</v>
      </c>
      <c r="H347" t="inlineStr">
        <is>
          <t>tag</t>
        </is>
      </c>
      <c r="I347" t="inlineStr">
        <is>
          <t>LSV</t>
        </is>
      </c>
      <c r="J347" t="inlineStr">
        <is>
          <t>https://www.google.com/maps/@?api=1&amp;map_action=pano&amp;viewpoint=33.087580,-117.263840&amp;heading=251</t>
        </is>
      </c>
      <c r="K347" t="inlineStr">
        <is>
          <t>https://www.google.com/maps/search/?api=1&amp;query=33.087580,-117.263840</t>
        </is>
      </c>
      <c r="L347" t="inlineStr"/>
      <c r="M347" t="inlineStr"/>
      <c r="N347" t="inlineStr"/>
      <c r="O347" t="inlineStr"/>
      <c r="P347" t="inlineStr">
        <is>
          <t>pending</t>
        </is>
      </c>
      <c r="Q347" t="inlineStr"/>
      <c r="R347" t="inlineStr"/>
      <c r="S347" t="inlineStr"/>
      <c r="T347" t="inlineStr"/>
      <c r="U347" t="inlineStr"/>
      <c r="V347">
        <f>IF(OR(L347="",S347=""),"",IF(VALUE(L347)=VALUE(S347),"Y","N"))</f>
        <v/>
      </c>
      <c r="W347">
        <f>IF(V347="Y",S347,"")</f>
        <v/>
      </c>
      <c r="X347" t="inlineStr">
        <is>
          <t>unverified: map has 35 mph (OSM tag only); is it 35 (LSV OK) or 40+?</t>
        </is>
      </c>
      <c r="Y347" t="inlineStr"/>
      <c r="Z347" t="n">
        <v>1386</v>
      </c>
      <c r="AA347" t="inlineStr">
        <is>
          <t>sd</t>
        </is>
      </c>
      <c r="AB347" t="inlineStr">
        <is>
          <t>sd|33.08758,-117.26384</t>
        </is>
      </c>
    </row>
    <row r="348">
      <c r="A348" t="inlineStr">
        <is>
          <t>SD-B2-347</t>
        </is>
      </c>
      <c r="B348" t="inlineStr">
        <is>
          <t>San Diego area</t>
        </is>
      </c>
      <c r="C348" t="inlineStr">
        <is>
          <t>Black Rail Road</t>
        </is>
      </c>
      <c r="D348" t="inlineStr">
        <is>
          <t>Aviara Parkway</t>
        </is>
      </c>
      <c r="E348" t="inlineStr">
        <is>
          <t>Sapphire Drive</t>
        </is>
      </c>
      <c r="F348" t="inlineStr">
        <is>
          <t>1343390139</t>
        </is>
      </c>
      <c r="G348" t="n">
        <v>25</v>
      </c>
      <c r="H348" t="inlineStr">
        <is>
          <t>inferred</t>
        </is>
      </c>
      <c r="I348" t="inlineStr">
        <is>
          <t>cart+LSV</t>
        </is>
      </c>
      <c r="J348" t="inlineStr">
        <is>
          <t>https://www.google.com/maps/@?api=1&amp;map_action=pano&amp;viewpoint=33.108190,-117.287620&amp;heading=359</t>
        </is>
      </c>
      <c r="K348" t="inlineStr">
        <is>
          <t>https://www.google.com/maps/search/?api=1&amp;query=33.108190,-117.287620</t>
        </is>
      </c>
      <c r="L348" t="inlineStr"/>
      <c r="M348" t="inlineStr"/>
      <c r="N348" t="inlineStr"/>
      <c r="O348" t="inlineStr"/>
      <c r="P348" t="inlineStr">
        <is>
          <t>pending</t>
        </is>
      </c>
      <c r="Q348" t="inlineStr"/>
      <c r="R348" t="inlineStr"/>
      <c r="S348" t="inlineStr"/>
      <c r="T348" t="inlineStr"/>
      <c r="U348" t="inlineStr"/>
      <c r="V348">
        <f>IF(OR(L348="",S348=""),"",IF(VALUE(L348)=VALUE(S348),"Y","N"))</f>
        <v/>
      </c>
      <c r="W348">
        <f>IF(V348="Y",S348,"")</f>
        <v/>
      </c>
      <c r="X348" t="inlineStr">
        <is>
          <t>unverified: map has 25 mph (guessed from road type); is it 25 (carts OK) or 30+?</t>
        </is>
      </c>
      <c r="Y348" t="inlineStr"/>
      <c r="Z348" t="n">
        <v>1325</v>
      </c>
      <c r="AA348" t="inlineStr">
        <is>
          <t>sd</t>
        </is>
      </c>
      <c r="AB348" t="inlineStr">
        <is>
          <t>sd|33.10819,-117.28762</t>
        </is>
      </c>
    </row>
    <row r="349">
      <c r="A349" t="inlineStr">
        <is>
          <t>SD-B2-348</t>
        </is>
      </c>
      <c r="B349" t="inlineStr">
        <is>
          <t>San Diego area</t>
        </is>
      </c>
      <c r="C349" t="inlineStr">
        <is>
          <t>Wateridge Circle</t>
        </is>
      </c>
      <c r="D349" t="inlineStr">
        <is>
          <t>Lusk Boulevard</t>
        </is>
      </c>
      <c r="E349" t="inlineStr">
        <is>
          <t>Wateridge Vista Drive</t>
        </is>
      </c>
      <c r="F349" t="inlineStr">
        <is>
          <t>1430130634</t>
        </is>
      </c>
      <c r="G349" t="n">
        <v>25</v>
      </c>
      <c r="H349" t="inlineStr">
        <is>
          <t>inferred</t>
        </is>
      </c>
      <c r="I349" t="inlineStr">
        <is>
          <t>cart+LSV</t>
        </is>
      </c>
      <c r="J349" t="inlineStr">
        <is>
          <t>https://www.google.com/maps/@?api=1&amp;map_action=pano&amp;viewpoint=32.898870,-117.205960&amp;heading=80</t>
        </is>
      </c>
      <c r="K349" t="inlineStr">
        <is>
          <t>https://www.google.com/maps/search/?api=1&amp;query=32.898870,-117.205960</t>
        </is>
      </c>
      <c r="L349" t="inlineStr"/>
      <c r="M349" t="inlineStr"/>
      <c r="N349" t="inlineStr"/>
      <c r="O349" t="inlineStr"/>
      <c r="P349" t="inlineStr">
        <is>
          <t>pending</t>
        </is>
      </c>
      <c r="Q349" t="inlineStr"/>
      <c r="R349" t="inlineStr"/>
      <c r="S349" t="inlineStr"/>
      <c r="T349" t="inlineStr"/>
      <c r="U349" t="inlineStr"/>
      <c r="V349">
        <f>IF(OR(L349="",S349=""),"",IF(VALUE(L349)=VALUE(S349),"Y","N"))</f>
        <v/>
      </c>
      <c r="W349">
        <f>IF(V349="Y",S349,"")</f>
        <v/>
      </c>
      <c r="X349" t="inlineStr">
        <is>
          <t>unverified: map has 25 mph (guessed from road type); is it 25 (carts OK) or 30+?</t>
        </is>
      </c>
      <c r="Y349" t="inlineStr"/>
      <c r="Z349" t="n">
        <v>1325</v>
      </c>
      <c r="AA349" t="inlineStr">
        <is>
          <t>sd</t>
        </is>
      </c>
      <c r="AB349" t="inlineStr">
        <is>
          <t>sd|32.89887,-117.20596</t>
        </is>
      </c>
    </row>
    <row r="350">
      <c r="A350" t="inlineStr">
        <is>
          <t>SD-B2-349</t>
        </is>
      </c>
      <c r="B350" t="inlineStr">
        <is>
          <t>San Diego area</t>
        </is>
      </c>
      <c r="C350" t="inlineStr">
        <is>
          <t>Camino Santa Fe</t>
        </is>
      </c>
      <c r="D350" t="inlineStr">
        <is>
          <t>Top Gun Street</t>
        </is>
      </c>
      <c r="E350" t="inlineStr">
        <is>
          <t>Maycrest Lane</t>
        </is>
      </c>
      <c r="F350" t="inlineStr">
        <is>
          <t>215702435</t>
        </is>
      </c>
      <c r="G350" t="n">
        <v>45</v>
      </c>
      <c r="H350" t="inlineStr">
        <is>
          <t>tag</t>
        </is>
      </c>
      <c r="I350" t="inlineStr">
        <is>
          <t>no</t>
        </is>
      </c>
      <c r="J350" t="inlineStr">
        <is>
          <t>https://www.google.com/maps/@?api=1&amp;map_action=pano&amp;viewpoint=32.914780,-117.176840&amp;heading=131</t>
        </is>
      </c>
      <c r="K350" t="inlineStr">
        <is>
          <t>https://www.google.com/maps/search/?api=1&amp;query=32.914780,-117.176840</t>
        </is>
      </c>
      <c r="L350" t="inlineStr"/>
      <c r="M350" t="inlineStr"/>
      <c r="N350" t="inlineStr"/>
      <c r="O350" t="inlineStr"/>
      <c r="P350" t="inlineStr">
        <is>
          <t>pending</t>
        </is>
      </c>
      <c r="Q350" t="inlineStr"/>
      <c r="R350" t="inlineStr"/>
      <c r="S350" t="inlineStr"/>
      <c r="T350" t="inlineStr"/>
      <c r="U350" t="inlineStr"/>
      <c r="V350">
        <f>IF(OR(L350="",S350=""),"",IF(VALUE(L350)=VALUE(S350),"Y","N"))</f>
        <v/>
      </c>
      <c r="W350">
        <f>IF(V350="Y",S350,"")</f>
        <v/>
      </c>
      <c r="X350" t="inlineStr">
        <is>
          <t>unverified: map has 45 mph (OSM tag only); main road: what is posted? 35 or lower opens it to LSVs</t>
        </is>
      </c>
      <c r="Y350" t="inlineStr"/>
      <c r="Z350" t="n">
        <v>1367</v>
      </c>
      <c r="AA350" t="inlineStr">
        <is>
          <t>sd</t>
        </is>
      </c>
      <c r="AB350" t="inlineStr">
        <is>
          <t>sd|32.91478,-117.17684</t>
        </is>
      </c>
    </row>
    <row r="351">
      <c r="A351" t="inlineStr">
        <is>
          <t>SD-B2-350</t>
        </is>
      </c>
      <c r="B351" t="inlineStr">
        <is>
          <t>San Diego area</t>
        </is>
      </c>
      <c r="C351" t="inlineStr">
        <is>
          <t>North El Camino Real</t>
        </is>
      </c>
      <c r="D351" t="inlineStr">
        <is>
          <t>Via Montoro</t>
        </is>
      </c>
      <c r="E351" t="inlineStr">
        <is>
          <t>Garden View Road</t>
        </is>
      </c>
      <c r="F351" t="inlineStr">
        <is>
          <t>436259894</t>
        </is>
      </c>
      <c r="G351" t="n">
        <v>30</v>
      </c>
      <c r="H351" t="inlineStr">
        <is>
          <t>tag</t>
        </is>
      </c>
      <c r="I351" t="inlineStr">
        <is>
          <t>LSV</t>
        </is>
      </c>
      <c r="J351" t="inlineStr">
        <is>
          <t>https://www.google.com/maps/@?api=1&amp;map_action=pano&amp;viewpoint=33.056620,-117.262535&amp;heading=166</t>
        </is>
      </c>
      <c r="K351" t="inlineStr">
        <is>
          <t>https://www.google.com/maps/search/?api=1&amp;query=33.056620,-117.262535</t>
        </is>
      </c>
      <c r="L351" t="inlineStr"/>
      <c r="M351" t="inlineStr"/>
      <c r="N351" t="inlineStr"/>
      <c r="O351" t="inlineStr"/>
      <c r="P351" t="inlineStr">
        <is>
          <t>pending</t>
        </is>
      </c>
      <c r="Q351" t="inlineStr"/>
      <c r="R351" t="inlineStr"/>
      <c r="S351" t="inlineStr"/>
      <c r="T351" t="inlineStr"/>
      <c r="U351" t="inlineStr"/>
      <c r="V351">
        <f>IF(OR(L351="",S351=""),"",IF(VALUE(L351)=VALUE(S351),"Y","N"))</f>
        <v/>
      </c>
      <c r="W351">
        <f>IF(V351="Y",S351,"")</f>
        <v/>
      </c>
      <c r="X351" t="inlineStr">
        <is>
          <t>unverified: map has 30 mph (OSM tag only); is it 25 (carts OK) or 30+?</t>
        </is>
      </c>
      <c r="Y351" t="inlineStr"/>
      <c r="Z351" t="n">
        <v>1136</v>
      </c>
      <c r="AA351" t="inlineStr">
        <is>
          <t>sd</t>
        </is>
      </c>
      <c r="AB351" t="inlineStr">
        <is>
          <t>sd|33.05662,-117.26253</t>
        </is>
      </c>
    </row>
    <row r="352">
      <c r="A352" t="inlineStr">
        <is>
          <t>SD-B2-351</t>
        </is>
      </c>
      <c r="B352" t="inlineStr">
        <is>
          <t>San Diego area</t>
        </is>
      </c>
      <c r="C352" t="inlineStr">
        <is>
          <t>Friars Road</t>
        </is>
      </c>
      <c r="D352" t="inlineStr">
        <is>
          <t>Napa Street</t>
        </is>
      </c>
      <c r="E352" t="inlineStr">
        <is>
          <t>Via Las Cumbres</t>
        </is>
      </c>
      <c r="F352" t="inlineStr">
        <is>
          <t>158626036</t>
        </is>
      </c>
      <c r="G352" t="n">
        <v>45</v>
      </c>
      <c r="H352" t="inlineStr">
        <is>
          <t>tag</t>
        </is>
      </c>
      <c r="I352" t="inlineStr">
        <is>
          <t>no</t>
        </is>
      </c>
      <c r="J352" t="inlineStr">
        <is>
          <t>https://www.google.com/maps/@?api=1&amp;map_action=pano&amp;viewpoint=32.763695,-117.194280&amp;heading=72</t>
        </is>
      </c>
      <c r="K352" t="inlineStr">
        <is>
          <t>https://www.google.com/maps/search/?api=1&amp;query=32.763695,-117.194280</t>
        </is>
      </c>
      <c r="L352" t="inlineStr"/>
      <c r="M352" t="inlineStr"/>
      <c r="N352" t="inlineStr"/>
      <c r="O352" t="inlineStr"/>
      <c r="P352" t="inlineStr">
        <is>
          <t>pending</t>
        </is>
      </c>
      <c r="Q352" t="inlineStr"/>
      <c r="R352" t="inlineStr"/>
      <c r="S352" t="inlineStr"/>
      <c r="T352" t="inlineStr"/>
      <c r="U352" t="inlineStr"/>
      <c r="V352">
        <f>IF(OR(L352="",S352=""),"",IF(VALUE(L352)=VALUE(S352),"Y","N"))</f>
        <v/>
      </c>
      <c r="W352">
        <f>IF(V352="Y",S352,"")</f>
        <v/>
      </c>
      <c r="X352" t="inlineStr">
        <is>
          <t>unverified: map has 45 mph (OSM tag only); main road: what is posted? 35 or lower opens it to LSVs</t>
        </is>
      </c>
      <c r="Y352" t="inlineStr"/>
      <c r="Z352" t="n">
        <v>1134</v>
      </c>
      <c r="AA352" t="inlineStr">
        <is>
          <t>sd</t>
        </is>
      </c>
      <c r="AB352" t="inlineStr">
        <is>
          <t>sd|32.76369,-117.19428</t>
        </is>
      </c>
    </row>
    <row r="353">
      <c r="A353" t="inlineStr">
        <is>
          <t>SD-B2-352</t>
        </is>
      </c>
      <c r="B353" t="inlineStr">
        <is>
          <t>San Diego area</t>
        </is>
      </c>
      <c r="C353" t="inlineStr">
        <is>
          <t>Newton Avenue</t>
        </is>
      </c>
      <c r="D353" t="inlineStr">
        <is>
          <t>Dewey Street</t>
        </is>
      </c>
      <c r="E353" t="inlineStr">
        <is>
          <t>Sigsbee Street</t>
        </is>
      </c>
      <c r="F353" t="inlineStr">
        <is>
          <t>1322590067</t>
        </is>
      </c>
      <c r="G353" t="n">
        <v>25</v>
      </c>
      <c r="H353" t="inlineStr">
        <is>
          <t>inferred</t>
        </is>
      </c>
      <c r="I353" t="inlineStr">
        <is>
          <t>cart+LSV</t>
        </is>
      </c>
      <c r="J353" t="inlineStr">
        <is>
          <t>https://www.google.com/maps/@?api=1&amp;map_action=pano&amp;viewpoint=32.698145,-117.143375&amp;heading=129</t>
        </is>
      </c>
      <c r="K353" t="inlineStr">
        <is>
          <t>https://www.google.com/maps/search/?api=1&amp;query=32.698145,-117.143375</t>
        </is>
      </c>
      <c r="L353" t="inlineStr"/>
      <c r="M353" t="inlineStr"/>
      <c r="N353" t="inlineStr"/>
      <c r="O353" t="inlineStr"/>
      <c r="P353" t="inlineStr">
        <is>
          <t>pending</t>
        </is>
      </c>
      <c r="Q353" t="inlineStr"/>
      <c r="R353" t="inlineStr"/>
      <c r="S353" t="inlineStr"/>
      <c r="T353" t="inlineStr"/>
      <c r="U353" t="inlineStr"/>
      <c r="V353">
        <f>IF(OR(L353="",S353=""),"",IF(VALUE(L353)=VALUE(S353),"Y","N"))</f>
        <v/>
      </c>
      <c r="W353">
        <f>IF(V353="Y",S353,"")</f>
        <v/>
      </c>
      <c r="X353" t="inlineStr">
        <is>
          <t>unverified: map has 25 mph (guessed from road type); is it 25 (carts OK) or 30+?</t>
        </is>
      </c>
      <c r="Y353" t="inlineStr"/>
      <c r="Z353" t="n">
        <v>1307</v>
      </c>
      <c r="AA353" t="inlineStr">
        <is>
          <t>sd</t>
        </is>
      </c>
      <c r="AB353" t="inlineStr">
        <is>
          <t>sd|32.69814,-117.14337</t>
        </is>
      </c>
    </row>
    <row r="354">
      <c r="A354" t="inlineStr">
        <is>
          <t>SD-B2-353</t>
        </is>
      </c>
      <c r="B354" t="inlineStr">
        <is>
          <t>San Diego area</t>
        </is>
      </c>
      <c r="C354" t="inlineStr">
        <is>
          <t>El Camino Real</t>
        </is>
      </c>
      <c r="D354" t="inlineStr">
        <is>
          <t>Chestnut Avenue</t>
        </is>
      </c>
      <c r="E354" t="inlineStr">
        <is>
          <t>Carlsbad Village Drive</t>
        </is>
      </c>
      <c r="F354" t="inlineStr">
        <is>
          <t>436305869</t>
        </is>
      </c>
      <c r="G354" t="inlineStr"/>
      <c r="H354" t="inlineStr">
        <is>
          <t>inferred</t>
        </is>
      </c>
      <c r="I354" t="inlineStr">
        <is>
          <t>no</t>
        </is>
      </c>
      <c r="J354" t="inlineStr">
        <is>
          <t>https://www.google.com/maps/@?api=1&amp;map_action=pano&amp;viewpoint=33.167780,-117.321340&amp;heading=165</t>
        </is>
      </c>
      <c r="K354" t="inlineStr">
        <is>
          <t>https://www.google.com/maps/search/?api=1&amp;query=33.167780,-117.321340</t>
        </is>
      </c>
      <c r="L354" t="inlineStr"/>
      <c r="M354" t="inlineStr"/>
      <c r="N354" t="inlineStr"/>
      <c r="O354" t="inlineStr"/>
      <c r="P354" t="inlineStr">
        <is>
          <t>pending</t>
        </is>
      </c>
      <c r="Q354" t="inlineStr"/>
      <c r="R354" t="inlineStr"/>
      <c r="S354" t="inlineStr"/>
      <c r="T354" t="inlineStr"/>
      <c r="U354" t="inlineStr"/>
      <c r="V354">
        <f>IF(OR(L354="",S354=""),"",IF(VALUE(L354)=VALUE(S354),"Y","N"))</f>
        <v/>
      </c>
      <c r="W354">
        <f>IF(V354="Y",S354,"")</f>
        <v/>
      </c>
      <c r="X354" t="inlineStr">
        <is>
          <t>unverified: map has no limit (guessed from road type); main road: what is posted? 35 or lower opens it to LSVs</t>
        </is>
      </c>
      <c r="Y354" t="inlineStr"/>
      <c r="Z354" t="n">
        <v>871</v>
      </c>
      <c r="AA354" t="inlineStr">
        <is>
          <t>sd</t>
        </is>
      </c>
      <c r="AB354" t="inlineStr">
        <is>
          <t>sd|33.16778,-117.32134</t>
        </is>
      </c>
    </row>
    <row r="355">
      <c r="A355" t="inlineStr">
        <is>
          <t>SD-B2-354</t>
        </is>
      </c>
      <c r="B355" t="inlineStr">
        <is>
          <t>San Diego area</t>
        </is>
      </c>
      <c r="C355" t="inlineStr">
        <is>
          <t>Hacienda Drive</t>
        </is>
      </c>
      <c r="D355" t="inlineStr">
        <is>
          <t>(see map link)</t>
        </is>
      </c>
      <c r="E355" t="inlineStr">
        <is>
          <t>Providence Drive</t>
        </is>
      </c>
      <c r="F355" t="inlineStr">
        <is>
          <t>721578590</t>
        </is>
      </c>
      <c r="G355" t="inlineStr"/>
      <c r="H355" t="inlineStr">
        <is>
          <t>inferred</t>
        </is>
      </c>
      <c r="I355" t="inlineStr">
        <is>
          <t>no</t>
        </is>
      </c>
      <c r="J355" t="inlineStr">
        <is>
          <t>https://www.google.com/maps/@?api=1&amp;map_action=pano&amp;viewpoint=33.189130,-117.271310&amp;heading=51</t>
        </is>
      </c>
      <c r="K355" t="inlineStr">
        <is>
          <t>https://www.google.com/maps/search/?api=1&amp;query=33.189130,-117.271310</t>
        </is>
      </c>
      <c r="L355" t="inlineStr"/>
      <c r="M355" t="inlineStr"/>
      <c r="N355" t="inlineStr"/>
      <c r="O355" t="inlineStr"/>
      <c r="P355" t="inlineStr">
        <is>
          <t>pending</t>
        </is>
      </c>
      <c r="Q355" t="inlineStr"/>
      <c r="R355" t="inlineStr"/>
      <c r="S355" t="inlineStr"/>
      <c r="T355" t="inlineStr"/>
      <c r="U355" t="inlineStr"/>
      <c r="V355">
        <f>IF(OR(L355="",S355=""),"",IF(VALUE(L355)=VALUE(S355),"Y","N"))</f>
        <v/>
      </c>
      <c r="W355">
        <f>IF(V355="Y",S355,"")</f>
        <v/>
      </c>
      <c r="X355" t="inlineStr">
        <is>
          <t>unverified: map has no limit (guessed from road type); main road: what is posted? 35 or lower opens it to LSVs</t>
        </is>
      </c>
      <c r="Y355" t="inlineStr"/>
      <c r="Z355" t="n">
        <v>1040</v>
      </c>
      <c r="AA355" t="inlineStr">
        <is>
          <t>sd</t>
        </is>
      </c>
      <c r="AB355" t="inlineStr">
        <is>
          <t>sd|33.18913,-117.27131</t>
        </is>
      </c>
    </row>
    <row r="356">
      <c r="A356" t="inlineStr">
        <is>
          <t>SD-B2-355</t>
        </is>
      </c>
      <c r="B356" t="inlineStr">
        <is>
          <t>San Diego area</t>
        </is>
      </c>
      <c r="C356" t="inlineStr">
        <is>
          <t>Oregon Street</t>
        </is>
      </c>
      <c r="D356" t="inlineStr">
        <is>
          <t>El Cajon Boulevard</t>
        </is>
      </c>
      <c r="E356" t="inlineStr">
        <is>
          <t>Howard Avenue</t>
        </is>
      </c>
      <c r="F356" t="inlineStr">
        <is>
          <t>1480377006</t>
        </is>
      </c>
      <c r="G356" t="n">
        <v>25</v>
      </c>
      <c r="H356" t="inlineStr">
        <is>
          <t>inferred</t>
        </is>
      </c>
      <c r="I356" t="inlineStr">
        <is>
          <t>cart+LSV</t>
        </is>
      </c>
      <c r="J356" t="inlineStr">
        <is>
          <t>https://www.google.com/maps/@?api=1&amp;map_action=pano&amp;viewpoint=32.758195,-117.135145&amp;heading=360</t>
        </is>
      </c>
      <c r="K356" t="inlineStr">
        <is>
          <t>https://www.google.com/maps/search/?api=1&amp;query=32.758195,-117.135145</t>
        </is>
      </c>
      <c r="L356" t="inlineStr"/>
      <c r="M356" t="inlineStr"/>
      <c r="N356" t="inlineStr"/>
      <c r="O356" t="inlineStr"/>
      <c r="P356" t="inlineStr">
        <is>
          <t>pending</t>
        </is>
      </c>
      <c r="Q356" t="inlineStr"/>
      <c r="R356" t="inlineStr"/>
      <c r="S356" t="inlineStr"/>
      <c r="T356" t="inlineStr"/>
      <c r="U356" t="inlineStr"/>
      <c r="V356">
        <f>IF(OR(L356="",S356=""),"",IF(VALUE(L356)=VALUE(S356),"Y","N"))</f>
        <v/>
      </c>
      <c r="W356">
        <f>IF(V356="Y",S356,"")</f>
        <v/>
      </c>
      <c r="X356" t="inlineStr">
        <is>
          <t>unverified: map has 25 mph (guessed from road type); is it 25 (carts OK) or 30+?</t>
        </is>
      </c>
      <c r="Y356" t="inlineStr"/>
      <c r="Z356" t="n">
        <v>1292</v>
      </c>
      <c r="AA356" t="inlineStr">
        <is>
          <t>sd</t>
        </is>
      </c>
      <c r="AB356" t="inlineStr">
        <is>
          <t>sd|32.75820,-117.13514</t>
        </is>
      </c>
    </row>
    <row r="357">
      <c r="A357" t="inlineStr">
        <is>
          <t>SD-B2-356</t>
        </is>
      </c>
      <c r="B357" t="inlineStr">
        <is>
          <t>San Diego area</t>
        </is>
      </c>
      <c r="C357" t="inlineStr">
        <is>
          <t>Florida Street</t>
        </is>
      </c>
      <c r="D357" t="inlineStr">
        <is>
          <t>Elm Avenue</t>
        </is>
      </c>
      <c r="E357" t="inlineStr">
        <is>
          <t>Boulevard Avenue</t>
        </is>
      </c>
      <c r="F357" t="inlineStr">
        <is>
          <t>1347756248</t>
        </is>
      </c>
      <c r="G357" t="n">
        <v>25</v>
      </c>
      <c r="H357" t="inlineStr">
        <is>
          <t>inferred</t>
        </is>
      </c>
      <c r="I357" t="inlineStr">
        <is>
          <t>cart+LSV</t>
        </is>
      </c>
      <c r="J357" t="inlineStr">
        <is>
          <t>https://www.google.com/maps/@?api=1&amp;map_action=pano&amp;viewpoint=32.578275,-117.109400&amp;heading=180</t>
        </is>
      </c>
      <c r="K357" t="inlineStr">
        <is>
          <t>https://www.google.com/maps/search/?api=1&amp;query=32.578275,-117.109400</t>
        </is>
      </c>
      <c r="L357" t="inlineStr"/>
      <c r="M357" t="inlineStr"/>
      <c r="N357" t="inlineStr"/>
      <c r="O357" t="inlineStr"/>
      <c r="P357" t="inlineStr">
        <is>
          <t>pending</t>
        </is>
      </c>
      <c r="Q357" t="inlineStr"/>
      <c r="R357" t="inlineStr"/>
      <c r="S357" t="inlineStr"/>
      <c r="T357" t="inlineStr"/>
      <c r="U357" t="inlineStr"/>
      <c r="V357">
        <f>IF(OR(L357="",S357=""),"",IF(VALUE(L357)=VALUE(S357),"Y","N"))</f>
        <v/>
      </c>
      <c r="W357">
        <f>IF(V357="Y",S357,"")</f>
        <v/>
      </c>
      <c r="X357" t="inlineStr">
        <is>
          <t>unverified: map has 25 mph (guessed from road type); is it 25 (carts OK) or 30+?</t>
        </is>
      </c>
      <c r="Y357" t="inlineStr"/>
      <c r="Z357" t="n">
        <v>1290</v>
      </c>
      <c r="AA357" t="inlineStr">
        <is>
          <t>sd</t>
        </is>
      </c>
      <c r="AB357" t="inlineStr">
        <is>
          <t>sd|32.57827,-117.10940</t>
        </is>
      </c>
    </row>
    <row r="358">
      <c r="A358" t="inlineStr">
        <is>
          <t>SD-B2-357</t>
        </is>
      </c>
      <c r="B358" t="inlineStr">
        <is>
          <t>San Diego area</t>
        </is>
      </c>
      <c r="C358" t="inlineStr">
        <is>
          <t>Soledad Mountain Road</t>
        </is>
      </c>
      <c r="D358" t="inlineStr">
        <is>
          <t>Loring Street</t>
        </is>
      </c>
      <c r="E358" t="inlineStr">
        <is>
          <t>Garnet Avenue</t>
        </is>
      </c>
      <c r="F358" t="inlineStr">
        <is>
          <t>436403519</t>
        </is>
      </c>
      <c r="G358" t="inlineStr"/>
      <c r="H358" t="inlineStr">
        <is>
          <t>inferred</t>
        </is>
      </c>
      <c r="I358" t="inlineStr">
        <is>
          <t>no</t>
        </is>
      </c>
      <c r="J358" t="inlineStr">
        <is>
          <t>https://www.google.com/maps/@?api=1&amp;map_action=pano&amp;viewpoint=32.809940,-117.230780&amp;heading=148</t>
        </is>
      </c>
      <c r="K358" t="inlineStr">
        <is>
          <t>https://www.google.com/maps/search/?api=1&amp;query=32.809940,-117.230780</t>
        </is>
      </c>
      <c r="L358" t="inlineStr"/>
      <c r="M358" t="inlineStr"/>
      <c r="N358" t="inlineStr"/>
      <c r="O358" t="inlineStr"/>
      <c r="P358" t="inlineStr">
        <is>
          <t>pending</t>
        </is>
      </c>
      <c r="Q358" t="inlineStr"/>
      <c r="R358" t="inlineStr"/>
      <c r="S358" t="inlineStr"/>
      <c r="T358" t="inlineStr"/>
      <c r="U358" t="inlineStr"/>
      <c r="V358">
        <f>IF(OR(L358="",S358=""),"",IF(VALUE(L358)=VALUE(S358),"Y","N"))</f>
        <v/>
      </c>
      <c r="W358">
        <f>IF(V358="Y",S358,"")</f>
        <v/>
      </c>
      <c r="X358" t="inlineStr">
        <is>
          <t>unverified: map has no limit (guessed from road type); main road: what is posted? 35 or lower opens it to LSVs</t>
        </is>
      </c>
      <c r="Y358" t="inlineStr"/>
      <c r="Z358" t="n">
        <v>1032</v>
      </c>
      <c r="AA358" t="inlineStr">
        <is>
          <t>sd</t>
        </is>
      </c>
      <c r="AB358" t="inlineStr">
        <is>
          <t>sd|32.80994,-117.23078</t>
        </is>
      </c>
    </row>
    <row r="359">
      <c r="A359" t="inlineStr">
        <is>
          <t>SD-B2-358</t>
        </is>
      </c>
      <c r="B359" t="inlineStr">
        <is>
          <t>San Diego area</t>
        </is>
      </c>
      <c r="C359" t="inlineStr">
        <is>
          <t>Paseo Aliso</t>
        </is>
      </c>
      <c r="D359" t="inlineStr">
        <is>
          <t>Camino Robledo</t>
        </is>
      </c>
      <c r="E359" t="inlineStr">
        <is>
          <t>Olivenhain Road</t>
        </is>
      </c>
      <c r="F359" t="inlineStr">
        <is>
          <t>6045608</t>
        </is>
      </c>
      <c r="G359" t="n">
        <v>25</v>
      </c>
      <c r="H359" t="inlineStr">
        <is>
          <t>inferred</t>
        </is>
      </c>
      <c r="I359" t="inlineStr">
        <is>
          <t>cart+LSV</t>
        </is>
      </c>
      <c r="J359" t="inlineStr">
        <is>
          <t>https://www.google.com/maps/@?api=1&amp;map_action=pano&amp;viewpoint=33.076000,-117.259300&amp;heading=209</t>
        </is>
      </c>
      <c r="K359" t="inlineStr">
        <is>
          <t>https://www.google.com/maps/search/?api=1&amp;query=33.076000,-117.259300</t>
        </is>
      </c>
      <c r="L359" t="inlineStr"/>
      <c r="M359" t="inlineStr"/>
      <c r="N359" t="inlineStr"/>
      <c r="O359" t="inlineStr"/>
      <c r="P359" t="inlineStr">
        <is>
          <t>pending</t>
        </is>
      </c>
      <c r="Q359" t="inlineStr"/>
      <c r="R359" t="inlineStr"/>
      <c r="S359" t="inlineStr"/>
      <c r="T359" t="inlineStr"/>
      <c r="U359" t="inlineStr"/>
      <c r="V359">
        <f>IF(OR(L359="",S359=""),"",IF(VALUE(L359)=VALUE(S359),"Y","N"))</f>
        <v/>
      </c>
      <c r="W359">
        <f>IF(V359="Y",S359,"")</f>
        <v/>
      </c>
      <c r="X359" t="inlineStr">
        <is>
          <t>unverified: map has 25 mph (guessed from road type); is it 25 (carts OK) or 30+?</t>
        </is>
      </c>
      <c r="Y359" t="inlineStr"/>
      <c r="Z359" t="n">
        <v>1288</v>
      </c>
      <c r="AA359" t="inlineStr">
        <is>
          <t>sd</t>
        </is>
      </c>
      <c r="AB359" t="inlineStr">
        <is>
          <t>sd|33.07600,-117.25930</t>
        </is>
      </c>
    </row>
    <row r="360">
      <c r="A360" t="inlineStr">
        <is>
          <t>SD-B2-359</t>
        </is>
      </c>
      <c r="B360" t="inlineStr">
        <is>
          <t>San Diego area</t>
        </is>
      </c>
      <c r="C360" t="inlineStr">
        <is>
          <t>Mission Gate Drive</t>
        </is>
      </c>
      <c r="D360" t="inlineStr">
        <is>
          <t>Alta Vista Court</t>
        </is>
      </c>
      <c r="E360" t="inlineStr">
        <is>
          <t>Ivey Ranch Road</t>
        </is>
      </c>
      <c r="F360" t="inlineStr">
        <is>
          <t>1239979336</t>
        </is>
      </c>
      <c r="G360" t="n">
        <v>25</v>
      </c>
      <c r="H360" t="inlineStr">
        <is>
          <t>inferred</t>
        </is>
      </c>
      <c r="I360" t="inlineStr">
        <is>
          <t>cart+LSV</t>
        </is>
      </c>
      <c r="J360" t="inlineStr">
        <is>
          <t>https://www.google.com/maps/@?api=1&amp;map_action=pano&amp;viewpoint=33.223400,-117.309190&amp;heading=350</t>
        </is>
      </c>
      <c r="K360" t="inlineStr">
        <is>
          <t>https://www.google.com/maps/search/?api=1&amp;query=33.223400,-117.309190</t>
        </is>
      </c>
      <c r="L360" t="inlineStr"/>
      <c r="M360" t="inlineStr"/>
      <c r="N360" t="inlineStr"/>
      <c r="O360" t="inlineStr"/>
      <c r="P360" t="inlineStr">
        <is>
          <t>pending</t>
        </is>
      </c>
      <c r="Q360" t="inlineStr"/>
      <c r="R360" t="inlineStr"/>
      <c r="S360" t="inlineStr"/>
      <c r="T360" t="inlineStr"/>
      <c r="U360" t="inlineStr"/>
      <c r="V360">
        <f>IF(OR(L360="",S360=""),"",IF(VALUE(L360)=VALUE(S360),"Y","N"))</f>
        <v/>
      </c>
      <c r="W360">
        <f>IF(V360="Y",S360,"")</f>
        <v/>
      </c>
      <c r="X360" t="inlineStr">
        <is>
          <t>unverified: map has 25 mph (guessed from road type); is it 25 (carts OK) or 30+?</t>
        </is>
      </c>
      <c r="Y360" t="inlineStr"/>
      <c r="Z360" t="n">
        <v>1283</v>
      </c>
      <c r="AA360" t="inlineStr">
        <is>
          <t>sd</t>
        </is>
      </c>
      <c r="AB360" t="inlineStr">
        <is>
          <t>sd|33.22340,-117.30919</t>
        </is>
      </c>
    </row>
    <row r="361">
      <c r="A361" t="inlineStr">
        <is>
          <t>SD-B2-360</t>
        </is>
      </c>
      <c r="B361" t="inlineStr">
        <is>
          <t>San Diego area</t>
        </is>
      </c>
      <c r="C361" t="inlineStr">
        <is>
          <t>Olivenhain Road</t>
        </is>
      </c>
      <c r="D361" t="inlineStr">
        <is>
          <t>Camino Álvaro</t>
        </is>
      </c>
      <c r="E361" t="inlineStr">
        <is>
          <t>Amargosa Drive</t>
        </is>
      </c>
      <c r="F361" t="inlineStr">
        <is>
          <t>5956443</t>
        </is>
      </c>
      <c r="G361" t="inlineStr"/>
      <c r="H361" t="inlineStr">
        <is>
          <t>inferred</t>
        </is>
      </c>
      <c r="I361" t="inlineStr">
        <is>
          <t>no</t>
        </is>
      </c>
      <c r="J361" t="inlineStr">
        <is>
          <t>https://www.google.com/maps/@?api=1&amp;map_action=pano&amp;viewpoint=33.067280,-117.253020&amp;heading=267</t>
        </is>
      </c>
      <c r="K361" t="inlineStr">
        <is>
          <t>https://www.google.com/maps/search/?api=1&amp;query=33.067280,-117.253020</t>
        </is>
      </c>
      <c r="L361" t="inlineStr"/>
      <c r="M361" t="inlineStr"/>
      <c r="N361" t="inlineStr"/>
      <c r="O361" t="inlineStr"/>
      <c r="P361" t="inlineStr">
        <is>
          <t>pending</t>
        </is>
      </c>
      <c r="Q361" t="inlineStr"/>
      <c r="R361" t="inlineStr"/>
      <c r="S361" t="inlineStr"/>
      <c r="T361" t="inlineStr"/>
      <c r="U361" t="inlineStr"/>
      <c r="V361">
        <f>IF(OR(L361="",S361=""),"",IF(VALUE(L361)=VALUE(S361),"Y","N"))</f>
        <v/>
      </c>
      <c r="W361">
        <f>IF(V361="Y",S361,"")</f>
        <v/>
      </c>
      <c r="X361" t="inlineStr">
        <is>
          <t>unverified: map has no limit (guessed from road type); main road: what is posted? 35 or lower opens it to LSVs</t>
        </is>
      </c>
      <c r="Y361" t="inlineStr"/>
      <c r="Z361" t="n">
        <v>852</v>
      </c>
      <c r="AA361" t="inlineStr">
        <is>
          <t>sd</t>
        </is>
      </c>
      <c r="AB361" t="inlineStr">
        <is>
          <t>sd|33.06728,-117.25302</t>
        </is>
      </c>
    </row>
    <row r="362">
      <c r="A362" t="inlineStr">
        <is>
          <t>SD-B2-361</t>
        </is>
      </c>
      <c r="B362" t="inlineStr">
        <is>
          <t>San Diego area</t>
        </is>
      </c>
      <c r="C362" t="inlineStr">
        <is>
          <t>Balboa Avenue</t>
        </is>
      </c>
      <c r="D362" t="inlineStr">
        <is>
          <t>Grand Avenue</t>
        </is>
      </c>
      <c r="E362" t="inlineStr">
        <is>
          <t>Morrell Street</t>
        </is>
      </c>
      <c r="F362" t="inlineStr">
        <is>
          <t>1033735513</t>
        </is>
      </c>
      <c r="G362" t="inlineStr"/>
      <c r="H362" t="inlineStr">
        <is>
          <t>inferred</t>
        </is>
      </c>
      <c r="I362" t="inlineStr">
        <is>
          <t>no</t>
        </is>
      </c>
      <c r="J362" t="inlineStr">
        <is>
          <t>https://www.google.com/maps/@?api=1&amp;map_action=pano&amp;viewpoint=32.801970,-117.228040&amp;heading=63</t>
        </is>
      </c>
      <c r="K362" t="inlineStr">
        <is>
          <t>https://www.google.com/maps/search/?api=1&amp;query=32.801970,-117.228040</t>
        </is>
      </c>
      <c r="L362" t="inlineStr"/>
      <c r="M362" t="inlineStr"/>
      <c r="N362" t="inlineStr"/>
      <c r="O362" t="inlineStr"/>
      <c r="P362" t="inlineStr">
        <is>
          <t>pending</t>
        </is>
      </c>
      <c r="Q362" t="inlineStr"/>
      <c r="R362" t="inlineStr"/>
      <c r="S362" t="inlineStr"/>
      <c r="T362" t="inlineStr"/>
      <c r="U362" t="inlineStr"/>
      <c r="V362">
        <f>IF(OR(L362="",S362=""),"",IF(VALUE(L362)=VALUE(S362),"Y","N"))</f>
        <v/>
      </c>
      <c r="W362">
        <f>IF(V362="Y",S362,"")</f>
        <v/>
      </c>
      <c r="X362" t="inlineStr">
        <is>
          <t>unverified: map has no limit (guessed from road type); main road: what is posted? 35 or lower opens it to LSVs</t>
        </is>
      </c>
      <c r="Y362" t="inlineStr"/>
      <c r="Z362" t="n">
        <v>852</v>
      </c>
      <c r="AA362" t="inlineStr">
        <is>
          <t>sd</t>
        </is>
      </c>
      <c r="AB362" t="inlineStr">
        <is>
          <t>sd|32.80197,-117.22804</t>
        </is>
      </c>
    </row>
    <row r="363">
      <c r="A363" t="inlineStr">
        <is>
          <t>SD-B2-362</t>
        </is>
      </c>
      <c r="B363" t="inlineStr">
        <is>
          <t>San Diego area</t>
        </is>
      </c>
      <c r="C363" t="inlineStr">
        <is>
          <t>Clairemont Mesa Boulevard</t>
        </is>
      </c>
      <c r="D363" t="inlineStr">
        <is>
          <t>(see map link)</t>
        </is>
      </c>
      <c r="E363" t="inlineStr">
        <is>
          <t>Mercury Street</t>
        </is>
      </c>
      <c r="F363" t="inlineStr">
        <is>
          <t>101148480</t>
        </is>
      </c>
      <c r="G363" t="inlineStr"/>
      <c r="H363" t="inlineStr">
        <is>
          <t>inferred</t>
        </is>
      </c>
      <c r="I363" t="inlineStr">
        <is>
          <t>no</t>
        </is>
      </c>
      <c r="J363" t="inlineStr">
        <is>
          <t>https://www.google.com/maps/@?api=1&amp;map_action=pano&amp;viewpoint=32.832860,-117.146275&amp;heading=270</t>
        </is>
      </c>
      <c r="K363" t="inlineStr">
        <is>
          <t>https://www.google.com/maps/search/?api=1&amp;query=32.832860,-117.146275</t>
        </is>
      </c>
      <c r="L363" t="inlineStr"/>
      <c r="M363" t="inlineStr"/>
      <c r="N363" t="inlineStr"/>
      <c r="O363" t="inlineStr"/>
      <c r="P363" t="inlineStr">
        <is>
          <t>pending</t>
        </is>
      </c>
      <c r="Q363" t="inlineStr"/>
      <c r="R363" t="inlineStr"/>
      <c r="S363" t="inlineStr"/>
      <c r="T363" t="inlineStr"/>
      <c r="U363" t="inlineStr"/>
      <c r="V363">
        <f>IF(OR(L363="",S363=""),"",IF(VALUE(L363)=VALUE(S363),"Y","N"))</f>
        <v/>
      </c>
      <c r="W363">
        <f>IF(V363="Y",S363,"")</f>
        <v/>
      </c>
      <c r="X363" t="inlineStr">
        <is>
          <t>unverified: map has no limit (guessed from road type); main road: what is posted? 35 or lower opens it to LSVs</t>
        </is>
      </c>
      <c r="Y363" t="inlineStr"/>
      <c r="Z363" t="n">
        <v>849</v>
      </c>
      <c r="AA363" t="inlineStr">
        <is>
          <t>sd</t>
        </is>
      </c>
      <c r="AB363" t="inlineStr">
        <is>
          <t>sd|32.83286,-117.14628</t>
        </is>
      </c>
    </row>
    <row r="364">
      <c r="A364" t="inlineStr">
        <is>
          <t>SD-B2-363</t>
        </is>
      </c>
      <c r="B364" t="inlineStr">
        <is>
          <t>San Diego area</t>
        </is>
      </c>
      <c r="C364" t="inlineStr">
        <is>
          <t>Carmel Canyon Road</t>
        </is>
      </c>
      <c r="D364" t="inlineStr">
        <is>
          <t>Carmel Country Road</t>
        </is>
      </c>
      <c r="E364" t="inlineStr">
        <is>
          <t>Del Mar Heights Road</t>
        </is>
      </c>
      <c r="F364" t="inlineStr">
        <is>
          <t>974623628</t>
        </is>
      </c>
      <c r="G364" t="n">
        <v>40</v>
      </c>
      <c r="H364" t="inlineStr">
        <is>
          <t>tag</t>
        </is>
      </c>
      <c r="I364" t="inlineStr">
        <is>
          <t>no</t>
        </is>
      </c>
      <c r="J364" t="inlineStr">
        <is>
          <t>https://www.google.com/maps/@?api=1&amp;map_action=pano&amp;viewpoint=32.947700,-117.214230&amp;heading=41</t>
        </is>
      </c>
      <c r="K364" t="inlineStr">
        <is>
          <t>https://www.google.com/maps/search/?api=1&amp;query=32.947700,-117.214230</t>
        </is>
      </c>
      <c r="L364" t="inlineStr"/>
      <c r="M364" t="inlineStr"/>
      <c r="N364" t="inlineStr"/>
      <c r="O364" t="inlineStr"/>
      <c r="P364" t="inlineStr">
        <is>
          <t>pending</t>
        </is>
      </c>
      <c r="Q364" t="inlineStr"/>
      <c r="R364" t="inlineStr"/>
      <c r="S364" t="inlineStr"/>
      <c r="T364" t="inlineStr"/>
      <c r="U364" t="inlineStr"/>
      <c r="V364">
        <f>IF(OR(L364="",S364=""),"",IF(VALUE(L364)=VALUE(S364),"Y","N"))</f>
        <v/>
      </c>
      <c r="W364">
        <f>IF(V364="Y",S364,"")</f>
        <v/>
      </c>
      <c r="X364" t="inlineStr">
        <is>
          <t>unverified: map has 40 mph (OSM tag only); is it 35 (LSV OK) or 40+?</t>
        </is>
      </c>
      <c r="Y364" t="inlineStr"/>
      <c r="Z364" t="n">
        <v>1320</v>
      </c>
      <c r="AA364" t="inlineStr">
        <is>
          <t>sd</t>
        </is>
      </c>
      <c r="AB364" t="inlineStr">
        <is>
          <t>sd|32.94770,-117.21423</t>
        </is>
      </c>
    </row>
    <row r="365">
      <c r="A365" t="inlineStr">
        <is>
          <t>SD-B2-364</t>
        </is>
      </c>
      <c r="B365" t="inlineStr">
        <is>
          <t>San Diego area</t>
        </is>
      </c>
      <c r="C365" t="inlineStr">
        <is>
          <t>Broadway Street</t>
        </is>
      </c>
      <c r="D365" t="inlineStr">
        <is>
          <t>Cassidy Street</t>
        </is>
      </c>
      <c r="E365" t="inlineStr">
        <is>
          <t>Whaley Street</t>
        </is>
      </c>
      <c r="F365" t="inlineStr">
        <is>
          <t>6022565</t>
        </is>
      </c>
      <c r="G365" t="n">
        <v>25</v>
      </c>
      <c r="H365" t="inlineStr">
        <is>
          <t>inferred</t>
        </is>
      </c>
      <c r="I365" t="inlineStr">
        <is>
          <t>cart+LSV</t>
        </is>
      </c>
      <c r="J365" t="inlineStr">
        <is>
          <t>https://www.google.com/maps/@?api=1&amp;map_action=pano&amp;viewpoint=33.172610,-117.362700&amp;heading=146</t>
        </is>
      </c>
      <c r="K365" t="inlineStr">
        <is>
          <t>https://www.google.com/maps/search/?api=1&amp;query=33.172610,-117.362700</t>
        </is>
      </c>
      <c r="L365" t="inlineStr"/>
      <c r="M365" t="inlineStr"/>
      <c r="N365" t="inlineStr"/>
      <c r="O365" t="inlineStr"/>
      <c r="P365" t="inlineStr">
        <is>
          <t>pending</t>
        </is>
      </c>
      <c r="Q365" t="inlineStr"/>
      <c r="R365" t="inlineStr"/>
      <c r="S365" t="inlineStr"/>
      <c r="T365" t="inlineStr"/>
      <c r="U365" t="inlineStr"/>
      <c r="V365">
        <f>IF(OR(L365="",S365=""),"",IF(VALUE(L365)=VALUE(S365),"Y","N"))</f>
        <v/>
      </c>
      <c r="W365">
        <f>IF(V365="Y",S365,"")</f>
        <v/>
      </c>
      <c r="X365" t="inlineStr">
        <is>
          <t>unverified: map has 25 mph (guessed from road type); is it 25 (carts OK) or 30+?</t>
        </is>
      </c>
      <c r="Y365" t="inlineStr"/>
      <c r="Z365" t="n">
        <v>1268</v>
      </c>
      <c r="AA365" t="inlineStr">
        <is>
          <t>sd</t>
        </is>
      </c>
      <c r="AB365" t="inlineStr">
        <is>
          <t>sd|33.17261,-117.36270</t>
        </is>
      </c>
    </row>
    <row r="366">
      <c r="A366" t="inlineStr">
        <is>
          <t>SD-B2-365</t>
        </is>
      </c>
      <c r="B366" t="inlineStr">
        <is>
          <t>San Diego area</t>
        </is>
      </c>
      <c r="C366" t="inlineStr">
        <is>
          <t>South El Camino Real</t>
        </is>
      </c>
      <c r="D366" t="inlineStr">
        <is>
          <t>Via Las Rosas</t>
        </is>
      </c>
      <c r="E366" t="inlineStr">
        <is>
          <t>Camino Town</t>
        </is>
      </c>
      <c r="F366" t="inlineStr">
        <is>
          <t>1536880476</t>
        </is>
      </c>
      <c r="G366" t="n">
        <v>45</v>
      </c>
      <c r="H366" t="inlineStr">
        <is>
          <t>tag</t>
        </is>
      </c>
      <c r="I366" t="inlineStr">
        <is>
          <t>no</t>
        </is>
      </c>
      <c r="J366" t="inlineStr">
        <is>
          <t>https://www.google.com/maps/@?api=1&amp;map_action=pano&amp;viewpoint=33.193465,-117.327965&amp;heading=0</t>
        </is>
      </c>
      <c r="K366" t="inlineStr">
        <is>
          <t>https://www.google.com/maps/search/?api=1&amp;query=33.193465,-117.327965</t>
        </is>
      </c>
      <c r="L366" t="inlineStr"/>
      <c r="M366" t="inlineStr"/>
      <c r="N366" t="inlineStr"/>
      <c r="O366" t="inlineStr"/>
      <c r="P366" t="inlineStr">
        <is>
          <t>pending</t>
        </is>
      </c>
      <c r="Q366" t="inlineStr"/>
      <c r="R366" t="inlineStr"/>
      <c r="S366" t="inlineStr"/>
      <c r="T366" t="inlineStr"/>
      <c r="U366" t="inlineStr"/>
      <c r="V366">
        <f>IF(OR(L366="",S366=""),"",IF(VALUE(L366)=VALUE(S366),"Y","N"))</f>
        <v/>
      </c>
      <c r="W366">
        <f>IF(V366="Y",S366,"")</f>
        <v/>
      </c>
      <c r="X366" t="inlineStr">
        <is>
          <t>unverified: map has 45 mph (OSM tag only); main road: what is posted? 35 or lower opens it to LSVs</t>
        </is>
      </c>
      <c r="Y366" t="inlineStr"/>
      <c r="Z366" t="n">
        <v>1097</v>
      </c>
      <c r="AA366" t="inlineStr">
        <is>
          <t>sd</t>
        </is>
      </c>
      <c r="AB366" t="inlineStr">
        <is>
          <t>sd|33.19347,-117.32797</t>
        </is>
      </c>
    </row>
    <row r="367">
      <c r="A367" t="inlineStr">
        <is>
          <t>SD-B2-366</t>
        </is>
      </c>
      <c r="B367" t="inlineStr">
        <is>
          <t>San Diego area</t>
        </is>
      </c>
      <c r="C367" t="inlineStr">
        <is>
          <t>3rd Street</t>
        </is>
      </c>
      <c r="D367" t="inlineStr">
        <is>
          <t>Palm Avenue</t>
        </is>
      </c>
      <c r="E367" t="inlineStr">
        <is>
          <t>Calla Avenue</t>
        </is>
      </c>
      <c r="F367" t="inlineStr">
        <is>
          <t>1268969030</t>
        </is>
      </c>
      <c r="G367" t="n">
        <v>25</v>
      </c>
      <c r="H367" t="inlineStr">
        <is>
          <t>inferred</t>
        </is>
      </c>
      <c r="I367" t="inlineStr">
        <is>
          <t>cart+LSV</t>
        </is>
      </c>
      <c r="J367" t="inlineStr">
        <is>
          <t>https://www.google.com/maps/@?api=1&amp;map_action=pano&amp;viewpoint=32.584885,-117.127430&amp;heading=181</t>
        </is>
      </c>
      <c r="K367" t="inlineStr">
        <is>
          <t>https://www.google.com/maps/search/?api=1&amp;query=32.584885,-117.127430</t>
        </is>
      </c>
      <c r="L367" t="inlineStr"/>
      <c r="M367" t="inlineStr"/>
      <c r="N367" t="inlineStr"/>
      <c r="O367" t="inlineStr"/>
      <c r="P367" t="inlineStr">
        <is>
          <t>pending</t>
        </is>
      </c>
      <c r="Q367" t="inlineStr"/>
      <c r="R367" t="inlineStr"/>
      <c r="S367" t="inlineStr"/>
      <c r="T367" t="inlineStr"/>
      <c r="U367" t="inlineStr"/>
      <c r="V367">
        <f>IF(OR(L367="",S367=""),"",IF(VALUE(L367)=VALUE(S367),"Y","N"))</f>
        <v/>
      </c>
      <c r="W367">
        <f>IF(V367="Y",S367,"")</f>
        <v/>
      </c>
      <c r="X367" t="inlineStr">
        <is>
          <t>unverified: map has 25 mph (guessed from road type); is it 25 (carts OK) or 30+?</t>
        </is>
      </c>
      <c r="Y367" t="inlineStr"/>
      <c r="Z367" t="n">
        <v>1259</v>
      </c>
      <c r="AA367" t="inlineStr">
        <is>
          <t>sd</t>
        </is>
      </c>
      <c r="AB367" t="inlineStr">
        <is>
          <t>sd|32.58488,-117.12743</t>
        </is>
      </c>
    </row>
    <row r="368">
      <c r="A368" t="inlineStr">
        <is>
          <t>SD-B2-367</t>
        </is>
      </c>
      <c r="B368" t="inlineStr">
        <is>
          <t>San Diego area</t>
        </is>
      </c>
      <c r="C368" t="inlineStr">
        <is>
          <t>Carmel Mountain Road</t>
        </is>
      </c>
      <c r="D368" t="inlineStr">
        <is>
          <t>(see map link)</t>
        </is>
      </c>
      <c r="E368" t="inlineStr">
        <is>
          <t>Vereda Mar de Corazon</t>
        </is>
      </c>
      <c r="F368" t="inlineStr">
        <is>
          <t>1108557520</t>
        </is>
      </c>
      <c r="G368" t="n">
        <v>45</v>
      </c>
      <c r="H368" t="inlineStr">
        <is>
          <t>tag</t>
        </is>
      </c>
      <c r="I368" t="inlineStr">
        <is>
          <t>no</t>
        </is>
      </c>
      <c r="J368" t="inlineStr">
        <is>
          <t>https://www.google.com/maps/@?api=1&amp;map_action=pano&amp;viewpoint=32.919930,-117.223420&amp;heading=95</t>
        </is>
      </c>
      <c r="K368" t="inlineStr">
        <is>
          <t>https://www.google.com/maps/search/?api=1&amp;query=32.919930,-117.223420</t>
        </is>
      </c>
      <c r="L368" t="inlineStr"/>
      <c r="M368" t="inlineStr"/>
      <c r="N368" t="inlineStr"/>
      <c r="O368" t="inlineStr"/>
      <c r="P368" t="inlineStr">
        <is>
          <t>pending</t>
        </is>
      </c>
      <c r="Q368" t="inlineStr"/>
      <c r="R368" t="inlineStr"/>
      <c r="S368" t="inlineStr"/>
      <c r="T368" t="inlineStr"/>
      <c r="U368" t="inlineStr"/>
      <c r="V368">
        <f>IF(OR(L368="",S368=""),"",IF(VALUE(L368)=VALUE(S368),"Y","N"))</f>
        <v/>
      </c>
      <c r="W368">
        <f>IF(V368="Y",S368,"")</f>
        <v/>
      </c>
      <c r="X368" t="inlineStr">
        <is>
          <t>unverified: map has 45 mph (OSM tag only); main road: what is posted? 35 or lower opens it to LSVs</t>
        </is>
      </c>
      <c r="Y368" t="inlineStr"/>
      <c r="Z368" t="n">
        <v>1309</v>
      </c>
      <c r="AA368" t="inlineStr">
        <is>
          <t>sd</t>
        </is>
      </c>
      <c r="AB368" t="inlineStr">
        <is>
          <t>sd|32.91993,-117.22342</t>
        </is>
      </c>
    </row>
    <row r="369">
      <c r="A369" t="inlineStr">
        <is>
          <t>SD-B2-368</t>
        </is>
      </c>
      <c r="B369" t="inlineStr">
        <is>
          <t>San Diego area</t>
        </is>
      </c>
      <c r="C369" t="inlineStr">
        <is>
          <t>Carmel Park Drive</t>
        </is>
      </c>
      <c r="D369" t="inlineStr">
        <is>
          <t>Pilon Point</t>
        </is>
      </c>
      <c r="E369" t="inlineStr">
        <is>
          <t>Del Mar Trails Road</t>
        </is>
      </c>
      <c r="F369" t="inlineStr">
        <is>
          <t>6012089</t>
        </is>
      </c>
      <c r="G369" t="n">
        <v>25</v>
      </c>
      <c r="H369" t="inlineStr">
        <is>
          <t>inferred</t>
        </is>
      </c>
      <c r="I369" t="inlineStr">
        <is>
          <t>cart+LSV</t>
        </is>
      </c>
      <c r="J369" t="inlineStr">
        <is>
          <t>https://www.google.com/maps/@?api=1&amp;map_action=pano&amp;viewpoint=32.939170,-117.228320&amp;heading=268</t>
        </is>
      </c>
      <c r="K369" t="inlineStr">
        <is>
          <t>https://www.google.com/maps/search/?api=1&amp;query=32.939170,-117.228320</t>
        </is>
      </c>
      <c r="L369" t="inlineStr"/>
      <c r="M369" t="inlineStr"/>
      <c r="N369" t="inlineStr"/>
      <c r="O369" t="inlineStr"/>
      <c r="P369" t="inlineStr">
        <is>
          <t>pending</t>
        </is>
      </c>
      <c r="Q369" t="inlineStr"/>
      <c r="R369" t="inlineStr"/>
      <c r="S369" t="inlineStr"/>
      <c r="T369" t="inlineStr"/>
      <c r="U369" t="inlineStr"/>
      <c r="V369">
        <f>IF(OR(L369="",S369=""),"",IF(VALUE(L369)=VALUE(S369),"Y","N"))</f>
        <v/>
      </c>
      <c r="W369">
        <f>IF(V369="Y",S369,"")</f>
        <v/>
      </c>
      <c r="X369" t="inlineStr">
        <is>
          <t>unverified: map has 25 mph (guessed from road type); is it 25 (carts OK) or 30+?</t>
        </is>
      </c>
      <c r="Y369" t="inlineStr"/>
      <c r="Z369" t="n">
        <v>1259</v>
      </c>
      <c r="AA369" t="inlineStr">
        <is>
          <t>sd</t>
        </is>
      </c>
      <c r="AB369" t="inlineStr">
        <is>
          <t>sd|32.93917,-117.22832</t>
        </is>
      </c>
    </row>
    <row r="370">
      <c r="A370" t="inlineStr">
        <is>
          <t>SD-B2-369</t>
        </is>
      </c>
      <c r="B370" t="inlineStr">
        <is>
          <t>San Diego area</t>
        </is>
      </c>
      <c r="C370" t="inlineStr">
        <is>
          <t>Via de la Valle</t>
        </is>
      </c>
      <c r="D370" t="inlineStr">
        <is>
          <t>(see map link)</t>
        </is>
      </c>
      <c r="E370" t="inlineStr">
        <is>
          <t>Via de Santa Fe</t>
        </is>
      </c>
      <c r="F370" t="inlineStr">
        <is>
          <t>436262914</t>
        </is>
      </c>
      <c r="G370" t="n">
        <v>45</v>
      </c>
      <c r="H370" t="inlineStr">
        <is>
          <t>mapillary</t>
        </is>
      </c>
      <c r="I370" t="inlineStr">
        <is>
          <t>no</t>
        </is>
      </c>
      <c r="J370" t="inlineStr">
        <is>
          <t>https://www.google.com/maps/@?api=1&amp;map_action=pano&amp;viewpoint=33.007450,-117.207050&amp;heading=35</t>
        </is>
      </c>
      <c r="K370" t="inlineStr">
        <is>
          <t>https://www.google.com/maps/search/?api=1&amp;query=33.007450,-117.207050</t>
        </is>
      </c>
      <c r="L370" t="inlineStr"/>
      <c r="M370" t="inlineStr"/>
      <c r="N370" t="inlineStr"/>
      <c r="O370" t="inlineStr"/>
      <c r="P370" t="inlineStr">
        <is>
          <t>pending</t>
        </is>
      </c>
      <c r="Q370" t="inlineStr"/>
      <c r="R370" t="inlineStr"/>
      <c r="S370" t="inlineStr"/>
      <c r="T370" t="inlineStr">
        <is>
          <t>Mapillary: 7 posted 45 mph sign(s) detected</t>
        </is>
      </c>
      <c r="U370" t="inlineStr">
        <is>
          <t>https://www.mapillary.com/app/?lat=33.011623&amp;lng=-117.201400&amp;z=19&amp;focus=map&amp;mapFeatureId=474367562212464</t>
        </is>
      </c>
      <c r="V370">
        <f>IF(OR(L370="",S370=""),"",IF(VALUE(L370)=VALUE(S370),"Y","N"))</f>
        <v/>
      </c>
      <c r="W370">
        <f>IF(V370="Y",S370,"")</f>
        <v/>
      </c>
      <c r="X370" t="inlineStr">
        <is>
          <t>unverified: map has 45 mph (one Mapillary sign); main road: what is posted? 35 or lower opens it to LSVs</t>
        </is>
      </c>
      <c r="Y370" t="inlineStr"/>
      <c r="Z370" t="n">
        <v>1357</v>
      </c>
      <c r="AA370" t="inlineStr">
        <is>
          <t>sd</t>
        </is>
      </c>
      <c r="AB370" t="inlineStr">
        <is>
          <t>sd|33.00745,-117.20705</t>
        </is>
      </c>
    </row>
    <row r="371">
      <c r="A371" t="inlineStr">
        <is>
          <t>SD-B2-370</t>
        </is>
      </c>
      <c r="B371" t="inlineStr">
        <is>
          <t>San Diego area</t>
        </is>
      </c>
      <c r="C371" t="inlineStr">
        <is>
          <t>El Fuerte Street</t>
        </is>
      </c>
      <c r="D371" t="inlineStr">
        <is>
          <t>Palomar Airport Road</t>
        </is>
      </c>
      <c r="E371" t="inlineStr">
        <is>
          <t>Faraday Drive</t>
        </is>
      </c>
      <c r="F371" t="inlineStr">
        <is>
          <t>817729103</t>
        </is>
      </c>
      <c r="G371" t="n">
        <v>25</v>
      </c>
      <c r="H371" t="inlineStr">
        <is>
          <t>inferred</t>
        </is>
      </c>
      <c r="I371" t="inlineStr">
        <is>
          <t>cart+LSV</t>
        </is>
      </c>
      <c r="J371" t="inlineStr">
        <is>
          <t>https://www.google.com/maps/@?api=1&amp;map_action=pano&amp;viewpoint=33.134050,-117.253710&amp;heading=149</t>
        </is>
      </c>
      <c r="K371" t="inlineStr">
        <is>
          <t>https://www.google.com/maps/search/?api=1&amp;query=33.134050,-117.253710</t>
        </is>
      </c>
      <c r="L371" t="inlineStr"/>
      <c r="M371" t="inlineStr"/>
      <c r="N371" t="inlineStr"/>
      <c r="O371" t="inlineStr"/>
      <c r="P371" t="inlineStr">
        <is>
          <t>pending</t>
        </is>
      </c>
      <c r="Q371" t="inlineStr"/>
      <c r="R371" t="inlineStr"/>
      <c r="S371" t="inlineStr"/>
      <c r="T371" t="inlineStr"/>
      <c r="U371" t="inlineStr"/>
      <c r="V371">
        <f>IF(OR(L371="",S371=""),"",IF(VALUE(L371)=VALUE(S371),"Y","N"))</f>
        <v/>
      </c>
      <c r="W371">
        <f>IF(V371="Y",S371,"")</f>
        <v/>
      </c>
      <c r="X371" t="inlineStr">
        <is>
          <t>unverified: map has 25 mph (guessed from road type); is it 25 (carts OK) or 30+?</t>
        </is>
      </c>
      <c r="Y371" t="inlineStr"/>
      <c r="Z371" t="n">
        <v>1250</v>
      </c>
      <c r="AA371" t="inlineStr">
        <is>
          <t>sd</t>
        </is>
      </c>
      <c r="AB371" t="inlineStr">
        <is>
          <t>sd|33.13405,-117.25371</t>
        </is>
      </c>
    </row>
    <row r="372">
      <c r="A372" t="inlineStr">
        <is>
          <t>SD-B2-371</t>
        </is>
      </c>
      <c r="B372" t="inlineStr">
        <is>
          <t>San Diego area</t>
        </is>
      </c>
      <c r="C372" t="inlineStr">
        <is>
          <t>Linda Vista Road</t>
        </is>
      </c>
      <c r="D372" t="inlineStr">
        <is>
          <t>(see map link)</t>
        </is>
      </c>
      <c r="E372" t="inlineStr">
        <is>
          <t>Comstock Street</t>
        </is>
      </c>
      <c r="F372" t="inlineStr">
        <is>
          <t>157974707</t>
        </is>
      </c>
      <c r="G372" t="n">
        <v>30</v>
      </c>
      <c r="H372" t="inlineStr">
        <is>
          <t>tag</t>
        </is>
      </c>
      <c r="I372" t="inlineStr">
        <is>
          <t>LSV</t>
        </is>
      </c>
      <c r="J372" t="inlineStr">
        <is>
          <t>https://www.google.com/maps/@?api=1&amp;map_action=pano&amp;viewpoint=32.787810,-117.169460&amp;heading=28</t>
        </is>
      </c>
      <c r="K372" t="inlineStr">
        <is>
          <t>https://www.google.com/maps/search/?api=1&amp;query=32.787810,-117.169460</t>
        </is>
      </c>
      <c r="L372" t="inlineStr"/>
      <c r="M372" t="inlineStr"/>
      <c r="N372" t="inlineStr"/>
      <c r="O372" t="inlineStr"/>
      <c r="P372" t="inlineStr">
        <is>
          <t>pending</t>
        </is>
      </c>
      <c r="Q372" t="inlineStr"/>
      <c r="R372" t="inlineStr"/>
      <c r="S372" t="inlineStr"/>
      <c r="T372" t="inlineStr"/>
      <c r="U372" t="inlineStr"/>
      <c r="V372">
        <f>IF(OR(L372="",S372=""),"",IF(VALUE(L372)=VALUE(S372),"Y","N"))</f>
        <v/>
      </c>
      <c r="W372">
        <f>IF(V372="Y",S372,"")</f>
        <v/>
      </c>
      <c r="X372" t="inlineStr">
        <is>
          <t>unverified: map has 30 mph (OSM tag only); is it 25 (carts OK) or 30+?</t>
        </is>
      </c>
      <c r="Y372" t="inlineStr"/>
      <c r="Z372" t="n">
        <v>1083</v>
      </c>
      <c r="AA372" t="inlineStr">
        <is>
          <t>sd</t>
        </is>
      </c>
      <c r="AB372" t="inlineStr">
        <is>
          <t>sd|32.78781,-117.16946</t>
        </is>
      </c>
    </row>
    <row r="373">
      <c r="A373" t="inlineStr">
        <is>
          <t>SD-B2-372</t>
        </is>
      </c>
      <c r="B373" t="inlineStr">
        <is>
          <t>San Diego area</t>
        </is>
      </c>
      <c r="C373" t="inlineStr">
        <is>
          <t>Palomar Airport Road</t>
        </is>
      </c>
      <c r="D373" t="inlineStr">
        <is>
          <t>(see map link)</t>
        </is>
      </c>
      <c r="E373" t="inlineStr">
        <is>
          <t>Avenida Encinas</t>
        </is>
      </c>
      <c r="F373" t="inlineStr">
        <is>
          <t>436424237</t>
        </is>
      </c>
      <c r="G373" t="n">
        <v>45</v>
      </c>
      <c r="H373" t="inlineStr">
        <is>
          <t>tag</t>
        </is>
      </c>
      <c r="I373" t="inlineStr">
        <is>
          <t>no</t>
        </is>
      </c>
      <c r="J373" t="inlineStr">
        <is>
          <t>https://www.google.com/maps/@?api=1&amp;map_action=pano&amp;viewpoint=33.121940,-117.315900&amp;heading=91</t>
        </is>
      </c>
      <c r="K373" t="inlineStr">
        <is>
          <t>https://www.google.com/maps/search/?api=1&amp;query=33.121940,-117.315900</t>
        </is>
      </c>
      <c r="L373" t="inlineStr"/>
      <c r="M373" t="inlineStr"/>
      <c r="N373" t="inlineStr"/>
      <c r="O373" t="inlineStr"/>
      <c r="P373" t="inlineStr">
        <is>
          <t>pending</t>
        </is>
      </c>
      <c r="Q373" t="inlineStr"/>
      <c r="R373" t="inlineStr"/>
      <c r="S373" t="inlineStr"/>
      <c r="T373" t="inlineStr"/>
      <c r="U373" t="inlineStr"/>
      <c r="V373">
        <f>IF(OR(L373="",S373=""),"",IF(VALUE(L373)=VALUE(S373),"Y","N"))</f>
        <v/>
      </c>
      <c r="W373">
        <f>IF(V373="Y",S373,"")</f>
        <v/>
      </c>
      <c r="X373" t="inlineStr">
        <is>
          <t>unverified: map has 45 mph (OSM tag only); main road: what is posted? 35 or lower opens it to LSVs</t>
        </is>
      </c>
      <c r="Y373" t="inlineStr"/>
      <c r="Z373" t="n">
        <v>1082</v>
      </c>
      <c r="AA373" t="inlineStr">
        <is>
          <t>sd</t>
        </is>
      </c>
      <c r="AB373" t="inlineStr">
        <is>
          <t>sd|33.12194,-117.31590</t>
        </is>
      </c>
    </row>
    <row r="374">
      <c r="A374" t="inlineStr">
        <is>
          <t>SD-B2-373</t>
        </is>
      </c>
      <c r="B374" t="inlineStr">
        <is>
          <t>San Diego area</t>
        </is>
      </c>
      <c r="C374" t="inlineStr">
        <is>
          <t>Quivira Road</t>
        </is>
      </c>
      <c r="D374" t="inlineStr">
        <is>
          <t>(see map link)</t>
        </is>
      </c>
      <c r="E374" t="inlineStr">
        <is>
          <t>Quivira Way</t>
        </is>
      </c>
      <c r="F374" t="inlineStr">
        <is>
          <t>1292706367</t>
        </is>
      </c>
      <c r="G374" t="n">
        <v>25</v>
      </c>
      <c r="H374" t="inlineStr">
        <is>
          <t>inferred</t>
        </is>
      </c>
      <c r="I374" t="inlineStr">
        <is>
          <t>cart+LSV</t>
        </is>
      </c>
      <c r="J374" t="inlineStr">
        <is>
          <t>https://www.google.com/maps/@?api=1&amp;map_action=pano&amp;viewpoint=32.764275,-117.235990&amp;heading=293</t>
        </is>
      </c>
      <c r="K374" t="inlineStr">
        <is>
          <t>https://www.google.com/maps/search/?api=1&amp;query=32.764275,-117.235990</t>
        </is>
      </c>
      <c r="L374" t="inlineStr"/>
      <c r="M374" t="inlineStr"/>
      <c r="N374" t="inlineStr"/>
      <c r="O374" t="inlineStr"/>
      <c r="P374" t="inlineStr">
        <is>
          <t>pending</t>
        </is>
      </c>
      <c r="Q374" t="inlineStr"/>
      <c r="R374" t="inlineStr"/>
      <c r="S374" t="inlineStr"/>
      <c r="T374" t="inlineStr"/>
      <c r="U374" t="inlineStr"/>
      <c r="V374">
        <f>IF(OR(L374="",S374=""),"",IF(VALUE(L374)=VALUE(S374),"Y","N"))</f>
        <v/>
      </c>
      <c r="W374">
        <f>IF(V374="Y",S374,"")</f>
        <v/>
      </c>
      <c r="X374" t="inlineStr">
        <is>
          <t>unverified: map has 25 mph (guessed from road type); is it 25 (carts OK) or 30+?</t>
        </is>
      </c>
      <c r="Y374" t="inlineStr"/>
      <c r="Z374" t="n">
        <v>1246</v>
      </c>
      <c r="AA374" t="inlineStr">
        <is>
          <t>sd</t>
        </is>
      </c>
      <c r="AB374" t="inlineStr">
        <is>
          <t>sd|32.76427,-117.23599</t>
        </is>
      </c>
    </row>
    <row r="375">
      <c r="A375" t="inlineStr">
        <is>
          <t>SD-B2-374</t>
        </is>
      </c>
      <c r="B375" t="inlineStr">
        <is>
          <t>San Diego area</t>
        </is>
      </c>
      <c r="C375" t="inlineStr">
        <is>
          <t>West Washington Street</t>
        </is>
      </c>
      <c r="D375" t="inlineStr">
        <is>
          <t>(see map link)</t>
        </is>
      </c>
      <c r="E375" t="inlineStr">
        <is>
          <t>Hawk Street</t>
        </is>
      </c>
      <c r="F375" t="inlineStr">
        <is>
          <t>166090298</t>
        </is>
      </c>
      <c r="G375" t="n">
        <v>45</v>
      </c>
      <c r="H375" t="inlineStr">
        <is>
          <t>tag</t>
        </is>
      </c>
      <c r="I375" t="inlineStr">
        <is>
          <t>no</t>
        </is>
      </c>
      <c r="J375" t="inlineStr">
        <is>
          <t>https://www.google.com/maps/@?api=1&amp;map_action=pano&amp;viewpoint=32.746630,-117.178200&amp;heading=58</t>
        </is>
      </c>
      <c r="K375" t="inlineStr">
        <is>
          <t>https://www.google.com/maps/search/?api=1&amp;query=32.746630,-117.178200</t>
        </is>
      </c>
      <c r="L375" t="inlineStr"/>
      <c r="M375" t="inlineStr"/>
      <c r="N375" t="inlineStr"/>
      <c r="O375" t="inlineStr"/>
      <c r="P375" t="inlineStr">
        <is>
          <t>pending</t>
        </is>
      </c>
      <c r="Q375" t="inlineStr"/>
      <c r="R375" t="inlineStr"/>
      <c r="S375" t="inlineStr"/>
      <c r="T375" t="inlineStr"/>
      <c r="U375" t="inlineStr"/>
      <c r="V375">
        <f>IF(OR(L375="",S375=""),"",IF(VALUE(L375)=VALUE(S375),"Y","N"))</f>
        <v/>
      </c>
      <c r="W375">
        <f>IF(V375="Y",S375,"")</f>
        <v/>
      </c>
      <c r="X375" t="inlineStr">
        <is>
          <t>unverified: map has 45 mph (OSM tag only); main road: what is posted? 35 or lower opens it to LSVs</t>
        </is>
      </c>
      <c r="Y375" t="inlineStr"/>
      <c r="Z375" t="n">
        <v>1079</v>
      </c>
      <c r="AA375" t="inlineStr">
        <is>
          <t>sd</t>
        </is>
      </c>
      <c r="AB375" t="inlineStr">
        <is>
          <t>sd|32.74663,-117.17820</t>
        </is>
      </c>
    </row>
    <row r="376">
      <c r="A376" t="inlineStr">
        <is>
          <t>SD-B2-375</t>
        </is>
      </c>
      <c r="B376" t="inlineStr">
        <is>
          <t>San Diego area</t>
        </is>
      </c>
      <c r="C376" t="inlineStr">
        <is>
          <t>Camino Santa Fe</t>
        </is>
      </c>
      <c r="D376" t="inlineStr">
        <is>
          <t>Golden Glen Lane</t>
        </is>
      </c>
      <c r="E376" t="inlineStr">
        <is>
          <t>Top Gun Street</t>
        </is>
      </c>
      <c r="F376" t="inlineStr">
        <is>
          <t>657526897</t>
        </is>
      </c>
      <c r="G376" t="n">
        <v>45</v>
      </c>
      <c r="H376" t="inlineStr">
        <is>
          <t>tag</t>
        </is>
      </c>
      <c r="I376" t="inlineStr">
        <is>
          <t>no</t>
        </is>
      </c>
      <c r="J376" t="inlineStr">
        <is>
          <t>https://www.google.com/maps/@?api=1&amp;map_action=pano&amp;viewpoint=32.913230,-117.173320&amp;heading=329</t>
        </is>
      </c>
      <c r="K376" t="inlineStr">
        <is>
          <t>https://www.google.com/maps/search/?api=1&amp;query=32.913230,-117.173320</t>
        </is>
      </c>
      <c r="L376" t="inlineStr"/>
      <c r="M376" t="inlineStr"/>
      <c r="N376" t="inlineStr"/>
      <c r="O376" t="inlineStr"/>
      <c r="P376" t="inlineStr">
        <is>
          <t>pending</t>
        </is>
      </c>
      <c r="Q376" t="inlineStr"/>
      <c r="R376" t="inlineStr"/>
      <c r="S376" t="inlineStr"/>
      <c r="T376" t="inlineStr"/>
      <c r="U376" t="inlineStr"/>
      <c r="V376">
        <f>IF(OR(L376="",S376=""),"",IF(VALUE(L376)=VALUE(S376),"Y","N"))</f>
        <v/>
      </c>
      <c r="W376">
        <f>IF(V376="Y",S376,"")</f>
        <v/>
      </c>
      <c r="X376" t="inlineStr">
        <is>
          <t>unverified: map has 45 mph (OSM tag only); main road: what is posted? 35 or lower opens it to LSVs</t>
        </is>
      </c>
      <c r="Y376" t="inlineStr"/>
      <c r="Z376" t="n">
        <v>1294</v>
      </c>
      <c r="AA376" t="inlineStr">
        <is>
          <t>sd</t>
        </is>
      </c>
      <c r="AB376" t="inlineStr">
        <is>
          <t>sd|32.91323,-117.17332</t>
        </is>
      </c>
    </row>
    <row r="377">
      <c r="A377" t="inlineStr">
        <is>
          <t>SD-B2-376</t>
        </is>
      </c>
      <c r="B377" t="inlineStr">
        <is>
          <t>San Diego area</t>
        </is>
      </c>
      <c r="C377" t="inlineStr">
        <is>
          <t>Benet Road</t>
        </is>
      </c>
      <c r="D377" t="inlineStr">
        <is>
          <t>West Airport Road</t>
        </is>
      </c>
      <c r="E377" t="inlineStr">
        <is>
          <t>San Luis Rey Mission Expressway</t>
        </is>
      </c>
      <c r="F377" t="inlineStr"/>
      <c r="G377" t="inlineStr"/>
      <c r="H377" t="inlineStr">
        <is>
          <t>inferred</t>
        </is>
      </c>
      <c r="I377" t="inlineStr">
        <is>
          <t>no</t>
        </is>
      </c>
      <c r="J377" t="inlineStr">
        <is>
          <t>https://www.google.com/maps/@?api=1&amp;map_action=pano&amp;viewpoint=33.218300,-117.357525&amp;heading=348</t>
        </is>
      </c>
      <c r="K377" t="inlineStr">
        <is>
          <t>https://www.google.com/maps/search/?api=1&amp;query=33.218300,-117.357525</t>
        </is>
      </c>
      <c r="L377" t="inlineStr"/>
      <c r="M377" t="inlineStr"/>
      <c r="N377" t="inlineStr"/>
      <c r="O377" t="inlineStr"/>
      <c r="P377" t="inlineStr">
        <is>
          <t>pending</t>
        </is>
      </c>
      <c r="Q377" t="inlineStr"/>
      <c r="R377" t="inlineStr"/>
      <c r="S377" t="inlineStr"/>
      <c r="T377" t="inlineStr"/>
      <c r="U377" t="inlineStr"/>
      <c r="V377">
        <f>IF(OR(L377="",S377=""),"",IF(VALUE(L377)=VALUE(S377),"Y","N"))</f>
        <v/>
      </c>
      <c r="W377">
        <f>IF(V377="Y",S377,"")</f>
        <v/>
      </c>
      <c r="X377" t="inlineStr">
        <is>
          <t>unverified: map has no limit (guessed from road type); main road: what is posted? 35 or lower opens it to LSVs</t>
        </is>
      </c>
      <c r="Y377" t="inlineStr"/>
      <c r="Z377" t="n">
        <v>993</v>
      </c>
      <c r="AA377" t="inlineStr">
        <is>
          <t>sd</t>
        </is>
      </c>
      <c r="AB377" t="inlineStr">
        <is>
          <t>sd|33.21830,-117.35752</t>
        </is>
      </c>
    </row>
    <row r="378">
      <c r="A378" t="inlineStr">
        <is>
          <t>SD-B2-377</t>
        </is>
      </c>
      <c r="B378" t="inlineStr">
        <is>
          <t>San Diego area</t>
        </is>
      </c>
      <c r="C378" t="inlineStr">
        <is>
          <t>Missouri Avenue</t>
        </is>
      </c>
      <c r="D378" t="inlineStr">
        <is>
          <t>South Cleveland Street</t>
        </is>
      </c>
      <c r="E378" t="inlineStr">
        <is>
          <t>North Vine Street</t>
        </is>
      </c>
      <c r="F378" t="inlineStr">
        <is>
          <t>1456970084</t>
        </is>
      </c>
      <c r="G378" t="n">
        <v>25</v>
      </c>
      <c r="H378" t="inlineStr">
        <is>
          <t>inferred</t>
        </is>
      </c>
      <c r="I378" t="inlineStr">
        <is>
          <t>cart+LSV</t>
        </is>
      </c>
      <c r="J378" t="inlineStr">
        <is>
          <t>https://www.google.com/maps/@?api=1&amp;map_action=pano&amp;viewpoint=33.194390,-117.371660&amp;heading=55</t>
        </is>
      </c>
      <c r="K378" t="inlineStr">
        <is>
          <t>https://www.google.com/maps/search/?api=1&amp;query=33.194390,-117.371660</t>
        </is>
      </c>
      <c r="L378" t="inlineStr"/>
      <c r="M378" t="inlineStr"/>
      <c r="N378" t="inlineStr"/>
      <c r="O378" t="inlineStr"/>
      <c r="P378" t="inlineStr">
        <is>
          <t>pending</t>
        </is>
      </c>
      <c r="Q378" t="inlineStr"/>
      <c r="R378" t="inlineStr"/>
      <c r="S378" t="inlineStr"/>
      <c r="T378" t="inlineStr"/>
      <c r="U378" t="inlineStr"/>
      <c r="V378">
        <f>IF(OR(L378="",S378=""),"",IF(VALUE(L378)=VALUE(S378),"Y","N"))</f>
        <v/>
      </c>
      <c r="W378">
        <f>IF(V378="Y",S378,"")</f>
        <v/>
      </c>
      <c r="X378" t="inlineStr">
        <is>
          <t>unverified: map has 25 mph (guessed from road type); is it 25 (carts OK) or 30+?</t>
        </is>
      </c>
      <c r="Y378" t="inlineStr"/>
      <c r="Z378" t="n">
        <v>1238</v>
      </c>
      <c r="AA378" t="inlineStr">
        <is>
          <t>sd</t>
        </is>
      </c>
      <c r="AB378" t="inlineStr">
        <is>
          <t>sd|33.19439,-117.37166</t>
        </is>
      </c>
    </row>
    <row r="379">
      <c r="A379" t="inlineStr">
        <is>
          <t>SD-B2-378</t>
        </is>
      </c>
      <c r="B379" t="inlineStr">
        <is>
          <t>San Diego area</t>
        </is>
      </c>
      <c r="C379" t="inlineStr">
        <is>
          <t>Hosp Way</t>
        </is>
      </c>
      <c r="D379" t="inlineStr">
        <is>
          <t>Monroe Street</t>
        </is>
      </c>
      <c r="E379" t="inlineStr">
        <is>
          <t>El Camino Real</t>
        </is>
      </c>
      <c r="F379" t="inlineStr">
        <is>
          <t>6018825</t>
        </is>
      </c>
      <c r="G379" t="n">
        <v>25</v>
      </c>
      <c r="H379" t="inlineStr">
        <is>
          <t>inferred</t>
        </is>
      </c>
      <c r="I379" t="inlineStr">
        <is>
          <t>cart+LSV</t>
        </is>
      </c>
      <c r="J379" t="inlineStr">
        <is>
          <t>https://www.google.com/maps/@?api=1&amp;map_action=pano&amp;viewpoint=33.175450,-117.330370&amp;heading=76</t>
        </is>
      </c>
      <c r="K379" t="inlineStr">
        <is>
          <t>https://www.google.com/maps/search/?api=1&amp;query=33.175450,-117.330370</t>
        </is>
      </c>
      <c r="L379" t="inlineStr"/>
      <c r="M379" t="inlineStr"/>
      <c r="N379" t="inlineStr"/>
      <c r="O379" t="inlineStr"/>
      <c r="P379" t="inlineStr">
        <is>
          <t>pending</t>
        </is>
      </c>
      <c r="Q379" t="inlineStr"/>
      <c r="R379" t="inlineStr"/>
      <c r="S379" t="inlineStr"/>
      <c r="T379" t="inlineStr"/>
      <c r="U379" t="inlineStr"/>
      <c r="V379">
        <f>IF(OR(L379="",S379=""),"",IF(VALUE(L379)=VALUE(S379),"Y","N"))</f>
        <v/>
      </c>
      <c r="W379">
        <f>IF(V379="Y",S379,"")</f>
        <v/>
      </c>
      <c r="X379" t="inlineStr">
        <is>
          <t>unverified: map has 25 mph (guessed from road type); is it 25 (carts OK) or 30+?</t>
        </is>
      </c>
      <c r="Y379" t="inlineStr"/>
      <c r="Z379" t="n">
        <v>1233</v>
      </c>
      <c r="AA379" t="inlineStr">
        <is>
          <t>sd</t>
        </is>
      </c>
      <c r="AB379" t="inlineStr">
        <is>
          <t>sd|33.17545,-117.33037</t>
        </is>
      </c>
    </row>
    <row r="380">
      <c r="A380" t="inlineStr">
        <is>
          <t>SD-B2-379</t>
        </is>
      </c>
      <c r="B380" t="inlineStr">
        <is>
          <t>San Diego area</t>
        </is>
      </c>
      <c r="C380" t="inlineStr">
        <is>
          <t>Harding Street</t>
        </is>
      </c>
      <c r="D380" t="inlineStr">
        <is>
          <t>Carlsbad Village Drive</t>
        </is>
      </c>
      <c r="E380" t="inlineStr">
        <is>
          <t>Oak Avenue</t>
        </is>
      </c>
      <c r="F380" t="inlineStr">
        <is>
          <t>225875499</t>
        </is>
      </c>
      <c r="G380" t="inlineStr"/>
      <c r="H380" t="inlineStr">
        <is>
          <t>inferred</t>
        </is>
      </c>
      <c r="I380" t="inlineStr">
        <is>
          <t>no</t>
        </is>
      </c>
      <c r="J380" t="inlineStr">
        <is>
          <t>https://www.google.com/maps/@?api=1&amp;map_action=pano&amp;viewpoint=33.158045,-117.341405&amp;heading=146</t>
        </is>
      </c>
      <c r="K380" t="inlineStr">
        <is>
          <t>https://www.google.com/maps/search/?api=1&amp;query=33.158045,-117.341405</t>
        </is>
      </c>
      <c r="L380" t="inlineStr"/>
      <c r="M380" t="inlineStr"/>
      <c r="N380" t="inlineStr"/>
      <c r="O380" t="inlineStr"/>
      <c r="P380" t="inlineStr">
        <is>
          <t>pending</t>
        </is>
      </c>
      <c r="Q380" t="inlineStr"/>
      <c r="R380" t="inlineStr"/>
      <c r="S380" t="inlineStr"/>
      <c r="T380" t="inlineStr"/>
      <c r="U380" t="inlineStr"/>
      <c r="V380">
        <f>IF(OR(L380="",S380=""),"",IF(VALUE(L380)=VALUE(S380),"Y","N"))</f>
        <v/>
      </c>
      <c r="W380">
        <f>IF(V380="Y",S380,"")</f>
        <v/>
      </c>
      <c r="X380" t="inlineStr">
        <is>
          <t>unverified: map has no limit (guessed from road type); main road: what is posted? 35 or lower opens it to LSVs</t>
        </is>
      </c>
      <c r="Y380" t="inlineStr"/>
      <c r="Z380" t="n">
        <v>985</v>
      </c>
      <c r="AA380" t="inlineStr">
        <is>
          <t>sd</t>
        </is>
      </c>
      <c r="AB380" t="inlineStr">
        <is>
          <t>sd|33.15805,-117.34141</t>
        </is>
      </c>
    </row>
    <row r="381">
      <c r="A381" t="inlineStr">
        <is>
          <t>SD-B2-380</t>
        </is>
      </c>
      <c r="B381" t="inlineStr">
        <is>
          <t>San Diego area</t>
        </is>
      </c>
      <c r="C381" t="inlineStr">
        <is>
          <t>Kettner Boulevard</t>
        </is>
      </c>
      <c r="D381" t="inlineStr">
        <is>
          <t>West Laurel Street</t>
        </is>
      </c>
      <c r="E381" t="inlineStr">
        <is>
          <t>Sassafras Street</t>
        </is>
      </c>
      <c r="F381" t="inlineStr">
        <is>
          <t>436405937</t>
        </is>
      </c>
      <c r="G381" t="n">
        <v>40</v>
      </c>
      <c r="H381" t="inlineStr">
        <is>
          <t>tag</t>
        </is>
      </c>
      <c r="I381" t="inlineStr">
        <is>
          <t>no</t>
        </is>
      </c>
      <c r="J381" t="inlineStr">
        <is>
          <t>https://www.google.com/maps/@?api=1&amp;map_action=pano&amp;viewpoint=32.734360,-117.174525&amp;heading=143</t>
        </is>
      </c>
      <c r="K381" t="inlineStr">
        <is>
          <t>https://www.google.com/maps/search/?api=1&amp;query=32.734360,-117.174525</t>
        </is>
      </c>
      <c r="L381" t="inlineStr"/>
      <c r="M381" t="inlineStr"/>
      <c r="N381" t="inlineStr"/>
      <c r="O381" t="inlineStr"/>
      <c r="P381" t="inlineStr">
        <is>
          <t>pending</t>
        </is>
      </c>
      <c r="Q381" t="inlineStr"/>
      <c r="R381" t="inlineStr"/>
      <c r="S381" t="inlineStr"/>
      <c r="T381" t="inlineStr"/>
      <c r="U381" t="inlineStr"/>
      <c r="V381">
        <f>IF(OR(L381="",S381=""),"",IF(VALUE(L381)=VALUE(S381),"Y","N"))</f>
        <v/>
      </c>
      <c r="W381">
        <f>IF(V381="Y",S381,"")</f>
        <v/>
      </c>
      <c r="X381" t="inlineStr">
        <is>
          <t>unverified: map has 40 mph (OSM tag only); is it 35 (LSV OK) or 40+?</t>
        </is>
      </c>
      <c r="Y381" t="inlineStr"/>
      <c r="Z381" t="n">
        <v>1279</v>
      </c>
      <c r="AA381" t="inlineStr">
        <is>
          <t>sd</t>
        </is>
      </c>
      <c r="AB381" t="inlineStr">
        <is>
          <t>sd|32.73436,-117.17452</t>
        </is>
      </c>
    </row>
    <row r="382">
      <c r="A382" t="inlineStr">
        <is>
          <t>SD-B2-381</t>
        </is>
      </c>
      <c r="B382" t="inlineStr">
        <is>
          <t>San Diego area</t>
        </is>
      </c>
      <c r="C382" t="inlineStr">
        <is>
          <t>Carmel Mountain Road</t>
        </is>
      </c>
      <c r="D382" t="inlineStr">
        <is>
          <t>Canter Heights Drive</t>
        </is>
      </c>
      <c r="E382" t="inlineStr">
        <is>
          <t>Furlong Place</t>
        </is>
      </c>
      <c r="F382" t="inlineStr">
        <is>
          <t>594168003</t>
        </is>
      </c>
      <c r="G382" t="n">
        <v>45</v>
      </c>
      <c r="H382" t="inlineStr">
        <is>
          <t>tag</t>
        </is>
      </c>
      <c r="I382" t="inlineStr">
        <is>
          <t>no</t>
        </is>
      </c>
      <c r="J382" t="inlineStr">
        <is>
          <t>https://www.google.com/maps/@?api=1&amp;map_action=pano&amp;viewpoint=32.927190,-117.205790&amp;heading=76</t>
        </is>
      </c>
      <c r="K382" t="inlineStr">
        <is>
          <t>https://www.google.com/maps/search/?api=1&amp;query=32.927190,-117.205790</t>
        </is>
      </c>
      <c r="L382" t="inlineStr"/>
      <c r="M382" t="inlineStr"/>
      <c r="N382" t="inlineStr"/>
      <c r="O382" t="inlineStr"/>
      <c r="P382" t="inlineStr">
        <is>
          <t>pending</t>
        </is>
      </c>
      <c r="Q382" t="inlineStr"/>
      <c r="R382" t="inlineStr"/>
      <c r="S382" t="inlineStr"/>
      <c r="T382" t="inlineStr"/>
      <c r="U382" t="inlineStr"/>
      <c r="V382">
        <f>IF(OR(L382="",S382=""),"",IF(VALUE(L382)=VALUE(S382),"Y","N"))</f>
        <v/>
      </c>
      <c r="W382">
        <f>IF(V382="Y",S382,"")</f>
        <v/>
      </c>
      <c r="X382" t="inlineStr">
        <is>
          <t>unverified: map has 45 mph (OSM tag only); main road: what is posted? 35 or lower opens it to LSVs</t>
        </is>
      </c>
      <c r="Y382" t="inlineStr"/>
      <c r="Z382" t="n">
        <v>1275</v>
      </c>
      <c r="AA382" t="inlineStr">
        <is>
          <t>sd</t>
        </is>
      </c>
      <c r="AB382" t="inlineStr">
        <is>
          <t>sd|32.92719,-117.20579</t>
        </is>
      </c>
    </row>
    <row r="383">
      <c r="A383" t="inlineStr">
        <is>
          <t>SD-B2-382</t>
        </is>
      </c>
      <c r="B383" t="inlineStr">
        <is>
          <t>San Diego area</t>
        </is>
      </c>
      <c r="C383" t="inlineStr">
        <is>
          <t>South 36th Street</t>
        </is>
      </c>
      <c r="D383" t="inlineStr">
        <is>
          <t>Hemlock Street</t>
        </is>
      </c>
      <c r="E383" t="inlineStr">
        <is>
          <t>Webster Avenue</t>
        </is>
      </c>
      <c r="F383" t="inlineStr">
        <is>
          <t>5988833</t>
        </is>
      </c>
      <c r="G383" t="inlineStr"/>
      <c r="H383" t="inlineStr">
        <is>
          <t>inferred</t>
        </is>
      </c>
      <c r="I383" t="inlineStr">
        <is>
          <t>no</t>
        </is>
      </c>
      <c r="J383" t="inlineStr">
        <is>
          <t>https://www.google.com/maps/@?api=1&amp;map_action=pano&amp;viewpoint=32.700540,-117.116815&amp;heading=180</t>
        </is>
      </c>
      <c r="K383" t="inlineStr">
        <is>
          <t>https://www.google.com/maps/search/?api=1&amp;query=32.700540,-117.116815</t>
        </is>
      </c>
      <c r="L383" t="inlineStr"/>
      <c r="M383" t="inlineStr"/>
      <c r="N383" t="inlineStr"/>
      <c r="O383" t="inlineStr"/>
      <c r="P383" t="inlineStr">
        <is>
          <t>pending</t>
        </is>
      </c>
      <c r="Q383" t="inlineStr"/>
      <c r="R383" t="inlineStr"/>
      <c r="S383" t="inlineStr"/>
      <c r="T383" t="inlineStr"/>
      <c r="U383" t="inlineStr"/>
      <c r="V383">
        <f>IF(OR(L383="",S383=""),"",IF(VALUE(L383)=VALUE(S383),"Y","N"))</f>
        <v/>
      </c>
      <c r="W383">
        <f>IF(V383="Y",S383,"")</f>
        <v/>
      </c>
      <c r="X383" t="inlineStr">
        <is>
          <t>unverified: map has no limit (guessed from road type); main road: what is posted? 35 or lower opens it to LSVs</t>
        </is>
      </c>
      <c r="Y383" t="inlineStr"/>
      <c r="Z383" t="n">
        <v>980</v>
      </c>
      <c r="AA383" t="inlineStr">
        <is>
          <t>sd</t>
        </is>
      </c>
      <c r="AB383" t="inlineStr">
        <is>
          <t>sd|32.70054,-117.11682</t>
        </is>
      </c>
    </row>
    <row r="384">
      <c r="A384" t="inlineStr">
        <is>
          <t>SD-B2-383</t>
        </is>
      </c>
      <c r="B384" t="inlineStr">
        <is>
          <t>San Diego area</t>
        </is>
      </c>
      <c r="C384" t="inlineStr">
        <is>
          <t>Camino de la Reina</t>
        </is>
      </c>
      <c r="D384" t="inlineStr">
        <is>
          <t>(see map link)</t>
        </is>
      </c>
      <c r="E384" t="inlineStr">
        <is>
          <t>Hotel Circle North</t>
        </is>
      </c>
      <c r="F384" t="inlineStr">
        <is>
          <t>1234751414</t>
        </is>
      </c>
      <c r="G384" t="inlineStr"/>
      <c r="H384" t="inlineStr">
        <is>
          <t>inferred</t>
        </is>
      </c>
      <c r="I384" t="inlineStr">
        <is>
          <t>no</t>
        </is>
      </c>
      <c r="J384" t="inlineStr">
        <is>
          <t>https://www.google.com/maps/@?api=1&amp;map_action=pano&amp;viewpoint=32.763590,-117.164430&amp;heading=42</t>
        </is>
      </c>
      <c r="K384" t="inlineStr">
        <is>
          <t>https://www.google.com/maps/search/?api=1&amp;query=32.763590,-117.164430</t>
        </is>
      </c>
      <c r="L384" t="inlineStr"/>
      <c r="M384" t="inlineStr"/>
      <c r="N384" t="inlineStr"/>
      <c r="O384" t="inlineStr"/>
      <c r="P384" t="inlineStr">
        <is>
          <t>pending</t>
        </is>
      </c>
      <c r="Q384" t="inlineStr"/>
      <c r="R384" t="inlineStr"/>
      <c r="S384" t="inlineStr"/>
      <c r="T384" t="inlineStr"/>
      <c r="U384" t="inlineStr"/>
      <c r="V384">
        <f>IF(OR(L384="",S384=""),"",IF(VALUE(L384)=VALUE(S384),"Y","N"))</f>
        <v/>
      </c>
      <c r="W384">
        <f>IF(V384="Y",S384,"")</f>
        <v/>
      </c>
      <c r="X384" t="inlineStr">
        <is>
          <t>unverified: map has no limit (guessed from road type); main road: what is posted? 35 or lower opens it to LSVs</t>
        </is>
      </c>
      <c r="Y384" t="inlineStr"/>
      <c r="Z384" t="n">
        <v>979</v>
      </c>
      <c r="AA384" t="inlineStr">
        <is>
          <t>sd</t>
        </is>
      </c>
      <c r="AB384" t="inlineStr">
        <is>
          <t>sd|32.76359,-117.16443</t>
        </is>
      </c>
    </row>
    <row r="385">
      <c r="A385" t="inlineStr">
        <is>
          <t>SD-B2-384</t>
        </is>
      </c>
      <c r="B385" t="inlineStr">
        <is>
          <t>San Diego area</t>
        </is>
      </c>
      <c r="C385" t="inlineStr">
        <is>
          <t>Frazee Road</t>
        </is>
      </c>
      <c r="D385" t="inlineStr">
        <is>
          <t>(see map link)</t>
        </is>
      </c>
      <c r="E385" t="inlineStr">
        <is>
          <t>Murray Canyon Road</t>
        </is>
      </c>
      <c r="F385" t="inlineStr">
        <is>
          <t>1013052090</t>
        </is>
      </c>
      <c r="G385" t="inlineStr"/>
      <c r="H385" t="inlineStr">
        <is>
          <t>inferred</t>
        </is>
      </c>
      <c r="I385" t="inlineStr">
        <is>
          <t>no</t>
        </is>
      </c>
      <c r="J385" t="inlineStr">
        <is>
          <t>https://www.google.com/maps/@?api=1&amp;map_action=pano&amp;viewpoint=32.771450,-117.156310&amp;heading=347</t>
        </is>
      </c>
      <c r="K385" t="inlineStr">
        <is>
          <t>https://www.google.com/maps/search/?api=1&amp;query=32.771450,-117.156310</t>
        </is>
      </c>
      <c r="L385" t="inlineStr"/>
      <c r="M385" t="inlineStr"/>
      <c r="N385" t="inlineStr"/>
      <c r="O385" t="inlineStr"/>
      <c r="P385" t="inlineStr">
        <is>
          <t>pending</t>
        </is>
      </c>
      <c r="Q385" t="inlineStr"/>
      <c r="R385" t="inlineStr"/>
      <c r="S385" t="inlineStr"/>
      <c r="T385" t="inlineStr"/>
      <c r="U385" t="inlineStr"/>
      <c r="V385">
        <f>IF(OR(L385="",S385=""),"",IF(VALUE(L385)=VALUE(S385),"Y","N"))</f>
        <v/>
      </c>
      <c r="W385">
        <f>IF(V385="Y",S385,"")</f>
        <v/>
      </c>
      <c r="X385" t="inlineStr">
        <is>
          <t>unverified: map has no limit (guessed from road type); main road: what is posted? 35 or lower opens it to LSVs</t>
        </is>
      </c>
      <c r="Y385" t="inlineStr"/>
      <c r="Z385" t="n">
        <v>979</v>
      </c>
      <c r="AA385" t="inlineStr">
        <is>
          <t>sd</t>
        </is>
      </c>
      <c r="AB385" t="inlineStr">
        <is>
          <t>sd|32.77145,-117.15631</t>
        </is>
      </c>
    </row>
    <row r="386">
      <c r="A386" t="inlineStr">
        <is>
          <t>SD-B2-385</t>
        </is>
      </c>
      <c r="B386" t="inlineStr">
        <is>
          <t>San Diego area</t>
        </is>
      </c>
      <c r="C386" t="inlineStr">
        <is>
          <t>University Avenue</t>
        </is>
      </c>
      <c r="D386" t="inlineStr">
        <is>
          <t>Arizona Street</t>
        </is>
      </c>
      <c r="E386" t="inlineStr">
        <is>
          <t>Idaho Street</t>
        </is>
      </c>
      <c r="F386" t="inlineStr">
        <is>
          <t>594028953</t>
        </is>
      </c>
      <c r="G386" t="n">
        <v>30</v>
      </c>
      <c r="H386" t="inlineStr">
        <is>
          <t>tag</t>
        </is>
      </c>
      <c r="I386" t="inlineStr">
        <is>
          <t>LSV</t>
        </is>
      </c>
      <c r="J386" t="inlineStr">
        <is>
          <t>https://www.google.com/maps/@?api=1&amp;map_action=pano&amp;viewpoint=32.748410,-117.140500&amp;heading=90</t>
        </is>
      </c>
      <c r="K386" t="inlineStr">
        <is>
          <t>https://www.google.com/maps/search/?api=1&amp;query=32.748410,-117.140500</t>
        </is>
      </c>
      <c r="L386" t="inlineStr"/>
      <c r="M386" t="inlineStr"/>
      <c r="N386" t="inlineStr"/>
      <c r="O386" t="inlineStr"/>
      <c r="P386" t="inlineStr">
        <is>
          <t>pending</t>
        </is>
      </c>
      <c r="Q386" t="inlineStr"/>
      <c r="R386" t="inlineStr"/>
      <c r="S386" t="inlineStr"/>
      <c r="T386" t="inlineStr"/>
      <c r="U386" t="inlineStr"/>
      <c r="V386">
        <f>IF(OR(L386="",S386=""),"",IF(VALUE(L386)=VALUE(S386),"Y","N"))</f>
        <v/>
      </c>
      <c r="W386">
        <f>IF(V386="Y",S386,"")</f>
        <v/>
      </c>
      <c r="X386" t="inlineStr">
        <is>
          <t>unverified: map has 30 mph (OSM tag only); is it 25 (carts OK) or 30+?</t>
        </is>
      </c>
      <c r="Y386" t="inlineStr"/>
      <c r="Z386" t="n">
        <v>1058</v>
      </c>
      <c r="AA386" t="inlineStr">
        <is>
          <t>sd</t>
        </is>
      </c>
      <c r="AB386" t="inlineStr">
        <is>
          <t>sd|32.74841,-117.14050</t>
        </is>
      </c>
    </row>
    <row r="387">
      <c r="A387" t="inlineStr">
        <is>
          <t>SD-B2-386</t>
        </is>
      </c>
      <c r="B387" t="inlineStr">
        <is>
          <t>San Diego area</t>
        </is>
      </c>
      <c r="C387" t="inlineStr">
        <is>
          <t>San Andres Drive</t>
        </is>
      </c>
      <c r="D387" t="inlineStr">
        <is>
          <t>Ladera Linda</t>
        </is>
      </c>
      <c r="E387" t="inlineStr">
        <is>
          <t>Highland Drive</t>
        </is>
      </c>
      <c r="F387" t="inlineStr">
        <is>
          <t>837273682</t>
        </is>
      </c>
      <c r="G387" t="n">
        <v>25</v>
      </c>
      <c r="H387" t="inlineStr">
        <is>
          <t>inferred</t>
        </is>
      </c>
      <c r="I387" t="inlineStr">
        <is>
          <t>cart+LSV</t>
        </is>
      </c>
      <c r="J387" t="inlineStr">
        <is>
          <t>https://www.google.com/maps/@?api=1&amp;map_action=pano&amp;viewpoint=32.991420,-117.247980&amp;heading=328</t>
        </is>
      </c>
      <c r="K387" t="inlineStr">
        <is>
          <t>https://www.google.com/maps/search/?api=1&amp;query=32.991420,-117.247980</t>
        </is>
      </c>
      <c r="L387" t="inlineStr"/>
      <c r="M387" t="inlineStr"/>
      <c r="N387" t="inlineStr"/>
      <c r="O387" t="inlineStr"/>
      <c r="P387" t="inlineStr">
        <is>
          <t>pending</t>
        </is>
      </c>
      <c r="Q387" t="inlineStr"/>
      <c r="R387" t="inlineStr"/>
      <c r="S387" t="inlineStr"/>
      <c r="T387" t="inlineStr"/>
      <c r="U387" t="inlineStr"/>
      <c r="V387">
        <f>IF(OR(L387="",S387=""),"",IF(VALUE(L387)=VALUE(S387),"Y","N"))</f>
        <v/>
      </c>
      <c r="W387">
        <f>IF(V387="Y",S387,"")</f>
        <v/>
      </c>
      <c r="X387" t="inlineStr">
        <is>
          <t>unverified: map has 25 mph (guessed from road type); is it 25 (carts OK) or 30+?</t>
        </is>
      </c>
      <c r="Y387" t="inlineStr"/>
      <c r="Z387" t="n">
        <v>1213</v>
      </c>
      <c r="AA387" t="inlineStr">
        <is>
          <t>sd</t>
        </is>
      </c>
      <c r="AB387" t="inlineStr">
        <is>
          <t>sd|32.99142,-117.24798</t>
        </is>
      </c>
    </row>
    <row r="388">
      <c r="A388" t="inlineStr">
        <is>
          <t>SD-B2-387</t>
        </is>
      </c>
      <c r="B388" t="inlineStr">
        <is>
          <t>San Diego area</t>
        </is>
      </c>
      <c r="C388" t="inlineStr">
        <is>
          <t>Harwich Drive</t>
        </is>
      </c>
      <c r="D388" t="inlineStr">
        <is>
          <t>Ashby Court</t>
        </is>
      </c>
      <c r="E388" t="inlineStr">
        <is>
          <t>Sandstone Way</t>
        </is>
      </c>
      <c r="F388" t="inlineStr">
        <is>
          <t>5955853</t>
        </is>
      </c>
      <c r="G388" t="n">
        <v>25</v>
      </c>
      <c r="H388" t="inlineStr">
        <is>
          <t>inferred</t>
        </is>
      </c>
      <c r="I388" t="inlineStr">
        <is>
          <t>cart+LSV</t>
        </is>
      </c>
      <c r="J388" t="inlineStr">
        <is>
          <t>https://www.google.com/maps/@?api=1&amp;map_action=pano&amp;viewpoint=33.173720,-117.296520&amp;heading=237</t>
        </is>
      </c>
      <c r="K388" t="inlineStr">
        <is>
          <t>https://www.google.com/maps/search/?api=1&amp;query=33.173720,-117.296520</t>
        </is>
      </c>
      <c r="L388" t="inlineStr"/>
      <c r="M388" t="inlineStr"/>
      <c r="N388" t="inlineStr"/>
      <c r="O388" t="inlineStr"/>
      <c r="P388" t="inlineStr">
        <is>
          <t>pending</t>
        </is>
      </c>
      <c r="Q388" t="inlineStr"/>
      <c r="R388" t="inlineStr"/>
      <c r="S388" t="inlineStr"/>
      <c r="T388" t="inlineStr"/>
      <c r="U388" t="inlineStr"/>
      <c r="V388">
        <f>IF(OR(L388="",S388=""),"",IF(VALUE(L388)=VALUE(S388),"Y","N"))</f>
        <v/>
      </c>
      <c r="W388">
        <f>IF(V388="Y",S388,"")</f>
        <v/>
      </c>
      <c r="X388" t="inlineStr">
        <is>
          <t>unverified: map has 25 mph (guessed from road type); is it 25 (carts OK) or 30+?</t>
        </is>
      </c>
      <c r="Y388" t="inlineStr"/>
      <c r="Z388" t="n">
        <v>1212</v>
      </c>
      <c r="AA388" t="inlineStr">
        <is>
          <t>sd</t>
        </is>
      </c>
      <c r="AB388" t="inlineStr">
        <is>
          <t>sd|33.17372,-117.29652</t>
        </is>
      </c>
    </row>
    <row r="389">
      <c r="A389" t="inlineStr">
        <is>
          <t>SD-B2-388</t>
        </is>
      </c>
      <c r="B389" t="inlineStr">
        <is>
          <t>San Diego area</t>
        </is>
      </c>
      <c r="C389" t="inlineStr">
        <is>
          <t>Bay Marina Drive</t>
        </is>
      </c>
      <c r="D389" t="inlineStr">
        <is>
          <t>Haffley Avenue</t>
        </is>
      </c>
      <c r="E389" t="inlineStr">
        <is>
          <t>Mile of Cars Way</t>
        </is>
      </c>
      <c r="F389" t="inlineStr">
        <is>
          <t>6048771</t>
        </is>
      </c>
      <c r="G389" t="inlineStr"/>
      <c r="H389" t="inlineStr">
        <is>
          <t>inferred</t>
        </is>
      </c>
      <c r="I389" t="inlineStr">
        <is>
          <t>no</t>
        </is>
      </c>
      <c r="J389" t="inlineStr">
        <is>
          <t>https://www.google.com/maps/@?api=1&amp;map_action=pano&amp;viewpoint=32.659290,-117.111380&amp;heading=251</t>
        </is>
      </c>
      <c r="K389" t="inlineStr">
        <is>
          <t>https://www.google.com/maps/search/?api=1&amp;query=32.659290,-117.111380</t>
        </is>
      </c>
      <c r="L389" t="inlineStr"/>
      <c r="M389" t="inlineStr"/>
      <c r="N389" t="inlineStr"/>
      <c r="O389" t="inlineStr"/>
      <c r="P389" t="inlineStr">
        <is>
          <t>pending</t>
        </is>
      </c>
      <c r="Q389" t="inlineStr"/>
      <c r="R389" t="inlineStr"/>
      <c r="S389" t="inlineStr"/>
      <c r="T389" t="inlineStr"/>
      <c r="U389" t="inlineStr"/>
      <c r="V389">
        <f>IF(OR(L389="",S389=""),"",IF(VALUE(L389)=VALUE(S389),"Y","N"))</f>
        <v/>
      </c>
      <c r="W389">
        <f>IF(V389="Y",S389,"")</f>
        <v/>
      </c>
      <c r="X389" t="inlineStr">
        <is>
          <t>unverified: map has no limit (guessed from road type); main road: what is posted? 35 or lower opens it to LSVs</t>
        </is>
      </c>
      <c r="Y389" t="inlineStr"/>
      <c r="Z389" t="n">
        <v>967</v>
      </c>
      <c r="AA389" t="inlineStr">
        <is>
          <t>sd</t>
        </is>
      </c>
      <c r="AB389" t="inlineStr">
        <is>
          <t>sd|32.65929,-117.11138</t>
        </is>
      </c>
    </row>
    <row r="390">
      <c r="A390" t="inlineStr">
        <is>
          <t>SD-B2-389</t>
        </is>
      </c>
      <c r="B390" t="inlineStr">
        <is>
          <t>San Diego area</t>
        </is>
      </c>
      <c r="C390" t="inlineStr">
        <is>
          <t>Monroe Street</t>
        </is>
      </c>
      <c r="D390" t="inlineStr">
        <is>
          <t>Carlsbad Village Drive</t>
        </is>
      </c>
      <c r="E390" t="inlineStr">
        <is>
          <t>Marron Road</t>
        </is>
      </c>
      <c r="F390" t="inlineStr">
        <is>
          <t>1474613393</t>
        </is>
      </c>
      <c r="G390" t="inlineStr"/>
      <c r="H390" t="inlineStr">
        <is>
          <t>inferred</t>
        </is>
      </c>
      <c r="I390" t="inlineStr">
        <is>
          <t>no</t>
        </is>
      </c>
      <c r="J390" t="inlineStr">
        <is>
          <t>https://www.google.com/maps/@?api=1&amp;map_action=pano&amp;viewpoint=33.174050,-117.336100&amp;heading=345</t>
        </is>
      </c>
      <c r="K390" t="inlineStr">
        <is>
          <t>https://www.google.com/maps/search/?api=1&amp;query=33.174050,-117.336100</t>
        </is>
      </c>
      <c r="L390" t="inlineStr"/>
      <c r="M390" t="inlineStr"/>
      <c r="N390" t="inlineStr"/>
      <c r="O390" t="inlineStr"/>
      <c r="P390" t="inlineStr">
        <is>
          <t>pending</t>
        </is>
      </c>
      <c r="Q390" t="inlineStr"/>
      <c r="R390" t="inlineStr"/>
      <c r="S390" t="inlineStr"/>
      <c r="T390" t="inlineStr"/>
      <c r="U390" t="inlineStr"/>
      <c r="V390">
        <f>IF(OR(L390="",S390=""),"",IF(VALUE(L390)=VALUE(S390),"Y","N"))</f>
        <v/>
      </c>
      <c r="W390">
        <f>IF(V390="Y",S390,"")</f>
        <v/>
      </c>
      <c r="X390" t="inlineStr">
        <is>
          <t>unverified: map has no limit (guessed from road type); main road: what is posted? 35 or lower opens it to LSVs</t>
        </is>
      </c>
      <c r="Y390" t="inlineStr"/>
      <c r="Z390" t="n">
        <v>966</v>
      </c>
      <c r="AA390" t="inlineStr">
        <is>
          <t>sd</t>
        </is>
      </c>
      <c r="AB390" t="inlineStr">
        <is>
          <t>sd|33.17405,-117.33610</t>
        </is>
      </c>
    </row>
    <row r="391">
      <c r="A391" t="inlineStr">
        <is>
          <t>SD-B2-390</t>
        </is>
      </c>
      <c r="B391" t="inlineStr">
        <is>
          <t>San Diego area</t>
        </is>
      </c>
      <c r="C391" t="inlineStr">
        <is>
          <t>Glasgow Drive</t>
        </is>
      </c>
      <c r="D391" t="inlineStr">
        <is>
          <t>Middleton Drive</t>
        </is>
      </c>
      <c r="E391" t="inlineStr">
        <is>
          <t>Gateshead Road</t>
        </is>
      </c>
      <c r="F391" t="inlineStr">
        <is>
          <t>634529345</t>
        </is>
      </c>
      <c r="G391" t="n">
        <v>25</v>
      </c>
      <c r="H391" t="inlineStr">
        <is>
          <t>inferred</t>
        </is>
      </c>
      <c r="I391" t="inlineStr">
        <is>
          <t>cart+LSV</t>
        </is>
      </c>
      <c r="J391" t="inlineStr">
        <is>
          <t>https://www.google.com/maps/@?api=1&amp;map_action=pano&amp;viewpoint=33.163740,-117.299510&amp;heading=55</t>
        </is>
      </c>
      <c r="K391" t="inlineStr">
        <is>
          <t>https://www.google.com/maps/search/?api=1&amp;query=33.163740,-117.299510</t>
        </is>
      </c>
      <c r="L391" t="inlineStr"/>
      <c r="M391" t="inlineStr"/>
      <c r="N391" t="inlineStr"/>
      <c r="O391" t="inlineStr"/>
      <c r="P391" t="inlineStr">
        <is>
          <t>pending</t>
        </is>
      </c>
      <c r="Q391" t="inlineStr"/>
      <c r="R391" t="inlineStr"/>
      <c r="S391" t="inlineStr"/>
      <c r="T391" t="inlineStr"/>
      <c r="U391" t="inlineStr"/>
      <c r="V391">
        <f>IF(OR(L391="",S391=""),"",IF(VALUE(L391)=VALUE(S391),"Y","N"))</f>
        <v/>
      </c>
      <c r="W391">
        <f>IF(V391="Y",S391,"")</f>
        <v/>
      </c>
      <c r="X391" t="inlineStr">
        <is>
          <t>unverified: map has 25 mph (guessed from road type); is it 25 (carts OK) or 30+?</t>
        </is>
      </c>
      <c r="Y391" t="inlineStr"/>
      <c r="Z391" t="n">
        <v>1205</v>
      </c>
      <c r="AA391" t="inlineStr">
        <is>
          <t>sd</t>
        </is>
      </c>
      <c r="AB391" t="inlineStr">
        <is>
          <t>sd|33.16374,-117.29951</t>
        </is>
      </c>
    </row>
    <row r="392">
      <c r="A392" t="inlineStr">
        <is>
          <t>SD-B2-391</t>
        </is>
      </c>
      <c r="B392" t="inlineStr">
        <is>
          <t>San Diego area</t>
        </is>
      </c>
      <c r="C392" t="inlineStr">
        <is>
          <t>Coronado Cays Boulevard</t>
        </is>
      </c>
      <c r="D392" t="inlineStr">
        <is>
          <t>Grand Caribe Causeway</t>
        </is>
      </c>
      <c r="E392" t="inlineStr">
        <is>
          <t>Bahama Bend</t>
        </is>
      </c>
      <c r="F392" t="inlineStr">
        <is>
          <t>466949834</t>
        </is>
      </c>
      <c r="G392" t="n">
        <v>25</v>
      </c>
      <c r="H392" t="inlineStr">
        <is>
          <t>inferred</t>
        </is>
      </c>
      <c r="I392" t="inlineStr">
        <is>
          <t>cart+LSV</t>
        </is>
      </c>
      <c r="J392" t="inlineStr">
        <is>
          <t>https://www.google.com/maps/@?api=1&amp;map_action=pano&amp;viewpoint=32.619280,-117.135590&amp;heading=184</t>
        </is>
      </c>
      <c r="K392" t="inlineStr">
        <is>
          <t>https://www.google.com/maps/search/?api=1&amp;query=32.619280,-117.135590</t>
        </is>
      </c>
      <c r="L392" t="inlineStr"/>
      <c r="M392" t="inlineStr"/>
      <c r="N392" t="inlineStr"/>
      <c r="O392" t="inlineStr"/>
      <c r="P392" t="inlineStr">
        <is>
          <t>pending</t>
        </is>
      </c>
      <c r="Q392" t="inlineStr"/>
      <c r="R392" t="inlineStr"/>
      <c r="S392" t="inlineStr"/>
      <c r="T392" t="inlineStr"/>
      <c r="U392" t="inlineStr"/>
      <c r="V392">
        <f>IF(OR(L392="",S392=""),"",IF(VALUE(L392)=VALUE(S392),"Y","N"))</f>
        <v/>
      </c>
      <c r="W392">
        <f>IF(V392="Y",S392,"")</f>
        <v/>
      </c>
      <c r="X392" t="inlineStr">
        <is>
          <t>unverified: map has 25 mph (guessed from road type); is it 25 (carts OK) or 30+?</t>
        </is>
      </c>
      <c r="Y392" t="inlineStr"/>
      <c r="Z392" t="n">
        <v>1202</v>
      </c>
      <c r="AA392" t="inlineStr">
        <is>
          <t>sd</t>
        </is>
      </c>
      <c r="AB392" t="inlineStr">
        <is>
          <t>sd|32.61928,-117.13559</t>
        </is>
      </c>
    </row>
    <row r="393">
      <c r="A393" t="inlineStr">
        <is>
          <t>SD-B2-392</t>
        </is>
      </c>
      <c r="B393" t="inlineStr">
        <is>
          <t>San Diego area</t>
        </is>
      </c>
      <c r="C393" t="inlineStr">
        <is>
          <t>Marron Road</t>
        </is>
      </c>
      <c r="D393" t="inlineStr">
        <is>
          <t>(see map link)</t>
        </is>
      </c>
      <c r="E393" t="inlineStr">
        <is>
          <t>Cienaga Place</t>
        </is>
      </c>
      <c r="F393" t="inlineStr">
        <is>
          <t>1541197103</t>
        </is>
      </c>
      <c r="G393" t="n">
        <v>25</v>
      </c>
      <c r="H393" t="inlineStr">
        <is>
          <t>inferred</t>
        </is>
      </c>
      <c r="I393" t="inlineStr">
        <is>
          <t>cart+LSV</t>
        </is>
      </c>
      <c r="J393" t="inlineStr">
        <is>
          <t>https://www.google.com/maps/@?api=1&amp;map_action=pano&amp;viewpoint=33.177830,-117.297810&amp;heading=89</t>
        </is>
      </c>
      <c r="K393" t="inlineStr">
        <is>
          <t>https://www.google.com/maps/search/?api=1&amp;query=33.177830,-117.297810</t>
        </is>
      </c>
      <c r="L393" t="inlineStr"/>
      <c r="M393" t="inlineStr"/>
      <c r="N393" t="inlineStr"/>
      <c r="O393" t="inlineStr"/>
      <c r="P393" t="inlineStr">
        <is>
          <t>pending</t>
        </is>
      </c>
      <c r="Q393" t="inlineStr"/>
      <c r="R393" t="inlineStr"/>
      <c r="S393" t="inlineStr"/>
      <c r="T393" t="inlineStr"/>
      <c r="U393" t="inlineStr"/>
      <c r="V393">
        <f>IF(OR(L393="",S393=""),"",IF(VALUE(L393)=VALUE(S393),"Y","N"))</f>
        <v/>
      </c>
      <c r="W393">
        <f>IF(V393="Y",S393,"")</f>
        <v/>
      </c>
      <c r="X393" t="inlineStr">
        <is>
          <t>unverified: map has 25 mph (guessed from road type); is it 25 (carts OK) or 30+?</t>
        </is>
      </c>
      <c r="Y393" t="inlineStr"/>
      <c r="Z393" t="n">
        <v>1195</v>
      </c>
      <c r="AA393" t="inlineStr">
        <is>
          <t>sd</t>
        </is>
      </c>
      <c r="AB393" t="inlineStr">
        <is>
          <t>sd|33.17783,-117.29781</t>
        </is>
      </c>
    </row>
    <row r="394">
      <c r="A394" t="inlineStr">
        <is>
          <t>SD-B2-393</t>
        </is>
      </c>
      <c r="B394" t="inlineStr">
        <is>
          <t>San Diego area</t>
        </is>
      </c>
      <c r="C394" t="inlineStr">
        <is>
          <t>Poinsettia Lane</t>
        </is>
      </c>
      <c r="D394" t="inlineStr">
        <is>
          <t>(see map link)</t>
        </is>
      </c>
      <c r="E394" t="inlineStr">
        <is>
          <t>Carlsbad Boulevard</t>
        </is>
      </c>
      <c r="F394" t="inlineStr">
        <is>
          <t>1140667825</t>
        </is>
      </c>
      <c r="G394" t="inlineStr"/>
      <c r="H394" t="inlineStr">
        <is>
          <t>inferred</t>
        </is>
      </c>
      <c r="I394" t="inlineStr">
        <is>
          <t>no</t>
        </is>
      </c>
      <c r="J394" t="inlineStr">
        <is>
          <t>https://www.google.com/maps/@?api=1&amp;map_action=pano&amp;viewpoint=33.101985,-117.317215&amp;heading=74</t>
        </is>
      </c>
      <c r="K394" t="inlineStr">
        <is>
          <t>https://www.google.com/maps/search/?api=1&amp;query=33.101985,-117.317215</t>
        </is>
      </c>
      <c r="L394" t="inlineStr"/>
      <c r="M394" t="inlineStr"/>
      <c r="N394" t="inlineStr"/>
      <c r="O394" t="inlineStr"/>
      <c r="P394" t="inlineStr">
        <is>
          <t>pending</t>
        </is>
      </c>
      <c r="Q394" t="inlineStr"/>
      <c r="R394" t="inlineStr"/>
      <c r="S394" t="inlineStr"/>
      <c r="T394" t="inlineStr"/>
      <c r="U394" t="inlineStr"/>
      <c r="V394">
        <f>IF(OR(L394="",S394=""),"",IF(VALUE(L394)=VALUE(S394),"Y","N"))</f>
        <v/>
      </c>
      <c r="W394">
        <f>IF(V394="Y",S394,"")</f>
        <v/>
      </c>
      <c r="X394" t="inlineStr">
        <is>
          <t>unverified: map has no limit (guessed from road type); main road: what is posted? 35 or lower opens it to LSVs</t>
        </is>
      </c>
      <c r="Y394" t="inlineStr"/>
      <c r="Z394" t="n">
        <v>956</v>
      </c>
      <c r="AA394" t="inlineStr">
        <is>
          <t>sd</t>
        </is>
      </c>
      <c r="AB394" t="inlineStr">
        <is>
          <t>sd|33.10198,-117.31722</t>
        </is>
      </c>
    </row>
    <row r="395">
      <c r="A395" t="inlineStr">
        <is>
          <t>SD-B2-394</t>
        </is>
      </c>
      <c r="B395" t="inlineStr">
        <is>
          <t>San Diego area</t>
        </is>
      </c>
      <c r="C395" t="inlineStr">
        <is>
          <t>East A Street</t>
        </is>
      </c>
      <c r="D395" t="inlineStr">
        <is>
          <t>1st Avenue</t>
        </is>
      </c>
      <c r="E395" t="inlineStr">
        <is>
          <t>Park Boulevard</t>
        </is>
      </c>
      <c r="F395" t="inlineStr">
        <is>
          <t>278328400</t>
        </is>
      </c>
      <c r="G395" t="inlineStr"/>
      <c r="H395" t="inlineStr">
        <is>
          <t>inferred</t>
        </is>
      </c>
      <c r="I395" t="inlineStr">
        <is>
          <t>no</t>
        </is>
      </c>
      <c r="J395" t="inlineStr">
        <is>
          <t>https://www.google.com/maps/@?api=1&amp;map_action=pano&amp;viewpoint=32.718865,-117.156100&amp;heading=89</t>
        </is>
      </c>
      <c r="K395" t="inlineStr">
        <is>
          <t>https://www.google.com/maps/search/?api=1&amp;query=32.718865,-117.156100</t>
        </is>
      </c>
      <c r="L395" t="inlineStr"/>
      <c r="M395" t="inlineStr"/>
      <c r="N395" t="inlineStr"/>
      <c r="O395" t="inlineStr"/>
      <c r="P395" t="inlineStr">
        <is>
          <t>pending</t>
        </is>
      </c>
      <c r="Q395" t="inlineStr"/>
      <c r="R395" t="inlineStr"/>
      <c r="S395" t="inlineStr"/>
      <c r="T395" t="inlineStr"/>
      <c r="U395" t="inlineStr"/>
      <c r="V395">
        <f>IF(OR(L395="",S395=""),"",IF(VALUE(L395)=VALUE(S395),"Y","N"))</f>
        <v/>
      </c>
      <c r="W395">
        <f>IF(V395="Y",S395,"")</f>
        <v/>
      </c>
      <c r="X395" t="inlineStr">
        <is>
          <t>unverified: map has no limit (guessed from road type); main road: what is posted? 35 or lower opens it to LSVs</t>
        </is>
      </c>
      <c r="Y395" t="inlineStr"/>
      <c r="Z395" t="n">
        <v>950</v>
      </c>
      <c r="AA395" t="inlineStr">
        <is>
          <t>sd</t>
        </is>
      </c>
      <c r="AB395" t="inlineStr">
        <is>
          <t>sd|32.71887,-117.15610</t>
        </is>
      </c>
    </row>
    <row r="396">
      <c r="A396" t="inlineStr">
        <is>
          <t>SD-B2-395</t>
        </is>
      </c>
      <c r="B396" t="inlineStr">
        <is>
          <t>San Diego area</t>
        </is>
      </c>
      <c r="C396" t="inlineStr">
        <is>
          <t>Crest Road</t>
        </is>
      </c>
      <c r="D396" t="inlineStr">
        <is>
          <t>Crest Way</t>
        </is>
      </c>
      <c r="E396" t="inlineStr">
        <is>
          <t>15th Street</t>
        </is>
      </c>
      <c r="F396" t="inlineStr">
        <is>
          <t>6045539</t>
        </is>
      </c>
      <c r="G396" t="n">
        <v>25</v>
      </c>
      <c r="H396" t="inlineStr">
        <is>
          <t>inferred</t>
        </is>
      </c>
      <c r="I396" t="inlineStr">
        <is>
          <t>cart+LSV</t>
        </is>
      </c>
      <c r="J396" t="inlineStr">
        <is>
          <t>https://www.google.com/maps/@?api=1&amp;map_action=pano&amp;viewpoint=32.960640,-117.258680&amp;heading=334</t>
        </is>
      </c>
      <c r="K396" t="inlineStr">
        <is>
          <t>https://www.google.com/maps/search/?api=1&amp;query=32.960640,-117.258680</t>
        </is>
      </c>
      <c r="L396" t="inlineStr"/>
      <c r="M396" t="inlineStr"/>
      <c r="N396" t="inlineStr"/>
      <c r="O396" t="inlineStr"/>
      <c r="P396" t="inlineStr">
        <is>
          <t>pending</t>
        </is>
      </c>
      <c r="Q396" t="inlineStr"/>
      <c r="R396" t="inlineStr"/>
      <c r="S396" t="inlineStr"/>
      <c r="T396" t="inlineStr"/>
      <c r="U396" t="inlineStr"/>
      <c r="V396">
        <f>IF(OR(L396="",S396=""),"",IF(VALUE(L396)=VALUE(S396),"Y","N"))</f>
        <v/>
      </c>
      <c r="W396">
        <f>IF(V396="Y",S396,"")</f>
        <v/>
      </c>
      <c r="X396" t="inlineStr">
        <is>
          <t>unverified: map has 25 mph (guessed from road type); is it 25 (carts OK) or 30+?</t>
        </is>
      </c>
      <c r="Y396" t="inlineStr"/>
      <c r="Z396" t="n">
        <v>1185</v>
      </c>
      <c r="AA396" t="inlineStr">
        <is>
          <t>sd</t>
        </is>
      </c>
      <c r="AB396" t="inlineStr">
        <is>
          <t>sd|32.96064,-117.25868</t>
        </is>
      </c>
    </row>
    <row r="397">
      <c r="A397" t="inlineStr">
        <is>
          <t>SD-B2-396</t>
        </is>
      </c>
      <c r="B397" t="inlineStr">
        <is>
          <t>San Diego area</t>
        </is>
      </c>
      <c r="C397" t="inlineStr">
        <is>
          <t>Vista Campana South</t>
        </is>
      </c>
      <c r="D397" t="inlineStr">
        <is>
          <t>Vista Bella</t>
        </is>
      </c>
      <c r="E397" t="inlineStr">
        <is>
          <t>O Street</t>
        </is>
      </c>
      <c r="F397" t="inlineStr">
        <is>
          <t>5973030</t>
        </is>
      </c>
      <c r="G397" t="n">
        <v>25</v>
      </c>
      <c r="H397" t="inlineStr">
        <is>
          <t>inferred</t>
        </is>
      </c>
      <c r="I397" t="inlineStr">
        <is>
          <t>cart+LSV</t>
        </is>
      </c>
      <c r="J397" t="inlineStr">
        <is>
          <t>https://www.google.com/maps/@?api=1&amp;map_action=pano&amp;viewpoint=33.216630,-117.324000&amp;heading=4</t>
        </is>
      </c>
      <c r="K397" t="inlineStr">
        <is>
          <t>https://www.google.com/maps/search/?api=1&amp;query=33.216630,-117.324000</t>
        </is>
      </c>
      <c r="L397" t="inlineStr"/>
      <c r="M397" t="inlineStr"/>
      <c r="N397" t="inlineStr"/>
      <c r="O397" t="inlineStr"/>
      <c r="P397" t="inlineStr">
        <is>
          <t>pending</t>
        </is>
      </c>
      <c r="Q397" t="inlineStr"/>
      <c r="R397" t="inlineStr"/>
      <c r="S397" t="inlineStr"/>
      <c r="T397" t="inlineStr"/>
      <c r="U397" t="inlineStr"/>
      <c r="V397">
        <f>IF(OR(L397="",S397=""),"",IF(VALUE(L397)=VALUE(S397),"Y","N"))</f>
        <v/>
      </c>
      <c r="W397">
        <f>IF(V397="Y",S397,"")</f>
        <v/>
      </c>
      <c r="X397" t="inlineStr">
        <is>
          <t>unverified: map has 25 mph (guessed from road type); is it 25 (carts OK) or 30+?</t>
        </is>
      </c>
      <c r="Y397" t="inlineStr"/>
      <c r="Z397" t="n">
        <v>1185</v>
      </c>
      <c r="AA397" t="inlineStr">
        <is>
          <t>sd</t>
        </is>
      </c>
      <c r="AB397" t="inlineStr">
        <is>
          <t>sd|33.21663,-117.32400</t>
        </is>
      </c>
    </row>
    <row r="398">
      <c r="A398" t="inlineStr">
        <is>
          <t>SD-B2-397</t>
        </is>
      </c>
      <c r="B398" t="inlineStr">
        <is>
          <t>San Diego area</t>
        </is>
      </c>
      <c r="C398" t="inlineStr">
        <is>
          <t>Coronado Cays Boulevard</t>
        </is>
      </c>
      <c r="D398" t="inlineStr">
        <is>
          <t>Blue Anchor Cay Road</t>
        </is>
      </c>
      <c r="E398" t="inlineStr">
        <is>
          <t>Bahama Bend</t>
        </is>
      </c>
      <c r="F398" t="inlineStr">
        <is>
          <t>466949841</t>
        </is>
      </c>
      <c r="G398" t="n">
        <v>25</v>
      </c>
      <c r="H398" t="inlineStr">
        <is>
          <t>inferred</t>
        </is>
      </c>
      <c r="I398" t="inlineStr">
        <is>
          <t>cart+LSV</t>
        </is>
      </c>
      <c r="J398" t="inlineStr">
        <is>
          <t>https://www.google.com/maps/@?api=1&amp;map_action=pano&amp;viewpoint=32.619340,-117.135480&amp;heading=348</t>
        </is>
      </c>
      <c r="K398" t="inlineStr">
        <is>
          <t>https://www.google.com/maps/search/?api=1&amp;query=32.619340,-117.135480</t>
        </is>
      </c>
      <c r="L398" t="inlineStr"/>
      <c r="M398" t="inlineStr"/>
      <c r="N398" t="inlineStr"/>
      <c r="O398" t="inlineStr"/>
      <c r="P398" t="inlineStr">
        <is>
          <t>pending</t>
        </is>
      </c>
      <c r="Q398" t="inlineStr"/>
      <c r="R398" t="inlineStr"/>
      <c r="S398" t="inlineStr"/>
      <c r="T398" t="inlineStr"/>
      <c r="U398" t="inlineStr"/>
      <c r="V398">
        <f>IF(OR(L398="",S398=""),"",IF(VALUE(L398)=VALUE(S398),"Y","N"))</f>
        <v/>
      </c>
      <c r="W398">
        <f>IF(V398="Y",S398,"")</f>
        <v/>
      </c>
      <c r="X398" t="inlineStr">
        <is>
          <t>unverified: map has 25 mph (guessed from road type); is it 25 (carts OK) or 30+?</t>
        </is>
      </c>
      <c r="Y398" t="inlineStr"/>
      <c r="Z398" t="n">
        <v>1180</v>
      </c>
      <c r="AA398" t="inlineStr">
        <is>
          <t>sd</t>
        </is>
      </c>
      <c r="AB398" t="inlineStr">
        <is>
          <t>sd|32.61934,-117.13548</t>
        </is>
      </c>
    </row>
    <row r="399">
      <c r="A399" t="inlineStr">
        <is>
          <t>SD-B2-398</t>
        </is>
      </c>
      <c r="B399" t="inlineStr">
        <is>
          <t>San Diego area</t>
        </is>
      </c>
      <c r="C399" t="inlineStr">
        <is>
          <t>Calle Cristobal</t>
        </is>
      </c>
      <c r="D399" t="inlineStr">
        <is>
          <t>Caminito Propico</t>
        </is>
      </c>
      <c r="E399" t="inlineStr">
        <is>
          <t>Lopez Point</t>
        </is>
      </c>
      <c r="F399" t="inlineStr">
        <is>
          <t>217102934</t>
        </is>
      </c>
      <c r="G399" t="n">
        <v>45</v>
      </c>
      <c r="H399" t="inlineStr">
        <is>
          <t>tag</t>
        </is>
      </c>
      <c r="I399" t="inlineStr">
        <is>
          <t>no</t>
        </is>
      </c>
      <c r="J399" t="inlineStr">
        <is>
          <t>https://www.google.com/maps/@?api=1&amp;map_action=pano&amp;viewpoint=32.918500,-117.173100&amp;heading=245</t>
        </is>
      </c>
      <c r="K399" t="inlineStr">
        <is>
          <t>https://www.google.com/maps/search/?api=1&amp;query=32.918500,-117.173100</t>
        </is>
      </c>
      <c r="L399" t="inlineStr"/>
      <c r="M399" t="inlineStr"/>
      <c r="N399" t="inlineStr"/>
      <c r="O399" t="inlineStr"/>
      <c r="P399" t="inlineStr">
        <is>
          <t>pending</t>
        </is>
      </c>
      <c r="Q399" t="inlineStr"/>
      <c r="R399" t="inlineStr"/>
      <c r="S399" t="inlineStr"/>
      <c r="T399" t="inlineStr"/>
      <c r="U399" t="inlineStr"/>
      <c r="V399">
        <f>IF(OR(L399="",S399=""),"",IF(VALUE(L399)=VALUE(S399),"Y","N"))</f>
        <v/>
      </c>
      <c r="W399">
        <f>IF(V399="Y",S399,"")</f>
        <v/>
      </c>
      <c r="X399" t="inlineStr">
        <is>
          <t>unverified: map has 45 mph (OSM tag only); main road: what is posted? 35 or lower opens it to LSVs</t>
        </is>
      </c>
      <c r="Y399" t="inlineStr"/>
      <c r="Z399" t="n">
        <v>1224</v>
      </c>
      <c r="AA399" t="inlineStr">
        <is>
          <t>sd</t>
        </is>
      </c>
      <c r="AB399" t="inlineStr">
        <is>
          <t>sd|32.91850,-117.17310</t>
        </is>
      </c>
    </row>
    <row r="400">
      <c r="A400" t="inlineStr">
        <is>
          <t>SD-B2-399</t>
        </is>
      </c>
      <c r="B400" t="inlineStr">
        <is>
          <t>San Diego area</t>
        </is>
      </c>
      <c r="C400" t="inlineStr">
        <is>
          <t>Bachman Place</t>
        </is>
      </c>
      <c r="D400" t="inlineStr">
        <is>
          <t>(see map link)</t>
        </is>
      </c>
      <c r="E400" t="inlineStr">
        <is>
          <t>Lewis Street</t>
        </is>
      </c>
      <c r="F400" t="inlineStr">
        <is>
          <t>1272370553</t>
        </is>
      </c>
      <c r="G400" t="n">
        <v>25</v>
      </c>
      <c r="H400" t="inlineStr">
        <is>
          <t>inferred</t>
        </is>
      </c>
      <c r="I400" t="inlineStr">
        <is>
          <t>cart+LSV</t>
        </is>
      </c>
      <c r="J400" t="inlineStr">
        <is>
          <t>https://www.google.com/maps/@?api=1&amp;map_action=pano&amp;viewpoint=32.756270,-117.163500&amp;heading=321</t>
        </is>
      </c>
      <c r="K400" t="inlineStr">
        <is>
          <t>https://www.google.com/maps/search/?api=1&amp;query=32.756270,-117.163500</t>
        </is>
      </c>
      <c r="L400" t="inlineStr"/>
      <c r="M400" t="inlineStr"/>
      <c r="N400" t="inlineStr"/>
      <c r="O400" t="inlineStr"/>
      <c r="P400" t="inlineStr">
        <is>
          <t>pending</t>
        </is>
      </c>
      <c r="Q400" t="inlineStr"/>
      <c r="R400" t="inlineStr"/>
      <c r="S400" t="inlineStr"/>
      <c r="T400" t="inlineStr"/>
      <c r="U400" t="inlineStr"/>
      <c r="V400">
        <f>IF(OR(L400="",S400=""),"",IF(VALUE(L400)=VALUE(S400),"Y","N"))</f>
        <v/>
      </c>
      <c r="W400">
        <f>IF(V400="Y",S400,"")</f>
        <v/>
      </c>
      <c r="X400" t="inlineStr">
        <is>
          <t>unverified: map has 25 mph (guessed from road type); is it 25 (carts OK) or 30+?</t>
        </is>
      </c>
      <c r="Y400" t="inlineStr"/>
      <c r="Z400" t="n">
        <v>1176</v>
      </c>
      <c r="AA400" t="inlineStr">
        <is>
          <t>sd</t>
        </is>
      </c>
      <c r="AB400" t="inlineStr">
        <is>
          <t>sd|32.75627,-117.16350</t>
        </is>
      </c>
    </row>
    <row r="401">
      <c r="A401" t="inlineStr">
        <is>
          <t>SD-B2-400</t>
        </is>
      </c>
      <c r="B401" t="inlineStr">
        <is>
          <t>San Diego area</t>
        </is>
      </c>
      <c r="C401" t="inlineStr">
        <is>
          <t>Hunsaker Street</t>
        </is>
      </c>
      <c r="D401" t="inlineStr">
        <is>
          <t>California Street</t>
        </is>
      </c>
      <c r="E401" t="inlineStr">
        <is>
          <t>La Bella Circle</t>
        </is>
      </c>
      <c r="F401" t="inlineStr">
        <is>
          <t>6050099</t>
        </is>
      </c>
      <c r="G401" t="inlineStr"/>
      <c r="H401" t="inlineStr">
        <is>
          <t>inferred</t>
        </is>
      </c>
      <c r="I401" t="inlineStr">
        <is>
          <t>no</t>
        </is>
      </c>
      <c r="J401" t="inlineStr">
        <is>
          <t>https://www.google.com/maps/@?api=1&amp;map_action=pano&amp;viewpoint=33.183100,-117.351030&amp;heading=145</t>
        </is>
      </c>
      <c r="K401" t="inlineStr">
        <is>
          <t>https://www.google.com/maps/search/?api=1&amp;query=33.183100,-117.351030</t>
        </is>
      </c>
      <c r="L401" t="inlineStr"/>
      <c r="M401" t="inlineStr"/>
      <c r="N401" t="inlineStr"/>
      <c r="O401" t="inlineStr"/>
      <c r="P401" t="inlineStr">
        <is>
          <t>pending</t>
        </is>
      </c>
      <c r="Q401" t="inlineStr"/>
      <c r="R401" t="inlineStr"/>
      <c r="S401" t="inlineStr"/>
      <c r="T401" t="inlineStr"/>
      <c r="U401" t="inlineStr"/>
      <c r="V401">
        <f>IF(OR(L401="",S401=""),"",IF(VALUE(L401)=VALUE(S401),"Y","N"))</f>
        <v/>
      </c>
      <c r="W401">
        <f>IF(V401="Y",S401,"")</f>
        <v/>
      </c>
      <c r="X401" t="inlineStr">
        <is>
          <t>unverified: map has no limit (guessed from road type); main road: what is posted? 35 or lower opens it to LSVs</t>
        </is>
      </c>
      <c r="Y401" t="inlineStr"/>
      <c r="Z401" t="n">
        <v>940</v>
      </c>
      <c r="AA401" t="inlineStr">
        <is>
          <t>sd</t>
        </is>
      </c>
      <c r="AB401" t="inlineStr">
        <is>
          <t>sd|33.18310,-117.35103</t>
        </is>
      </c>
    </row>
    <row r="402">
      <c r="A402" t="inlineStr">
        <is>
          <t>SD-B2-401</t>
        </is>
      </c>
      <c r="B402" t="inlineStr">
        <is>
          <t>San Diego area</t>
        </is>
      </c>
      <c r="C402" t="inlineStr">
        <is>
          <t>East Harbor Drive</t>
        </is>
      </c>
      <c r="D402" t="inlineStr">
        <is>
          <t>West Harbor Drive</t>
        </is>
      </c>
      <c r="E402" t="inlineStr">
        <is>
          <t>Park Boulevard</t>
        </is>
      </c>
      <c r="F402" t="inlineStr">
        <is>
          <t>5983368</t>
        </is>
      </c>
      <c r="G402" t="inlineStr"/>
      <c r="H402" t="inlineStr">
        <is>
          <t>inferred</t>
        </is>
      </c>
      <c r="I402" t="inlineStr">
        <is>
          <t>no</t>
        </is>
      </c>
      <c r="J402" t="inlineStr">
        <is>
          <t>https://www.google.com/maps/@?api=1&amp;map_action=pano&amp;viewpoint=32.708610,-117.163720&amp;heading=120</t>
        </is>
      </c>
      <c r="K402" t="inlineStr">
        <is>
          <t>https://www.google.com/maps/search/?api=1&amp;query=32.708610,-117.163720</t>
        </is>
      </c>
      <c r="L402" t="inlineStr"/>
      <c r="M402" t="inlineStr"/>
      <c r="N402" t="inlineStr"/>
      <c r="O402" t="inlineStr"/>
      <c r="P402" t="inlineStr">
        <is>
          <t>pending</t>
        </is>
      </c>
      <c r="Q402" t="inlineStr"/>
      <c r="R402" t="inlineStr"/>
      <c r="S402" t="inlineStr"/>
      <c r="T402" t="inlineStr"/>
      <c r="U402" t="inlineStr"/>
      <c r="V402">
        <f>IF(OR(L402="",S402=""),"",IF(VALUE(L402)=VALUE(S402),"Y","N"))</f>
        <v/>
      </c>
      <c r="W402">
        <f>IF(V402="Y",S402,"")</f>
        <v/>
      </c>
      <c r="X402" t="inlineStr">
        <is>
          <t>unverified: map has no limit (guessed from road type); main road: what is posted? 35 or lower opens it to LSVs</t>
        </is>
      </c>
      <c r="Y402" t="inlineStr"/>
      <c r="Z402" t="n">
        <v>782</v>
      </c>
      <c r="AA402" t="inlineStr">
        <is>
          <t>sd</t>
        </is>
      </c>
      <c r="AB402" t="inlineStr">
        <is>
          <t>sd|32.70861,-117.16372</t>
        </is>
      </c>
    </row>
    <row r="403">
      <c r="A403" t="inlineStr">
        <is>
          <t>SD-B2-402</t>
        </is>
      </c>
      <c r="B403" t="inlineStr">
        <is>
          <t>San Diego area</t>
        </is>
      </c>
      <c r="C403" t="inlineStr">
        <is>
          <t>Kestrel Drive</t>
        </is>
      </c>
      <c r="D403" t="inlineStr">
        <is>
          <t>Cassins Street</t>
        </is>
      </c>
      <c r="E403" t="inlineStr">
        <is>
          <t>Aviara Parkway</t>
        </is>
      </c>
      <c r="F403" t="inlineStr">
        <is>
          <t>1162444042</t>
        </is>
      </c>
      <c r="G403" t="n">
        <v>25</v>
      </c>
      <c r="H403" t="inlineStr">
        <is>
          <t>inferred</t>
        </is>
      </c>
      <c r="I403" t="inlineStr">
        <is>
          <t>cart+LSV</t>
        </is>
      </c>
      <c r="J403" t="inlineStr">
        <is>
          <t>https://www.google.com/maps/@?api=1&amp;map_action=pano&amp;viewpoint=33.102250,-117.295420&amp;heading=213</t>
        </is>
      </c>
      <c r="K403" t="inlineStr">
        <is>
          <t>https://www.google.com/maps/search/?api=1&amp;query=33.102250,-117.295420</t>
        </is>
      </c>
      <c r="L403" t="inlineStr"/>
      <c r="M403" t="inlineStr"/>
      <c r="N403" t="inlineStr"/>
      <c r="O403" t="inlineStr"/>
      <c r="P403" t="inlineStr">
        <is>
          <t>pending</t>
        </is>
      </c>
      <c r="Q403" t="inlineStr"/>
      <c r="R403" t="inlineStr"/>
      <c r="S403" t="inlineStr"/>
      <c r="T403" t="inlineStr"/>
      <c r="U403" t="inlineStr"/>
      <c r="V403">
        <f>IF(OR(L403="",S403=""),"",IF(VALUE(L403)=VALUE(S403),"Y","N"))</f>
        <v/>
      </c>
      <c r="W403">
        <f>IF(V403="Y",S403,"")</f>
        <v/>
      </c>
      <c r="X403" t="inlineStr">
        <is>
          <t>unverified: map has 25 mph (guessed from road type); is it 25 (carts OK) or 30+?</t>
        </is>
      </c>
      <c r="Y403" t="inlineStr"/>
      <c r="Z403" t="n">
        <v>1173</v>
      </c>
      <c r="AA403" t="inlineStr">
        <is>
          <t>sd</t>
        </is>
      </c>
      <c r="AB403" t="inlineStr">
        <is>
          <t>sd|33.10225,-117.29542</t>
        </is>
      </c>
    </row>
    <row r="404">
      <c r="A404" t="inlineStr">
        <is>
          <t>SD-B2-403</t>
        </is>
      </c>
      <c r="B404" t="inlineStr">
        <is>
          <t>San Diego area</t>
        </is>
      </c>
      <c r="C404" t="inlineStr">
        <is>
          <t>Montongo Street</t>
        </is>
      </c>
      <c r="D404" t="inlineStr">
        <is>
          <t>Westmore Road</t>
        </is>
      </c>
      <c r="E404" t="inlineStr">
        <is>
          <t>Montongo Circle</t>
        </is>
      </c>
      <c r="F404" t="inlineStr">
        <is>
          <t>202907541</t>
        </is>
      </c>
      <c r="G404" t="n">
        <v>25</v>
      </c>
      <c r="H404" t="inlineStr">
        <is>
          <t>inferred</t>
        </is>
      </c>
      <c r="I404" t="inlineStr">
        <is>
          <t>cart+LSV</t>
        </is>
      </c>
      <c r="J404" t="inlineStr">
        <is>
          <t>https://www.google.com/maps/@?api=1&amp;map_action=pano&amp;viewpoint=32.922620,-117.154000&amp;heading=359</t>
        </is>
      </c>
      <c r="K404" t="inlineStr">
        <is>
          <t>https://www.google.com/maps/search/?api=1&amp;query=32.922620,-117.154000</t>
        </is>
      </c>
      <c r="L404" t="inlineStr"/>
      <c r="M404" t="inlineStr"/>
      <c r="N404" t="inlineStr"/>
      <c r="O404" t="inlineStr"/>
      <c r="P404" t="inlineStr">
        <is>
          <t>pending</t>
        </is>
      </c>
      <c r="Q404" t="inlineStr"/>
      <c r="R404" t="inlineStr"/>
      <c r="S404" t="inlineStr"/>
      <c r="T404" t="inlineStr"/>
      <c r="U404" t="inlineStr"/>
      <c r="V404">
        <f>IF(OR(L404="",S404=""),"",IF(VALUE(L404)=VALUE(S404),"Y","N"))</f>
        <v/>
      </c>
      <c r="W404">
        <f>IF(V404="Y",S404,"")</f>
        <v/>
      </c>
      <c r="X404" t="inlineStr">
        <is>
          <t>unverified: map has 25 mph (guessed from road type); is it 25 (carts OK) or 30+?</t>
        </is>
      </c>
      <c r="Y404" t="inlineStr"/>
      <c r="Z404" t="n">
        <v>1172</v>
      </c>
      <c r="AA404" t="inlineStr">
        <is>
          <t>sd</t>
        </is>
      </c>
      <c r="AB404" t="inlineStr">
        <is>
          <t>sd|32.92262,-117.15400</t>
        </is>
      </c>
    </row>
    <row r="405">
      <c r="A405" t="inlineStr">
        <is>
          <t>SD-B2-404</t>
        </is>
      </c>
      <c r="B405" t="inlineStr">
        <is>
          <t>San Diego area</t>
        </is>
      </c>
      <c r="C405" t="inlineStr">
        <is>
          <t>North El Camino Real</t>
        </is>
      </c>
      <c r="D405" t="inlineStr">
        <is>
          <t>Leucadia Boulevard</t>
        </is>
      </c>
      <c r="E405" t="inlineStr">
        <is>
          <t>Garden View Road</t>
        </is>
      </c>
      <c r="F405" t="inlineStr">
        <is>
          <t>275157005</t>
        </is>
      </c>
      <c r="G405" t="n">
        <v>40</v>
      </c>
      <c r="H405" t="inlineStr">
        <is>
          <t>tag</t>
        </is>
      </c>
      <c r="I405" t="inlineStr">
        <is>
          <t>no</t>
        </is>
      </c>
      <c r="J405" t="inlineStr">
        <is>
          <t>https://www.google.com/maps/@?api=1&amp;map_action=pano&amp;viewpoint=33.062340,-117.262610&amp;heading=2</t>
        </is>
      </c>
      <c r="K405" t="inlineStr">
        <is>
          <t>https://www.google.com/maps/search/?api=1&amp;query=33.062340,-117.262610</t>
        </is>
      </c>
      <c r="L405" t="inlineStr"/>
      <c r="M405" t="inlineStr"/>
      <c r="N405" t="inlineStr"/>
      <c r="O405" t="inlineStr"/>
      <c r="P405" t="inlineStr">
        <is>
          <t>pending</t>
        </is>
      </c>
      <c r="Q405" t="inlineStr"/>
      <c r="R405" t="inlineStr"/>
      <c r="S405" t="inlineStr"/>
      <c r="T405" t="inlineStr"/>
      <c r="U405" t="inlineStr"/>
      <c r="V405">
        <f>IF(OR(L405="",S405=""),"",IF(VALUE(L405)=VALUE(S405),"Y","N"))</f>
        <v/>
      </c>
      <c r="W405">
        <f>IF(V405="Y",S405,"")</f>
        <v/>
      </c>
      <c r="X405" t="inlineStr">
        <is>
          <t>unverified: map has 40 mph (OSM tag only); is it 35 (LSV OK) or 40+?</t>
        </is>
      </c>
      <c r="Y405" t="inlineStr"/>
      <c r="Z405" t="n">
        <v>1013</v>
      </c>
      <c r="AA405" t="inlineStr">
        <is>
          <t>sd</t>
        </is>
      </c>
      <c r="AB405" t="inlineStr">
        <is>
          <t>sd|33.06234,-117.26261</t>
        </is>
      </c>
    </row>
    <row r="406">
      <c r="A406" t="inlineStr">
        <is>
          <t>SD-B2-405</t>
        </is>
      </c>
      <c r="B406" t="inlineStr">
        <is>
          <t>San Diego area</t>
        </is>
      </c>
      <c r="C406" t="inlineStr">
        <is>
          <t>North El Camino Real</t>
        </is>
      </c>
      <c r="D406" t="inlineStr">
        <is>
          <t>Town Center Drive</t>
        </is>
      </c>
      <c r="E406" t="inlineStr">
        <is>
          <t>Leucadia Boulevard</t>
        </is>
      </c>
      <c r="F406" t="inlineStr">
        <is>
          <t>332362972</t>
        </is>
      </c>
      <c r="G406" t="n">
        <v>40</v>
      </c>
      <c r="H406" t="inlineStr">
        <is>
          <t>tag</t>
        </is>
      </c>
      <c r="I406" t="inlineStr">
        <is>
          <t>no</t>
        </is>
      </c>
      <c r="J406" t="inlineStr">
        <is>
          <t>https://www.google.com/maps/@?api=1&amp;map_action=pano&amp;viewpoint=33.062350,-117.262780&amp;heading=185</t>
        </is>
      </c>
      <c r="K406" t="inlineStr">
        <is>
          <t>https://www.google.com/maps/search/?api=1&amp;query=33.062350,-117.262780</t>
        </is>
      </c>
      <c r="L406" t="inlineStr"/>
      <c r="M406" t="inlineStr"/>
      <c r="N406" t="inlineStr"/>
      <c r="O406" t="inlineStr"/>
      <c r="P406" t="inlineStr">
        <is>
          <t>pending</t>
        </is>
      </c>
      <c r="Q406" t="inlineStr"/>
      <c r="R406" t="inlineStr"/>
      <c r="S406" t="inlineStr"/>
      <c r="T406" t="inlineStr"/>
      <c r="U406" t="inlineStr"/>
      <c r="V406">
        <f>IF(OR(L406="",S406=""),"",IF(VALUE(L406)=VALUE(S406),"Y","N"))</f>
        <v/>
      </c>
      <c r="W406">
        <f>IF(V406="Y",S406,"")</f>
        <v/>
      </c>
      <c r="X406" t="inlineStr">
        <is>
          <t>unverified: map has 40 mph (OSM tag only); is it 35 (LSV OK) or 40+?</t>
        </is>
      </c>
      <c r="Y406" t="inlineStr"/>
      <c r="Z406" t="n">
        <v>1012</v>
      </c>
      <c r="AA406" t="inlineStr">
        <is>
          <t>sd</t>
        </is>
      </c>
      <c r="AB406" t="inlineStr">
        <is>
          <t>sd|33.06235,-117.26278</t>
        </is>
      </c>
    </row>
    <row r="407">
      <c r="A407" t="inlineStr">
        <is>
          <t>SD-B2-406</t>
        </is>
      </c>
      <c r="B407" t="inlineStr">
        <is>
          <t>San Diego area</t>
        </is>
      </c>
      <c r="C407" t="inlineStr">
        <is>
          <t>East G Street</t>
        </is>
      </c>
      <c r="D407" t="inlineStr">
        <is>
          <t>8th Avenue</t>
        </is>
      </c>
      <c r="E407" t="inlineStr">
        <is>
          <t>2nd Avenue</t>
        </is>
      </c>
      <c r="F407" t="inlineStr">
        <is>
          <t>1121918623</t>
        </is>
      </c>
      <c r="G407" t="inlineStr"/>
      <c r="H407" t="inlineStr">
        <is>
          <t>inferred</t>
        </is>
      </c>
      <c r="I407" t="inlineStr">
        <is>
          <t>no</t>
        </is>
      </c>
      <c r="J407" t="inlineStr">
        <is>
          <t>https://www.google.com/maps/@?api=1&amp;map_action=pano&amp;viewpoint=32.712555,-117.163340&amp;heading=89</t>
        </is>
      </c>
      <c r="K407" t="inlineStr">
        <is>
          <t>https://www.google.com/maps/search/?api=1&amp;query=32.712555,-117.163340</t>
        </is>
      </c>
      <c r="L407" t="inlineStr"/>
      <c r="M407" t="inlineStr"/>
      <c r="N407" t="inlineStr"/>
      <c r="O407" t="inlineStr"/>
      <c r="P407" t="inlineStr">
        <is>
          <t>pending</t>
        </is>
      </c>
      <c r="Q407" t="inlineStr"/>
      <c r="R407" t="inlineStr"/>
      <c r="S407" t="inlineStr"/>
      <c r="T407" t="inlineStr"/>
      <c r="U407" t="inlineStr"/>
      <c r="V407">
        <f>IF(OR(L407="",S407=""),"",IF(VALUE(L407)=VALUE(S407),"Y","N"))</f>
        <v/>
      </c>
      <c r="W407">
        <f>IF(V407="Y",S407,"")</f>
        <v/>
      </c>
      <c r="X407" t="inlineStr">
        <is>
          <t>unverified: map has no limit (guessed from road type); main road: what is posted? 35 or lower opens it to LSVs</t>
        </is>
      </c>
      <c r="Y407" t="inlineStr"/>
      <c r="Z407" t="n">
        <v>932</v>
      </c>
      <c r="AA407" t="inlineStr">
        <is>
          <t>sd</t>
        </is>
      </c>
      <c r="AB407" t="inlineStr">
        <is>
          <t>sd|32.71256,-117.16334</t>
        </is>
      </c>
    </row>
    <row r="408">
      <c r="A408" t="inlineStr">
        <is>
          <t>SD-B2-407</t>
        </is>
      </c>
      <c r="B408" t="inlineStr">
        <is>
          <t>San Diego area</t>
        </is>
      </c>
      <c r="C408" t="inlineStr">
        <is>
          <t>Haymar Drive</t>
        </is>
      </c>
      <c r="D408" t="inlineStr">
        <is>
          <t>College Boulevard</t>
        </is>
      </c>
      <c r="E408" t="inlineStr">
        <is>
          <t>El Salto Falls Street</t>
        </is>
      </c>
      <c r="F408" t="inlineStr">
        <is>
          <t>1457649110</t>
        </is>
      </c>
      <c r="G408" t="n">
        <v>25</v>
      </c>
      <c r="H408" t="inlineStr">
        <is>
          <t>inferred</t>
        </is>
      </c>
      <c r="I408" t="inlineStr">
        <is>
          <t>cart+LSV</t>
        </is>
      </c>
      <c r="J408" t="inlineStr">
        <is>
          <t>https://www.google.com/maps/@?api=1&amp;map_action=pano&amp;viewpoint=33.179560,-117.307910&amp;heading=265</t>
        </is>
      </c>
      <c r="K408" t="inlineStr">
        <is>
          <t>https://www.google.com/maps/search/?api=1&amp;query=33.179560,-117.307910</t>
        </is>
      </c>
      <c r="L408" t="inlineStr"/>
      <c r="M408" t="inlineStr"/>
      <c r="N408" t="inlineStr"/>
      <c r="O408" t="inlineStr"/>
      <c r="P408" t="inlineStr">
        <is>
          <t>pending</t>
        </is>
      </c>
      <c r="Q408" t="inlineStr"/>
      <c r="R408" t="inlineStr"/>
      <c r="S408" t="inlineStr"/>
      <c r="T408" t="inlineStr"/>
      <c r="U408" t="inlineStr"/>
      <c r="V408">
        <f>IF(OR(L408="",S408=""),"",IF(VALUE(L408)=VALUE(S408),"Y","N"))</f>
        <v/>
      </c>
      <c r="W408">
        <f>IF(V408="Y",S408,"")</f>
        <v/>
      </c>
      <c r="X408" t="inlineStr">
        <is>
          <t>unverified: map has 25 mph (guessed from road type); is it 25 (carts OK) or 30+?</t>
        </is>
      </c>
      <c r="Y408" t="inlineStr"/>
      <c r="Z408" t="n">
        <v>1164</v>
      </c>
      <c r="AA408" t="inlineStr">
        <is>
          <t>sd</t>
        </is>
      </c>
      <c r="AB408" t="inlineStr">
        <is>
          <t>sd|33.17956,-117.30791</t>
        </is>
      </c>
    </row>
    <row r="409">
      <c r="A409" t="inlineStr">
        <is>
          <t>SD-B2-408</t>
        </is>
      </c>
      <c r="B409" t="inlineStr">
        <is>
          <t>San Diego area</t>
        </is>
      </c>
      <c r="C409" t="inlineStr">
        <is>
          <t>Neptune Avenue</t>
        </is>
      </c>
      <c r="D409" t="inlineStr">
        <is>
          <t>La Mesa Avenue</t>
        </is>
      </c>
      <c r="E409" t="inlineStr">
        <is>
          <t>Daphne Street</t>
        </is>
      </c>
      <c r="F409" t="inlineStr">
        <is>
          <t>6049597</t>
        </is>
      </c>
      <c r="G409" t="n">
        <v>25</v>
      </c>
      <c r="H409" t="inlineStr">
        <is>
          <t>inferred</t>
        </is>
      </c>
      <c r="I409" t="inlineStr">
        <is>
          <t>cart+LSV</t>
        </is>
      </c>
      <c r="J409" t="inlineStr">
        <is>
          <t>https://www.google.com/maps/@?api=1&amp;map_action=pano&amp;viewpoint=33.059060,-117.302020&amp;heading=341</t>
        </is>
      </c>
      <c r="K409" t="inlineStr">
        <is>
          <t>https://www.google.com/maps/search/?api=1&amp;query=33.059060,-117.302020</t>
        </is>
      </c>
      <c r="L409" t="inlineStr"/>
      <c r="M409" t="inlineStr"/>
      <c r="N409" t="inlineStr"/>
      <c r="O409" t="inlineStr"/>
      <c r="P409" t="inlineStr">
        <is>
          <t>pending</t>
        </is>
      </c>
      <c r="Q409" t="inlineStr"/>
      <c r="R409" t="inlineStr"/>
      <c r="S409" t="inlineStr"/>
      <c r="T409" t="inlineStr"/>
      <c r="U409" t="inlineStr"/>
      <c r="V409">
        <f>IF(OR(L409="",S409=""),"",IF(VALUE(L409)=VALUE(S409),"Y","N"))</f>
        <v/>
      </c>
      <c r="W409">
        <f>IF(V409="Y",S409,"")</f>
        <v/>
      </c>
      <c r="X409" t="inlineStr">
        <is>
          <t>unverified: map has 25 mph (guessed from road type); is it 25 (carts OK) or 30+?</t>
        </is>
      </c>
      <c r="Y409" t="inlineStr"/>
      <c r="Z409" t="n">
        <v>1162</v>
      </c>
      <c r="AA409" t="inlineStr">
        <is>
          <t>sd</t>
        </is>
      </c>
      <c r="AB409" t="inlineStr">
        <is>
          <t>sd|33.05906,-117.30202</t>
        </is>
      </c>
    </row>
    <row r="410">
      <c r="A410" t="inlineStr">
        <is>
          <t>SD-B2-409</t>
        </is>
      </c>
      <c r="B410" t="inlineStr">
        <is>
          <t>San Diego area</t>
        </is>
      </c>
      <c r="C410" t="inlineStr">
        <is>
          <t>Moraga Avenue</t>
        </is>
      </c>
      <c r="D410" t="inlineStr">
        <is>
          <t>Balboa Avenue</t>
        </is>
      </c>
      <c r="E410" t="inlineStr">
        <is>
          <t>Monair Drive</t>
        </is>
      </c>
      <c r="F410" t="inlineStr">
        <is>
          <t>598025458</t>
        </is>
      </c>
      <c r="G410" t="inlineStr"/>
      <c r="H410" t="inlineStr">
        <is>
          <t>inferred</t>
        </is>
      </c>
      <c r="I410" t="inlineStr">
        <is>
          <t>no</t>
        </is>
      </c>
      <c r="J410" t="inlineStr">
        <is>
          <t>https://www.google.com/maps/@?api=1&amp;map_action=pano&amp;viewpoint=32.812100,-117.211310&amp;heading=165</t>
        </is>
      </c>
      <c r="K410" t="inlineStr">
        <is>
          <t>https://www.google.com/maps/search/?api=1&amp;query=32.812100,-117.211310</t>
        </is>
      </c>
      <c r="L410" t="inlineStr"/>
      <c r="M410" t="inlineStr"/>
      <c r="N410" t="inlineStr"/>
      <c r="O410" t="inlineStr"/>
      <c r="P410" t="inlineStr">
        <is>
          <t>pending</t>
        </is>
      </c>
      <c r="Q410" t="inlineStr"/>
      <c r="R410" t="inlineStr"/>
      <c r="S410" t="inlineStr"/>
      <c r="T410" t="inlineStr"/>
      <c r="U410" t="inlineStr"/>
      <c r="V410">
        <f>IF(OR(L410="",S410=""),"",IF(VALUE(L410)=VALUE(S410),"Y","N"))</f>
        <v/>
      </c>
      <c r="W410">
        <f>IF(V410="Y",S410,"")</f>
        <v/>
      </c>
      <c r="X410" t="inlineStr">
        <is>
          <t>unverified: map has no limit (guessed from road type); main road: what is posted? 35 or lower opens it to LSVs</t>
        </is>
      </c>
      <c r="Y410" t="inlineStr"/>
      <c r="Z410" t="n">
        <v>928</v>
      </c>
      <c r="AA410" t="inlineStr">
        <is>
          <t>sd</t>
        </is>
      </c>
      <c r="AB410" t="inlineStr">
        <is>
          <t>sd|32.81210,-117.21131</t>
        </is>
      </c>
    </row>
    <row r="411">
      <c r="A411" t="inlineStr">
        <is>
          <t>SD-B2-410</t>
        </is>
      </c>
      <c r="B411" t="inlineStr">
        <is>
          <t>San Diego area</t>
        </is>
      </c>
      <c r="C411" t="inlineStr">
        <is>
          <t>Cardeno Drive</t>
        </is>
      </c>
      <c r="D411" t="inlineStr">
        <is>
          <t>Alta la Jolla Drive</t>
        </is>
      </c>
      <c r="E411" t="inlineStr">
        <is>
          <t>Kaimalino Lane</t>
        </is>
      </c>
      <c r="F411" t="inlineStr">
        <is>
          <t>1090802919</t>
        </is>
      </c>
      <c r="G411" t="n">
        <v>25</v>
      </c>
      <c r="H411" t="inlineStr">
        <is>
          <t>inferred</t>
        </is>
      </c>
      <c r="I411" t="inlineStr">
        <is>
          <t>cart+LSV</t>
        </is>
      </c>
      <c r="J411" t="inlineStr">
        <is>
          <t>https://www.google.com/maps/@?api=1&amp;map_action=pano&amp;viewpoint=32.817930,-117.247830&amp;heading=330</t>
        </is>
      </c>
      <c r="K411" t="inlineStr">
        <is>
          <t>https://www.google.com/maps/search/?api=1&amp;query=32.817930,-117.247830</t>
        </is>
      </c>
      <c r="L411" t="inlineStr"/>
      <c r="M411" t="inlineStr"/>
      <c r="N411" t="inlineStr"/>
      <c r="O411" t="inlineStr"/>
      <c r="P411" t="inlineStr">
        <is>
          <t>pending</t>
        </is>
      </c>
      <c r="Q411" t="inlineStr"/>
      <c r="R411" t="inlineStr"/>
      <c r="S411" t="inlineStr"/>
      <c r="T411" t="inlineStr"/>
      <c r="U411" t="inlineStr"/>
      <c r="V411">
        <f>IF(OR(L411="",S411=""),"",IF(VALUE(L411)=VALUE(S411),"Y","N"))</f>
        <v/>
      </c>
      <c r="W411">
        <f>IF(V411="Y",S411,"")</f>
        <v/>
      </c>
      <c r="X411" t="inlineStr">
        <is>
          <t>unverified: map has 25 mph (guessed from road type); is it 25 (carts OK) or 30+?</t>
        </is>
      </c>
      <c r="Y411" t="inlineStr"/>
      <c r="Z411" t="n">
        <v>1159</v>
      </c>
      <c r="AA411" t="inlineStr">
        <is>
          <t>sd</t>
        </is>
      </c>
      <c r="AB411" t="inlineStr">
        <is>
          <t>sd|32.81793,-117.24783</t>
        </is>
      </c>
    </row>
    <row r="412">
      <c r="A412" t="inlineStr">
        <is>
          <t>SD-B2-411</t>
        </is>
      </c>
      <c r="B412" t="inlineStr">
        <is>
          <t>San Diego area</t>
        </is>
      </c>
      <c r="C412" t="inlineStr">
        <is>
          <t>East Harbor Drive</t>
        </is>
      </c>
      <c r="D412" t="inlineStr">
        <is>
          <t>Chicano Park Boulevard</t>
        </is>
      </c>
      <c r="E412" t="inlineStr">
        <is>
          <t>Schley Street</t>
        </is>
      </c>
      <c r="F412" t="inlineStr">
        <is>
          <t>593603016</t>
        </is>
      </c>
      <c r="G412" t="n">
        <v>45</v>
      </c>
      <c r="H412" t="inlineStr">
        <is>
          <t>tag</t>
        </is>
      </c>
      <c r="I412" t="inlineStr">
        <is>
          <t>no</t>
        </is>
      </c>
      <c r="J412" t="inlineStr">
        <is>
          <t>https://www.google.com/maps/@?api=1&amp;map_action=pano&amp;viewpoint=32.696305,-117.144460&amp;heading=310</t>
        </is>
      </c>
      <c r="K412" t="inlineStr">
        <is>
          <t>https://www.google.com/maps/search/?api=1&amp;query=32.696305,-117.144460</t>
        </is>
      </c>
      <c r="L412" t="inlineStr"/>
      <c r="M412" t="inlineStr"/>
      <c r="N412" t="inlineStr"/>
      <c r="O412" t="inlineStr"/>
      <c r="P412" t="inlineStr">
        <is>
          <t>pending</t>
        </is>
      </c>
      <c r="Q412" t="inlineStr"/>
      <c r="R412" t="inlineStr"/>
      <c r="S412" t="inlineStr"/>
      <c r="T412" t="inlineStr"/>
      <c r="U412" t="inlineStr"/>
      <c r="V412">
        <f>IF(OR(L412="",S412=""),"",IF(VALUE(L412)=VALUE(S412),"Y","N"))</f>
        <v/>
      </c>
      <c r="W412">
        <f>IF(V412="Y",S412,"")</f>
        <v/>
      </c>
      <c r="X412" t="inlineStr">
        <is>
          <t>unverified: map has 45 mph (OSM tag only); main road: what is posted? 35 or lower opens it to LSVs</t>
        </is>
      </c>
      <c r="Y412" t="inlineStr"/>
      <c r="Z412" t="n">
        <v>1001</v>
      </c>
      <c r="AA412" t="inlineStr">
        <is>
          <t>sd</t>
        </is>
      </c>
      <c r="AB412" t="inlineStr">
        <is>
          <t>sd|32.69630,-117.14446</t>
        </is>
      </c>
    </row>
    <row r="413">
      <c r="A413" t="inlineStr">
        <is>
          <t>SD-B2-412</t>
        </is>
      </c>
      <c r="B413" t="inlineStr">
        <is>
          <t>San Diego area</t>
        </is>
      </c>
      <c r="C413" t="inlineStr">
        <is>
          <t>South 31st Street</t>
        </is>
      </c>
      <c r="D413" t="inlineStr">
        <is>
          <t>Martin Avenue</t>
        </is>
      </c>
      <c r="E413" t="inlineStr">
        <is>
          <t>31st Street</t>
        </is>
      </c>
      <c r="F413" t="inlineStr">
        <is>
          <t>1052965230</t>
        </is>
      </c>
      <c r="G413" t="n">
        <v>25</v>
      </c>
      <c r="H413" t="inlineStr">
        <is>
          <t>inferred</t>
        </is>
      </c>
      <c r="I413" t="inlineStr">
        <is>
          <t>cart+LSV</t>
        </is>
      </c>
      <c r="J413" t="inlineStr">
        <is>
          <t>https://www.google.com/maps/@?api=1&amp;map_action=pano&amp;viewpoint=32.698585,-117.127340&amp;heading=180</t>
        </is>
      </c>
      <c r="K413" t="inlineStr">
        <is>
          <t>https://www.google.com/maps/search/?api=1&amp;query=32.698585,-117.127340</t>
        </is>
      </c>
      <c r="L413" t="inlineStr"/>
      <c r="M413" t="inlineStr"/>
      <c r="N413" t="inlineStr"/>
      <c r="O413" t="inlineStr"/>
      <c r="P413" t="inlineStr">
        <is>
          <t>pending</t>
        </is>
      </c>
      <c r="Q413" t="inlineStr"/>
      <c r="R413" t="inlineStr"/>
      <c r="S413" t="inlineStr"/>
      <c r="T413" t="inlineStr"/>
      <c r="U413" t="inlineStr"/>
      <c r="V413">
        <f>IF(OR(L413="",S413=""),"",IF(VALUE(L413)=VALUE(S413),"Y","N"))</f>
        <v/>
      </c>
      <c r="W413">
        <f>IF(V413="Y",S413,"")</f>
        <v/>
      </c>
      <c r="X413" t="inlineStr">
        <is>
          <t>unverified: map has 25 mph (guessed from road type); is it 25 (carts OK) or 30+?</t>
        </is>
      </c>
      <c r="Y413" t="inlineStr"/>
      <c r="Z413" t="n">
        <v>1154</v>
      </c>
      <c r="AA413" t="inlineStr">
        <is>
          <t>sd</t>
        </is>
      </c>
      <c r="AB413" t="inlineStr">
        <is>
          <t>sd|32.69858,-117.12734</t>
        </is>
      </c>
    </row>
    <row r="414">
      <c r="A414" t="inlineStr">
        <is>
          <t>SD-B2-413</t>
        </is>
      </c>
      <c r="B414" t="inlineStr">
        <is>
          <t>San Diego area</t>
        </is>
      </c>
      <c r="C414" t="inlineStr">
        <is>
          <t>Copley Drive</t>
        </is>
      </c>
      <c r="D414" t="inlineStr">
        <is>
          <t>(see map link)</t>
        </is>
      </c>
      <c r="E414" t="inlineStr">
        <is>
          <t>Hickman Field Drive</t>
        </is>
      </c>
      <c r="F414" t="inlineStr">
        <is>
          <t>216272683</t>
        </is>
      </c>
      <c r="G414" t="n">
        <v>35</v>
      </c>
      <c r="H414" t="inlineStr">
        <is>
          <t>tag</t>
        </is>
      </c>
      <c r="I414" t="inlineStr">
        <is>
          <t>LSV</t>
        </is>
      </c>
      <c r="J414" t="inlineStr">
        <is>
          <t>https://www.google.com/maps/@?api=1&amp;map_action=pano&amp;viewpoint=32.838530,-117.161110&amp;heading=301</t>
        </is>
      </c>
      <c r="K414" t="inlineStr">
        <is>
          <t>https://www.google.com/maps/search/?api=1&amp;query=32.838530,-117.161110</t>
        </is>
      </c>
      <c r="L414" t="inlineStr"/>
      <c r="M414" t="inlineStr"/>
      <c r="N414" t="inlineStr"/>
      <c r="O414" t="inlineStr"/>
      <c r="P414" t="inlineStr">
        <is>
          <t>pending</t>
        </is>
      </c>
      <c r="Q414" t="inlineStr"/>
      <c r="R414" t="inlineStr"/>
      <c r="S414" t="inlineStr"/>
      <c r="T414" t="inlineStr"/>
      <c r="U414" t="inlineStr"/>
      <c r="V414">
        <f>IF(OR(L414="",S414=""),"",IF(VALUE(L414)=VALUE(S414),"Y","N"))</f>
        <v/>
      </c>
      <c r="W414">
        <f>IF(V414="Y",S414,"")</f>
        <v/>
      </c>
      <c r="X414" t="inlineStr">
        <is>
          <t>unverified: map has 35 mph (OSM tag only); is it 35 (LSV OK) or 40+?</t>
        </is>
      </c>
      <c r="Y414" t="inlineStr"/>
      <c r="Z414" t="n">
        <v>1678</v>
      </c>
      <c r="AA414" t="inlineStr">
        <is>
          <t>sd</t>
        </is>
      </c>
      <c r="AB414" t="inlineStr">
        <is>
          <t>sd|32.83853,-117.16111</t>
        </is>
      </c>
    </row>
    <row r="415">
      <c r="A415" t="inlineStr">
        <is>
          <t>SD-B2-414</t>
        </is>
      </c>
      <c r="B415" t="inlineStr">
        <is>
          <t>San Diego area</t>
        </is>
      </c>
      <c r="C415" t="inlineStr">
        <is>
          <t>Carmel Mountain Road</t>
        </is>
      </c>
      <c r="D415" t="inlineStr">
        <is>
          <t>(see map link)</t>
        </is>
      </c>
      <c r="E415" t="inlineStr">
        <is>
          <t>Equestrian Ridge Court</t>
        </is>
      </c>
      <c r="F415" t="inlineStr">
        <is>
          <t>315243492</t>
        </is>
      </c>
      <c r="G415" t="n">
        <v>40</v>
      </c>
      <c r="H415" t="inlineStr">
        <is>
          <t>tag</t>
        </is>
      </c>
      <c r="I415" t="inlineStr">
        <is>
          <t>no</t>
        </is>
      </c>
      <c r="J415" t="inlineStr">
        <is>
          <t>https://www.google.com/maps/@?api=1&amp;map_action=pano&amp;viewpoint=32.932620,-117.183200&amp;heading=53</t>
        </is>
      </c>
      <c r="K415" t="inlineStr">
        <is>
          <t>https://www.google.com/maps/search/?api=1&amp;query=32.932620,-117.183200</t>
        </is>
      </c>
      <c r="L415" t="inlineStr"/>
      <c r="M415" t="inlineStr"/>
      <c r="N415" t="inlineStr"/>
      <c r="O415" t="inlineStr"/>
      <c r="P415" t="inlineStr">
        <is>
          <t>pending</t>
        </is>
      </c>
      <c r="Q415" t="inlineStr"/>
      <c r="R415" t="inlineStr"/>
      <c r="S415" t="inlineStr"/>
      <c r="T415" t="inlineStr"/>
      <c r="U415" t="inlineStr"/>
      <c r="V415">
        <f>IF(OR(L415="",S415=""),"",IF(VALUE(L415)=VALUE(S415),"Y","N"))</f>
        <v/>
      </c>
      <c r="W415">
        <f>IF(V415="Y",S415,"")</f>
        <v/>
      </c>
      <c r="X415" t="inlineStr">
        <is>
          <t>unverified: map has 40 mph (OSM tag only); is it 35 (LSV OK) or 40+?</t>
        </is>
      </c>
      <c r="Y415" t="inlineStr"/>
      <c r="Z415" t="n">
        <v>1713</v>
      </c>
      <c r="AA415" t="inlineStr">
        <is>
          <t>sd</t>
        </is>
      </c>
      <c r="AB415" t="inlineStr">
        <is>
          <t>sd|32.93262,-117.18320</t>
        </is>
      </c>
    </row>
    <row r="416">
      <c r="A416" t="inlineStr">
        <is>
          <t>SD-B2-415</t>
        </is>
      </c>
      <c r="B416" t="inlineStr">
        <is>
          <t>San Diego area</t>
        </is>
      </c>
      <c r="C416" t="inlineStr">
        <is>
          <t>Cabrillo Memorial Drive</t>
        </is>
      </c>
      <c r="D416" t="inlineStr">
        <is>
          <t>(see map link)</t>
        </is>
      </c>
      <c r="E416" t="inlineStr">
        <is>
          <t>(see map link)</t>
        </is>
      </c>
      <c r="F416" t="inlineStr">
        <is>
          <t>442834724</t>
        </is>
      </c>
      <c r="G416" t="n">
        <v>35</v>
      </c>
      <c r="H416" t="inlineStr">
        <is>
          <t>mapillary</t>
        </is>
      </c>
      <c r="I416" t="inlineStr">
        <is>
          <t>LSV</t>
        </is>
      </c>
      <c r="J416" t="inlineStr">
        <is>
          <t>https://www.google.com/maps/@?api=1&amp;map_action=pano&amp;viewpoint=32.695320,-117.246180&amp;heading=337</t>
        </is>
      </c>
      <c r="K416" t="inlineStr">
        <is>
          <t>https://www.google.com/maps/search/?api=1&amp;query=32.695320,-117.246180</t>
        </is>
      </c>
      <c r="L416" t="inlineStr"/>
      <c r="M416" t="inlineStr"/>
      <c r="N416" t="inlineStr"/>
      <c r="O416" t="inlineStr"/>
      <c r="P416" t="inlineStr">
        <is>
          <t>pending</t>
        </is>
      </c>
      <c r="Q416" t="inlineStr"/>
      <c r="R416" t="inlineStr"/>
      <c r="S416" t="inlineStr"/>
      <c r="T416" t="inlineStr">
        <is>
          <t>Mapillary: 2 posted 35 mph sign(s) detected</t>
        </is>
      </c>
      <c r="U416" t="inlineStr">
        <is>
          <t>https://www.mapillary.com/app/?lat=32.690792&amp;lng=-117.245160&amp;z=19&amp;focus=map&amp;mapFeatureId=163634762275159</t>
        </is>
      </c>
      <c r="V416">
        <f>IF(OR(L416="",S416=""),"",IF(VALUE(L416)=VALUE(S416),"Y","N"))</f>
        <v/>
      </c>
      <c r="W416">
        <f>IF(V416="Y",S416,"")</f>
        <v/>
      </c>
      <c r="X416" t="inlineStr">
        <is>
          <t>unverified: map has 35 mph (one Mapillary sign); is it 35 (LSV OK) or 40+?</t>
        </is>
      </c>
      <c r="Y416" t="inlineStr"/>
      <c r="Z416" t="n">
        <v>1664</v>
      </c>
      <c r="AA416" t="inlineStr">
        <is>
          <t>sd</t>
        </is>
      </c>
      <c r="AB416" t="inlineStr">
        <is>
          <t>sd|32.69532,-117.24618</t>
        </is>
      </c>
    </row>
    <row r="417">
      <c r="A417" t="inlineStr">
        <is>
          <t>SD-B2-416</t>
        </is>
      </c>
      <c r="B417" t="inlineStr">
        <is>
          <t>San Diego area</t>
        </is>
      </c>
      <c r="C417" t="inlineStr">
        <is>
          <t>High Bluff Drive</t>
        </is>
      </c>
      <c r="D417" t="inlineStr">
        <is>
          <t>Long Run Drive</t>
        </is>
      </c>
      <c r="E417" t="inlineStr">
        <is>
          <t>Carmel View Road</t>
        </is>
      </c>
      <c r="F417" t="inlineStr">
        <is>
          <t>318312504</t>
        </is>
      </c>
      <c r="G417" t="n">
        <v>30</v>
      </c>
      <c r="H417" t="inlineStr">
        <is>
          <t>tag</t>
        </is>
      </c>
      <c r="I417" t="inlineStr">
        <is>
          <t>LSV</t>
        </is>
      </c>
      <c r="J417" t="inlineStr">
        <is>
          <t>https://www.google.com/maps/@?api=1&amp;map_action=pano&amp;viewpoint=32.959530,-117.241110&amp;heading=28</t>
        </is>
      </c>
      <c r="K417" t="inlineStr">
        <is>
          <t>https://www.google.com/maps/search/?api=1&amp;query=32.959530,-117.241110</t>
        </is>
      </c>
      <c r="L417" t="inlineStr"/>
      <c r="M417" t="inlineStr"/>
      <c r="N417" t="inlineStr"/>
      <c r="O417" t="inlineStr"/>
      <c r="P417" t="inlineStr">
        <is>
          <t>pending</t>
        </is>
      </c>
      <c r="Q417" t="inlineStr"/>
      <c r="R417" t="inlineStr"/>
      <c r="S417" t="inlineStr"/>
      <c r="T417" t="inlineStr"/>
      <c r="U417" t="inlineStr"/>
      <c r="V417">
        <f>IF(OR(L417="",S417=""),"",IF(VALUE(L417)=VALUE(S417),"Y","N"))</f>
        <v/>
      </c>
      <c r="W417">
        <f>IF(V417="Y",S417,"")</f>
        <v/>
      </c>
      <c r="X417" t="inlineStr">
        <is>
          <t>unverified: map has 30 mph (OSM tag only); is it 25 (carts OK) or 30+?</t>
        </is>
      </c>
      <c r="Y417" t="inlineStr"/>
      <c r="Z417" t="n">
        <v>4046</v>
      </c>
      <c r="AA417" t="inlineStr">
        <is>
          <t>sd</t>
        </is>
      </c>
      <c r="AB417" t="inlineStr">
        <is>
          <t>sd|32.95953,-117.24111</t>
        </is>
      </c>
    </row>
    <row r="418">
      <c r="A418" t="inlineStr">
        <is>
          <t>SD-B2-417</t>
        </is>
      </c>
      <c r="B418" t="inlineStr">
        <is>
          <t>San Diego area</t>
        </is>
      </c>
      <c r="C418" t="inlineStr">
        <is>
          <t>Ashley Falls Drive</t>
        </is>
      </c>
      <c r="D418" t="inlineStr">
        <is>
          <t>Almondwood Way</t>
        </is>
      </c>
      <c r="E418" t="inlineStr">
        <is>
          <t>Del Mar Heights Road</t>
        </is>
      </c>
      <c r="F418" t="inlineStr">
        <is>
          <t>5958109</t>
        </is>
      </c>
      <c r="G418" t="n">
        <v>35</v>
      </c>
      <c r="H418" t="inlineStr">
        <is>
          <t>tag</t>
        </is>
      </c>
      <c r="I418" t="inlineStr">
        <is>
          <t>LSV</t>
        </is>
      </c>
      <c r="J418" t="inlineStr">
        <is>
          <t>https://www.google.com/maps/@?api=1&amp;map_action=pano&amp;viewpoint=32.956270,-117.208080&amp;heading=38</t>
        </is>
      </c>
      <c r="K418" t="inlineStr">
        <is>
          <t>https://www.google.com/maps/search/?api=1&amp;query=32.956270,-117.208080</t>
        </is>
      </c>
      <c r="L418" t="inlineStr"/>
      <c r="M418" t="inlineStr"/>
      <c r="N418" t="inlineStr"/>
      <c r="O418" t="inlineStr"/>
      <c r="P418" t="inlineStr">
        <is>
          <t>pending</t>
        </is>
      </c>
      <c r="Q418" t="inlineStr"/>
      <c r="R418" t="inlineStr"/>
      <c r="S418" t="inlineStr"/>
      <c r="T418" t="inlineStr"/>
      <c r="U418" t="inlineStr"/>
      <c r="V418">
        <f>IF(OR(L418="",S418=""),"",IF(VALUE(L418)=VALUE(S418),"Y","N"))</f>
        <v/>
      </c>
      <c r="W418">
        <f>IF(V418="Y",S418,"")</f>
        <v/>
      </c>
      <c r="X418" t="inlineStr">
        <is>
          <t>unverified: map has 35 mph (OSM tag only); is it 35 (LSV OK) or 40+?</t>
        </is>
      </c>
      <c r="Y418" t="inlineStr"/>
      <c r="Z418" t="n">
        <v>1686</v>
      </c>
      <c r="AA418" t="inlineStr">
        <is>
          <t>sd</t>
        </is>
      </c>
      <c r="AB418" t="inlineStr">
        <is>
          <t>sd|32.95627,-117.20808</t>
        </is>
      </c>
    </row>
    <row r="419">
      <c r="A419" t="inlineStr">
        <is>
          <t>SD-B2-418</t>
        </is>
      </c>
      <c r="B419" t="inlineStr">
        <is>
          <t>San Diego area</t>
        </is>
      </c>
      <c r="C419" t="inlineStr">
        <is>
          <t>Mango Drive</t>
        </is>
      </c>
      <c r="D419" t="inlineStr">
        <is>
          <t>Portofino Drive</t>
        </is>
      </c>
      <c r="E419" t="inlineStr">
        <is>
          <t>Mango Cove</t>
        </is>
      </c>
      <c r="F419" t="inlineStr">
        <is>
          <t>5961020</t>
        </is>
      </c>
      <c r="G419" t="n">
        <v>25</v>
      </c>
      <c r="H419" t="inlineStr">
        <is>
          <t>tag</t>
        </is>
      </c>
      <c r="I419" t="inlineStr">
        <is>
          <t>cart+LSV</t>
        </is>
      </c>
      <c r="J419" t="inlineStr">
        <is>
          <t>https://www.google.com/maps/@?api=1&amp;map_action=pano&amp;viewpoint=32.945740,-117.245940&amp;heading=337</t>
        </is>
      </c>
      <c r="K419" t="inlineStr">
        <is>
          <t>https://www.google.com/maps/search/?api=1&amp;query=32.945740,-117.245940</t>
        </is>
      </c>
      <c r="L419" t="inlineStr"/>
      <c r="M419" t="inlineStr"/>
      <c r="N419" t="inlineStr"/>
      <c r="O419" t="inlineStr"/>
      <c r="P419" t="inlineStr">
        <is>
          <t>pending</t>
        </is>
      </c>
      <c r="Q419" t="inlineStr"/>
      <c r="R419" t="inlineStr"/>
      <c r="S419" t="inlineStr"/>
      <c r="T419" t="inlineStr"/>
      <c r="U419" t="inlineStr"/>
      <c r="V419">
        <f>IF(OR(L419="",S419=""),"",IF(VALUE(L419)=VALUE(S419),"Y","N"))</f>
        <v/>
      </c>
      <c r="W419">
        <f>IF(V419="Y",S419,"")</f>
        <v/>
      </c>
      <c r="X419" t="inlineStr">
        <is>
          <t>unverified: map has 25 mph (OSM tag only); is it 25 (carts OK) or 30+?</t>
        </is>
      </c>
      <c r="Y419" t="inlineStr"/>
      <c r="Z419" t="n">
        <v>2211</v>
      </c>
      <c r="AA419" t="inlineStr">
        <is>
          <t>sd</t>
        </is>
      </c>
      <c r="AB419" t="inlineStr">
        <is>
          <t>sd|32.94574,-117.24594</t>
        </is>
      </c>
    </row>
    <row r="420">
      <c r="A420" t="inlineStr">
        <is>
          <t>SD-B2-419</t>
        </is>
      </c>
      <c r="B420" t="inlineStr">
        <is>
          <t>San Diego area</t>
        </is>
      </c>
      <c r="C420" t="inlineStr">
        <is>
          <t>Lansdale Drive</t>
        </is>
      </c>
      <c r="D420" t="inlineStr">
        <is>
          <t>Torrey Highlands Park Road</t>
        </is>
      </c>
      <c r="E420" t="inlineStr">
        <is>
          <t>Del Mar Heights Road</t>
        </is>
      </c>
      <c r="F420" t="inlineStr">
        <is>
          <t>436424547</t>
        </is>
      </c>
      <c r="G420" t="n">
        <v>35</v>
      </c>
      <c r="H420" t="inlineStr">
        <is>
          <t>tag</t>
        </is>
      </c>
      <c r="I420" t="inlineStr">
        <is>
          <t>LSV</t>
        </is>
      </c>
      <c r="J420" t="inlineStr">
        <is>
          <t>https://www.google.com/maps/@?api=1&amp;map_action=pano&amp;viewpoint=32.956620,-117.220830&amp;heading=3</t>
        </is>
      </c>
      <c r="K420" t="inlineStr">
        <is>
          <t>https://www.google.com/maps/search/?api=1&amp;query=32.956620,-117.220830</t>
        </is>
      </c>
      <c r="L420" t="inlineStr"/>
      <c r="M420" t="inlineStr"/>
      <c r="N420" t="inlineStr"/>
      <c r="O420" t="inlineStr"/>
      <c r="P420" t="inlineStr">
        <is>
          <t>pending</t>
        </is>
      </c>
      <c r="Q420" t="inlineStr"/>
      <c r="R420" t="inlineStr"/>
      <c r="S420" t="inlineStr"/>
      <c r="T420" t="inlineStr"/>
      <c r="U420" t="inlineStr"/>
      <c r="V420">
        <f>IF(OR(L420="",S420=""),"",IF(VALUE(L420)=VALUE(S420),"Y","N"))</f>
        <v/>
      </c>
      <c r="W420">
        <f>IF(V420="Y",S420,"")</f>
        <v/>
      </c>
      <c r="X420" t="inlineStr">
        <is>
          <t>unverified: map has 35 mph (OSM tag only); is it 35 (LSV OK) or 40+?</t>
        </is>
      </c>
      <c r="Y420" t="inlineStr"/>
      <c r="Z420" t="n">
        <v>1688</v>
      </c>
      <c r="AA420" t="inlineStr">
        <is>
          <t>sd</t>
        </is>
      </c>
      <c r="AB420" t="inlineStr">
        <is>
          <t>sd|32.95662,-117.22083</t>
        </is>
      </c>
    </row>
    <row r="421">
      <c r="A421" t="inlineStr">
        <is>
          <t>SD-B2-420</t>
        </is>
      </c>
      <c r="B421" t="inlineStr">
        <is>
          <t>San Diego area</t>
        </is>
      </c>
      <c r="C421" t="inlineStr">
        <is>
          <t>El Camino Real</t>
        </is>
      </c>
      <c r="D421" t="inlineStr">
        <is>
          <t>Via de la Valle</t>
        </is>
      </c>
      <c r="E421" t="inlineStr">
        <is>
          <t>Linea del Cielo</t>
        </is>
      </c>
      <c r="F421" t="inlineStr">
        <is>
          <t>5963692</t>
        </is>
      </c>
      <c r="G421" t="n">
        <v>40</v>
      </c>
      <c r="H421" t="inlineStr">
        <is>
          <t>mapillary</t>
        </is>
      </c>
      <c r="I421" t="inlineStr">
        <is>
          <t>no</t>
        </is>
      </c>
      <c r="J421" t="inlineStr">
        <is>
          <t>https://www.google.com/maps/@?api=1&amp;map_action=pano&amp;viewpoint=32.999000,-117.225150&amp;heading=339</t>
        </is>
      </c>
      <c r="K421" t="inlineStr">
        <is>
          <t>https://www.google.com/maps/search/?api=1&amp;query=32.999000,-117.225150</t>
        </is>
      </c>
      <c r="L421" t="inlineStr"/>
      <c r="M421" t="inlineStr"/>
      <c r="N421" t="inlineStr"/>
      <c r="O421" t="inlineStr"/>
      <c r="P421" t="inlineStr">
        <is>
          <t>pending</t>
        </is>
      </c>
      <c r="Q421" t="inlineStr"/>
      <c r="R421" t="inlineStr"/>
      <c r="S421" t="inlineStr"/>
      <c r="T421" t="inlineStr">
        <is>
          <t>Mapillary: 4 posted 40 mph sign(s) detected</t>
        </is>
      </c>
      <c r="U421" t="inlineStr">
        <is>
          <t>https://www.mapillary.com/app/?lat=33.000305&amp;lng=-117.226020&amp;z=19&amp;focus=map&amp;mapFeatureId=3861983634075260</t>
        </is>
      </c>
      <c r="V421">
        <f>IF(OR(L421="",S421=""),"",IF(VALUE(L421)=VALUE(S421),"Y","N"))</f>
        <v/>
      </c>
      <c r="W421">
        <f>IF(V421="Y",S421,"")</f>
        <v/>
      </c>
      <c r="X421" t="inlineStr">
        <is>
          <t>unverified: map has 40 mph (one Mapillary sign); is it 35 (LSV OK) or 40+?</t>
        </is>
      </c>
      <c r="Y421" t="inlineStr"/>
      <c r="Z421" t="n">
        <v>2016</v>
      </c>
      <c r="AA421" t="inlineStr">
        <is>
          <t>sd</t>
        </is>
      </c>
      <c r="AB421" t="inlineStr">
        <is>
          <t>sd|32.99900,-117.22515</t>
        </is>
      </c>
    </row>
    <row r="422">
      <c r="A422" t="inlineStr">
        <is>
          <t>SD-B2-421</t>
        </is>
      </c>
      <c r="B422" t="inlineStr">
        <is>
          <t>San Diego area</t>
        </is>
      </c>
      <c r="C422" t="inlineStr">
        <is>
          <t>Linea del Cielo</t>
        </is>
      </c>
      <c r="D422" t="inlineStr">
        <is>
          <t>(see map link)</t>
        </is>
      </c>
      <c r="E422" t="inlineStr">
        <is>
          <t>Avenida de Acacias</t>
        </is>
      </c>
      <c r="F422" t="inlineStr">
        <is>
          <t>234736320</t>
        </is>
      </c>
      <c r="G422" t="n">
        <v>35</v>
      </c>
      <c r="H422" t="inlineStr">
        <is>
          <t>mapillary</t>
        </is>
      </c>
      <c r="I422" t="inlineStr">
        <is>
          <t>LSV</t>
        </is>
      </c>
      <c r="J422" t="inlineStr">
        <is>
          <t>https://www.google.com/maps/@?api=1&amp;map_action=pano&amp;viewpoint=33.004250,-117.223080&amp;heading=93</t>
        </is>
      </c>
      <c r="K422" t="inlineStr">
        <is>
          <t>https://www.google.com/maps/search/?api=1&amp;query=33.004250,-117.223080</t>
        </is>
      </c>
      <c r="L422" t="inlineStr"/>
      <c r="M422" t="inlineStr"/>
      <c r="N422" t="inlineStr"/>
      <c r="O422" t="inlineStr"/>
      <c r="P422" t="inlineStr">
        <is>
          <t>pending</t>
        </is>
      </c>
      <c r="Q422" t="inlineStr"/>
      <c r="R422" t="inlineStr"/>
      <c r="S422" t="inlineStr"/>
      <c r="T422" t="inlineStr">
        <is>
          <t>Mapillary: 14 posted 35 mph sign(s) detected</t>
        </is>
      </c>
      <c r="U422" t="inlineStr">
        <is>
          <t>https://www.mapillary.com/app/?lat=33.004242&amp;lng=-117.223150&amp;z=19&amp;focus=map&amp;mapFeatureId=554133752535122</t>
        </is>
      </c>
      <c r="V422">
        <f>IF(OR(L422="",S422=""),"",IF(VALUE(L422)=VALUE(S422),"Y","N"))</f>
        <v/>
      </c>
      <c r="W422">
        <f>IF(V422="Y",S422,"")</f>
        <v/>
      </c>
      <c r="X422" t="inlineStr">
        <is>
          <t>unverified: map has 35 mph (one Mapillary sign); is it 35 (LSV OK) or 40+?</t>
        </is>
      </c>
      <c r="Y422" t="inlineStr"/>
      <c r="Z422" t="n">
        <v>4064</v>
      </c>
      <c r="AA422" t="inlineStr">
        <is>
          <t>sd</t>
        </is>
      </c>
      <c r="AB422" t="inlineStr">
        <is>
          <t>sd|33.00425,-117.22308</t>
        </is>
      </c>
    </row>
    <row r="423">
      <c r="A423" t="inlineStr">
        <is>
          <t>SD-B2-422</t>
        </is>
      </c>
      <c r="B423" t="inlineStr">
        <is>
          <t>San Diego area</t>
        </is>
      </c>
      <c r="C423" t="inlineStr">
        <is>
          <t>Willowspring Drive North</t>
        </is>
      </c>
      <c r="D423" t="inlineStr">
        <is>
          <t>Glen Arbor Drive</t>
        </is>
      </c>
      <c r="E423" t="inlineStr">
        <is>
          <t>Garden View Road</t>
        </is>
      </c>
      <c r="F423" t="inlineStr">
        <is>
          <t>5978221</t>
        </is>
      </c>
      <c r="G423" t="n">
        <v>25</v>
      </c>
      <c r="H423" t="inlineStr">
        <is>
          <t>tag</t>
        </is>
      </c>
      <c r="I423" t="inlineStr">
        <is>
          <t>cart+LSV</t>
        </is>
      </c>
      <c r="J423" t="inlineStr">
        <is>
          <t>https://www.google.com/maps/@?api=1&amp;map_action=pano&amp;viewpoint=33.058400,-117.245220&amp;heading=304</t>
        </is>
      </c>
      <c r="K423" t="inlineStr">
        <is>
          <t>https://www.google.com/maps/search/?api=1&amp;query=33.058400,-117.245220</t>
        </is>
      </c>
      <c r="L423" t="inlineStr"/>
      <c r="M423" t="inlineStr"/>
      <c r="N423" t="inlineStr"/>
      <c r="O423" t="inlineStr"/>
      <c r="P423" t="inlineStr">
        <is>
          <t>pending</t>
        </is>
      </c>
      <c r="Q423" t="inlineStr"/>
      <c r="R423" t="inlineStr"/>
      <c r="S423" t="inlineStr"/>
      <c r="T423" t="inlineStr"/>
      <c r="U423" t="inlineStr"/>
      <c r="V423">
        <f>IF(OR(L423="",S423=""),"",IF(VALUE(L423)=VALUE(S423),"Y","N"))</f>
        <v/>
      </c>
      <c r="W423">
        <f>IF(V423="Y",S423,"")</f>
        <v/>
      </c>
      <c r="X423" t="inlineStr">
        <is>
          <t>unverified: map has 25 mph (OSM tag only); is it 25 (carts OK) or 30+?</t>
        </is>
      </c>
      <c r="Y423" t="inlineStr"/>
      <c r="Z423" t="n">
        <v>2930</v>
      </c>
      <c r="AA423" t="inlineStr">
        <is>
          <t>sd</t>
        </is>
      </c>
      <c r="AB423" t="inlineStr">
        <is>
          <t>sd|33.05840,-117.24522</t>
        </is>
      </c>
    </row>
    <row r="424">
      <c r="A424" t="inlineStr">
        <is>
          <t>SD-B2-423</t>
        </is>
      </c>
      <c r="B424" t="inlineStr">
        <is>
          <t>San Diego area</t>
        </is>
      </c>
      <c r="C424" t="inlineStr">
        <is>
          <t>Batiquitos Drive</t>
        </is>
      </c>
      <c r="D424" t="inlineStr">
        <is>
          <t>Kestrel Drive</t>
        </is>
      </c>
      <c r="E424" t="inlineStr">
        <is>
          <t>Golden Star Lane</t>
        </is>
      </c>
      <c r="F424" t="inlineStr">
        <is>
          <t>633719212</t>
        </is>
      </c>
      <c r="G424" t="n">
        <v>40</v>
      </c>
      <c r="H424" t="inlineStr">
        <is>
          <t>tag</t>
        </is>
      </c>
      <c r="I424" t="inlineStr">
        <is>
          <t>no</t>
        </is>
      </c>
      <c r="J424" t="inlineStr">
        <is>
          <t>https://www.google.com/maps/@?api=1&amp;map_action=pano&amp;viewpoint=33.094180,-117.294540&amp;heading=141</t>
        </is>
      </c>
      <c r="K424" t="inlineStr">
        <is>
          <t>https://www.google.com/maps/search/?api=1&amp;query=33.094180,-117.294540</t>
        </is>
      </c>
      <c r="L424" t="inlineStr"/>
      <c r="M424" t="inlineStr"/>
      <c r="N424" t="inlineStr"/>
      <c r="O424" t="inlineStr"/>
      <c r="P424" t="inlineStr">
        <is>
          <t>pending</t>
        </is>
      </c>
      <c r="Q424" t="inlineStr"/>
      <c r="R424" t="inlineStr"/>
      <c r="S424" t="inlineStr"/>
      <c r="T424" t="inlineStr"/>
      <c r="U424" t="inlineStr"/>
      <c r="V424">
        <f>IF(OR(L424="",S424=""),"",IF(VALUE(L424)=VALUE(S424),"Y","N"))</f>
        <v/>
      </c>
      <c r="W424">
        <f>IF(V424="Y",S424,"")</f>
        <v/>
      </c>
      <c r="X424" t="inlineStr">
        <is>
          <t>unverified: map has 40 mph (OSM tag only); is it 35 (LSV OK) or 40+?</t>
        </is>
      </c>
      <c r="Y424" t="inlineStr"/>
      <c r="Z424" t="n">
        <v>4651</v>
      </c>
      <c r="AA424" t="inlineStr">
        <is>
          <t>sd</t>
        </is>
      </c>
      <c r="AB424" t="inlineStr">
        <is>
          <t>sd|33.09418,-117.29454</t>
        </is>
      </c>
    </row>
    <row r="425">
      <c r="A425" t="inlineStr">
        <is>
          <t>SD-B2-424</t>
        </is>
      </c>
      <c r="B425" t="inlineStr">
        <is>
          <t>San Diego area</t>
        </is>
      </c>
      <c r="C425" t="inlineStr">
        <is>
          <t>La Costa Avenue</t>
        </is>
      </c>
      <c r="D425" t="inlineStr">
        <is>
          <t>Calle Pera</t>
        </is>
      </c>
      <c r="E425" t="inlineStr">
        <is>
          <t>Camino de Los Coches</t>
        </is>
      </c>
      <c r="F425" t="inlineStr">
        <is>
          <t>436456816</t>
        </is>
      </c>
      <c r="G425" t="n">
        <v>35</v>
      </c>
      <c r="H425" t="inlineStr">
        <is>
          <t>tag</t>
        </is>
      </c>
      <c r="I425" t="inlineStr">
        <is>
          <t>LSV</t>
        </is>
      </c>
      <c r="J425" t="inlineStr">
        <is>
          <t>https://www.google.com/maps/@?api=1&amp;map_action=pano&amp;viewpoint=33.079740,-117.233880&amp;heading=116</t>
        </is>
      </c>
      <c r="K425" t="inlineStr">
        <is>
          <t>https://www.google.com/maps/search/?api=1&amp;query=33.079740,-117.233880</t>
        </is>
      </c>
      <c r="L425" t="inlineStr"/>
      <c r="M425" t="inlineStr"/>
      <c r="N425" t="inlineStr"/>
      <c r="O425" t="inlineStr"/>
      <c r="P425" t="inlineStr">
        <is>
          <t>pending</t>
        </is>
      </c>
      <c r="Q425" t="inlineStr"/>
      <c r="R425" t="inlineStr"/>
      <c r="S425" t="inlineStr"/>
      <c r="T425" t="inlineStr"/>
      <c r="U425" t="inlineStr"/>
      <c r="V425">
        <f>IF(OR(L425="",S425=""),"",IF(VALUE(L425)=VALUE(S425),"Y","N"))</f>
        <v/>
      </c>
      <c r="W425">
        <f>IF(V425="Y",S425,"")</f>
        <v/>
      </c>
      <c r="X425" t="inlineStr">
        <is>
          <t>unverified: map has 35 mph (OSM tag only); is it 35 (LSV OK) or 40+?</t>
        </is>
      </c>
      <c r="Y425" t="inlineStr"/>
      <c r="Z425" t="n">
        <v>1738</v>
      </c>
      <c r="AA425" t="inlineStr">
        <is>
          <t>sd</t>
        </is>
      </c>
      <c r="AB425" t="inlineStr">
        <is>
          <t>sd|33.07974,-117.23388</t>
        </is>
      </c>
    </row>
    <row r="426">
      <c r="A426" t="inlineStr">
        <is>
          <t>SD-B2-425</t>
        </is>
      </c>
      <c r="B426" t="inlineStr">
        <is>
          <t>San Diego area</t>
        </is>
      </c>
      <c r="C426" t="inlineStr">
        <is>
          <t>El Fuerte Street</t>
        </is>
      </c>
      <c r="D426" t="inlineStr">
        <is>
          <t>Babilonia Street</t>
        </is>
      </c>
      <c r="E426" t="inlineStr">
        <is>
          <t>Poinsettia Lane</t>
        </is>
      </c>
      <c r="F426" t="inlineStr">
        <is>
          <t>6037854</t>
        </is>
      </c>
      <c r="G426" t="n">
        <v>45</v>
      </c>
      <c r="H426" t="inlineStr">
        <is>
          <t>tag</t>
        </is>
      </c>
      <c r="I426" t="inlineStr">
        <is>
          <t>no</t>
        </is>
      </c>
      <c r="J426" t="inlineStr">
        <is>
          <t>https://www.google.com/maps/@?api=1&amp;map_action=pano&amp;viewpoint=33.112730,-117.245710&amp;heading=305</t>
        </is>
      </c>
      <c r="K426" t="inlineStr">
        <is>
          <t>https://www.google.com/maps/search/?api=1&amp;query=33.112730,-117.245710</t>
        </is>
      </c>
      <c r="L426" t="inlineStr"/>
      <c r="M426" t="inlineStr"/>
      <c r="N426" t="inlineStr"/>
      <c r="O426" t="inlineStr"/>
      <c r="P426" t="inlineStr">
        <is>
          <t>pending</t>
        </is>
      </c>
      <c r="Q426" t="inlineStr"/>
      <c r="R426" t="inlineStr"/>
      <c r="S426" t="inlineStr"/>
      <c r="T426" t="inlineStr"/>
      <c r="U426" t="inlineStr"/>
      <c r="V426">
        <f>IF(OR(L426="",S426=""),"",IF(VALUE(L426)=VALUE(S426),"Y","N"))</f>
        <v/>
      </c>
      <c r="W426">
        <f>IF(V426="Y",S426,"")</f>
        <v/>
      </c>
      <c r="X426" t="inlineStr">
        <is>
          <t>unverified: map has 45 mph (OSM tag only); main road: what is posted? 35 or lower opens it to LSVs</t>
        </is>
      </c>
      <c r="Y426" t="inlineStr"/>
      <c r="Z426" t="n">
        <v>5130</v>
      </c>
      <c r="AA426" t="inlineStr">
        <is>
          <t>sd</t>
        </is>
      </c>
      <c r="AB426" t="inlineStr">
        <is>
          <t>sd|33.11273,-117.24571</t>
        </is>
      </c>
    </row>
    <row r="427">
      <c r="A427" t="inlineStr">
        <is>
          <t>SD-B2-426</t>
        </is>
      </c>
      <c r="B427" t="inlineStr">
        <is>
          <t>San Diego area</t>
        </is>
      </c>
      <c r="C427" t="inlineStr">
        <is>
          <t>Alicante Road</t>
        </is>
      </c>
      <c r="D427" t="inlineStr">
        <is>
          <t>(see map link)</t>
        </is>
      </c>
      <c r="E427" t="inlineStr">
        <is>
          <t>Galena Avenue</t>
        </is>
      </c>
      <c r="F427" t="inlineStr">
        <is>
          <t>1238460758</t>
        </is>
      </c>
      <c r="G427" t="n">
        <v>45</v>
      </c>
      <c r="H427" t="inlineStr">
        <is>
          <t>tag</t>
        </is>
      </c>
      <c r="I427" t="inlineStr">
        <is>
          <t>no</t>
        </is>
      </c>
      <c r="J427" t="inlineStr">
        <is>
          <t>https://www.google.com/maps/@?api=1&amp;map_action=pano&amp;viewpoint=33.094440,-117.258930&amp;heading=161</t>
        </is>
      </c>
      <c r="K427" t="inlineStr">
        <is>
          <t>https://www.google.com/maps/search/?api=1&amp;query=33.094440,-117.258930</t>
        </is>
      </c>
      <c r="L427" t="inlineStr"/>
      <c r="M427" t="inlineStr"/>
      <c r="N427" t="inlineStr"/>
      <c r="O427" t="inlineStr"/>
      <c r="P427" t="inlineStr">
        <is>
          <t>pending</t>
        </is>
      </c>
      <c r="Q427" t="inlineStr"/>
      <c r="R427" t="inlineStr"/>
      <c r="S427" t="inlineStr"/>
      <c r="T427" t="inlineStr"/>
      <c r="U427" t="inlineStr"/>
      <c r="V427">
        <f>IF(OR(L427="",S427=""),"",IF(VALUE(L427)=VALUE(S427),"Y","N"))</f>
        <v/>
      </c>
      <c r="W427">
        <f>IF(V427="Y",S427,"")</f>
        <v/>
      </c>
      <c r="X427" t="inlineStr">
        <is>
          <t>unverified: map has 45 mph (OSM tag only); main road: what is posted? 35 or lower opens it to LSVs</t>
        </is>
      </c>
      <c r="Y427" t="inlineStr"/>
      <c r="Z427" t="n">
        <v>1949</v>
      </c>
      <c r="AA427" t="inlineStr">
        <is>
          <t>sd</t>
        </is>
      </c>
      <c r="AB427" t="inlineStr">
        <is>
          <t>sd|33.09444,-117.25893</t>
        </is>
      </c>
    </row>
    <row r="428">
      <c r="A428" t="inlineStr">
        <is>
          <t>SD-B2-427</t>
        </is>
      </c>
      <c r="B428" t="inlineStr">
        <is>
          <t>San Diego area</t>
        </is>
      </c>
      <c r="C428" t="inlineStr">
        <is>
          <t>College Boulevard</t>
        </is>
      </c>
      <c r="D428" t="inlineStr">
        <is>
          <t>El Camino Real</t>
        </is>
      </c>
      <c r="E428" t="inlineStr">
        <is>
          <t>Badger Lane</t>
        </is>
      </c>
      <c r="F428" t="inlineStr">
        <is>
          <t>714479886</t>
        </is>
      </c>
      <c r="G428" t="n">
        <v>45</v>
      </c>
      <c r="H428" t="inlineStr">
        <is>
          <t>tag</t>
        </is>
      </c>
      <c r="I428" t="inlineStr">
        <is>
          <t>no</t>
        </is>
      </c>
      <c r="J428" t="inlineStr">
        <is>
          <t>https://www.google.com/maps/@?api=1&amp;map_action=pano&amp;viewpoint=33.137390,-117.284340&amp;heading=199</t>
        </is>
      </c>
      <c r="K428" t="inlineStr">
        <is>
          <t>https://www.google.com/maps/search/?api=1&amp;query=33.137390,-117.284340</t>
        </is>
      </c>
      <c r="L428" t="inlineStr"/>
      <c r="M428" t="inlineStr"/>
      <c r="N428" t="inlineStr"/>
      <c r="O428" t="inlineStr"/>
      <c r="P428" t="inlineStr">
        <is>
          <t>pending</t>
        </is>
      </c>
      <c r="Q428" t="inlineStr"/>
      <c r="R428" t="inlineStr"/>
      <c r="S428" t="inlineStr"/>
      <c r="T428" t="inlineStr"/>
      <c r="U428" t="inlineStr"/>
      <c r="V428">
        <f>IF(OR(L428="",S428=""),"",IF(VALUE(L428)=VALUE(S428),"Y","N"))</f>
        <v/>
      </c>
      <c r="W428">
        <f>IF(V428="Y",S428,"")</f>
        <v/>
      </c>
      <c r="X428" t="inlineStr">
        <is>
          <t>unverified: map has 45 mph (OSM tag only); main road: what is posted? 35 or lower opens it to LSVs</t>
        </is>
      </c>
      <c r="Y428" t="inlineStr"/>
      <c r="Z428" t="n">
        <v>1685</v>
      </c>
      <c r="AA428" t="inlineStr">
        <is>
          <t>sd</t>
        </is>
      </c>
      <c r="AB428" t="inlineStr">
        <is>
          <t>sd|33.13739,-117.28434</t>
        </is>
      </c>
    </row>
    <row r="429">
      <c r="A429" t="inlineStr">
        <is>
          <t>SD-B2-428</t>
        </is>
      </c>
      <c r="B429" t="inlineStr">
        <is>
          <t>San Diego area</t>
        </is>
      </c>
      <c r="C429" t="inlineStr">
        <is>
          <t>Alicante Road</t>
        </is>
      </c>
      <c r="D429" t="inlineStr">
        <is>
          <t>Lapis Road</t>
        </is>
      </c>
      <c r="E429" t="inlineStr">
        <is>
          <t>Pyrite Avenue</t>
        </is>
      </c>
      <c r="F429" t="inlineStr">
        <is>
          <t>180892591</t>
        </is>
      </c>
      <c r="G429" t="n">
        <v>30</v>
      </c>
      <c r="H429" t="inlineStr">
        <is>
          <t>tag</t>
        </is>
      </c>
      <c r="I429" t="inlineStr">
        <is>
          <t>LSV</t>
        </is>
      </c>
      <c r="J429" t="inlineStr">
        <is>
          <t>https://www.google.com/maps/@?api=1&amp;map_action=pano&amp;viewpoint=33.110430,-117.258010&amp;heading=178</t>
        </is>
      </c>
      <c r="K429" t="inlineStr">
        <is>
          <t>https://www.google.com/maps/search/?api=1&amp;query=33.110430,-117.258010</t>
        </is>
      </c>
      <c r="L429" t="inlineStr"/>
      <c r="M429" t="inlineStr"/>
      <c r="N429" t="inlineStr"/>
      <c r="O429" t="inlineStr"/>
      <c r="P429" t="inlineStr">
        <is>
          <t>pending</t>
        </is>
      </c>
      <c r="Q429" t="inlineStr"/>
      <c r="R429" t="inlineStr"/>
      <c r="S429" t="inlineStr"/>
      <c r="T429" t="inlineStr"/>
      <c r="U429" t="inlineStr"/>
      <c r="V429">
        <f>IF(OR(L429="",S429=""),"",IF(VALUE(L429)=VALUE(S429),"Y","N"))</f>
        <v/>
      </c>
      <c r="W429">
        <f>IF(V429="Y",S429,"")</f>
        <v/>
      </c>
      <c r="X429" t="inlineStr">
        <is>
          <t>unverified: map has 30 mph (OSM tag only); is it 25 (carts OK) or 30+?</t>
        </is>
      </c>
      <c r="Y429" t="inlineStr"/>
      <c r="Z429" t="n">
        <v>2558</v>
      </c>
      <c r="AA429" t="inlineStr">
        <is>
          <t>sd</t>
        </is>
      </c>
      <c r="AB429" t="inlineStr">
        <is>
          <t>sd|33.11043,-117.25801</t>
        </is>
      </c>
    </row>
    <row r="430">
      <c r="A430" t="inlineStr">
        <is>
          <t>SD-B2-429</t>
        </is>
      </c>
      <c r="B430" t="inlineStr">
        <is>
          <t>San Diego area</t>
        </is>
      </c>
      <c r="C430" t="inlineStr">
        <is>
          <t>Alga Road</t>
        </is>
      </c>
      <c r="D430" t="inlineStr">
        <is>
          <t>Melrose Drive</t>
        </is>
      </c>
      <c r="E430" t="inlineStr">
        <is>
          <t>Cazadero Drive</t>
        </is>
      </c>
      <c r="F430" t="inlineStr">
        <is>
          <t>435634349</t>
        </is>
      </c>
      <c r="G430" t="n">
        <v>40</v>
      </c>
      <c r="H430" t="inlineStr">
        <is>
          <t>tag</t>
        </is>
      </c>
      <c r="I430" t="inlineStr">
        <is>
          <t>no</t>
        </is>
      </c>
      <c r="J430" t="inlineStr">
        <is>
          <t>https://www.google.com/maps/@?api=1&amp;map_action=pano&amp;viewpoint=33.110560,-117.235550&amp;heading=72</t>
        </is>
      </c>
      <c r="K430" t="inlineStr">
        <is>
          <t>https://www.google.com/maps/search/?api=1&amp;query=33.110560,-117.235550</t>
        </is>
      </c>
      <c r="L430" t="inlineStr"/>
      <c r="M430" t="inlineStr"/>
      <c r="N430" t="inlineStr"/>
      <c r="O430" t="inlineStr"/>
      <c r="P430" t="inlineStr">
        <is>
          <t>pending</t>
        </is>
      </c>
      <c r="Q430" t="inlineStr"/>
      <c r="R430" t="inlineStr"/>
      <c r="S430" t="inlineStr"/>
      <c r="T430" t="inlineStr"/>
      <c r="U430" t="inlineStr"/>
      <c r="V430">
        <f>IF(OR(L430="",S430=""),"",IF(VALUE(L430)=VALUE(S430),"Y","N"))</f>
        <v/>
      </c>
      <c r="W430">
        <f>IF(V430="Y",S430,"")</f>
        <v/>
      </c>
      <c r="X430" t="inlineStr">
        <is>
          <t>unverified: map has 40 mph (OSM tag only); is it 35 (LSV OK) or 40+?</t>
        </is>
      </c>
      <c r="Y430" t="inlineStr"/>
      <c r="Z430" t="n">
        <v>2052</v>
      </c>
      <c r="AA430" t="inlineStr">
        <is>
          <t>sd</t>
        </is>
      </c>
      <c r="AB430" t="inlineStr">
        <is>
          <t>sd|33.11056,-117.23555</t>
        </is>
      </c>
    </row>
    <row r="431">
      <c r="A431" t="inlineStr">
        <is>
          <t>SD-B2-430</t>
        </is>
      </c>
      <c r="B431" t="inlineStr">
        <is>
          <t>San Diego area</t>
        </is>
      </c>
      <c r="C431" t="inlineStr">
        <is>
          <t>Neptune Avenue</t>
        </is>
      </c>
      <c r="D431" t="inlineStr">
        <is>
          <t>Daphne Street</t>
        </is>
      </c>
      <c r="E431" t="inlineStr">
        <is>
          <t>Grandview Street</t>
        </is>
      </c>
      <c r="F431" t="inlineStr">
        <is>
          <t>5978957</t>
        </is>
      </c>
      <c r="G431" t="n">
        <v>25</v>
      </c>
      <c r="H431" t="inlineStr">
        <is>
          <t>tag</t>
        </is>
      </c>
      <c r="I431" t="inlineStr">
        <is>
          <t>cart+LSV</t>
        </is>
      </c>
      <c r="J431" t="inlineStr">
        <is>
          <t>https://www.google.com/maps/@?api=1&amp;map_action=pano&amp;viewpoint=33.061910,-117.302930&amp;heading=357</t>
        </is>
      </c>
      <c r="K431" t="inlineStr">
        <is>
          <t>https://www.google.com/maps/search/?api=1&amp;query=33.061910,-117.302930</t>
        </is>
      </c>
      <c r="L431" t="inlineStr"/>
      <c r="M431" t="inlineStr"/>
      <c r="N431" t="inlineStr"/>
      <c r="O431" t="inlineStr"/>
      <c r="P431" t="inlineStr">
        <is>
          <t>pending</t>
        </is>
      </c>
      <c r="Q431" t="inlineStr"/>
      <c r="R431" t="inlineStr"/>
      <c r="S431" t="inlineStr"/>
      <c r="T431" t="inlineStr"/>
      <c r="U431" t="inlineStr"/>
      <c r="V431">
        <f>IF(OR(L431="",S431=""),"",IF(VALUE(L431)=VALUE(S431),"Y","N"))</f>
        <v/>
      </c>
      <c r="W431">
        <f>IF(V431="Y",S431,"")</f>
        <v/>
      </c>
      <c r="X431" t="inlineStr">
        <is>
          <t>unverified: map has 25 mph (OSM tag only); is it 25 (carts OK) or 30+?</t>
        </is>
      </c>
      <c r="Y431" t="inlineStr"/>
      <c r="Z431" t="n">
        <v>1745</v>
      </c>
      <c r="AA431" t="inlineStr">
        <is>
          <t>sd</t>
        </is>
      </c>
      <c r="AB431" t="inlineStr">
        <is>
          <t>sd|33.06191,-117.30293</t>
        </is>
      </c>
    </row>
    <row r="432">
      <c r="A432" t="inlineStr">
        <is>
          <t>SD-B2-431</t>
        </is>
      </c>
      <c r="B432" t="inlineStr">
        <is>
          <t>San Diego area</t>
        </is>
      </c>
      <c r="C432" t="inlineStr">
        <is>
          <t>Avenida Encinas</t>
        </is>
      </c>
      <c r="D432" t="inlineStr">
        <is>
          <t>Carlsbad Boulevard</t>
        </is>
      </c>
      <c r="E432" t="inlineStr">
        <is>
          <t>Windrose Circle</t>
        </is>
      </c>
      <c r="F432" t="inlineStr">
        <is>
          <t>838301796</t>
        </is>
      </c>
      <c r="G432" t="n">
        <v>30</v>
      </c>
      <c r="H432" t="inlineStr">
        <is>
          <t>tag</t>
        </is>
      </c>
      <c r="I432" t="inlineStr">
        <is>
          <t>LSV</t>
        </is>
      </c>
      <c r="J432" t="inlineStr">
        <is>
          <t>https://www.google.com/maps/@?api=1&amp;map_action=pano&amp;viewpoint=33.094460,-117.309980&amp;heading=220</t>
        </is>
      </c>
      <c r="K432" t="inlineStr">
        <is>
          <t>https://www.google.com/maps/search/?api=1&amp;query=33.094460,-117.309980</t>
        </is>
      </c>
      <c r="L432" t="inlineStr"/>
      <c r="M432" t="inlineStr"/>
      <c r="N432" t="inlineStr"/>
      <c r="O432" t="inlineStr"/>
      <c r="P432" t="inlineStr">
        <is>
          <t>pending</t>
        </is>
      </c>
      <c r="Q432" t="inlineStr"/>
      <c r="R432" t="inlineStr"/>
      <c r="S432" t="inlineStr"/>
      <c r="T432" t="inlineStr"/>
      <c r="U432" t="inlineStr"/>
      <c r="V432">
        <f>IF(OR(L432="",S432=""),"",IF(VALUE(L432)=VALUE(S432),"Y","N"))</f>
        <v/>
      </c>
      <c r="W432">
        <f>IF(V432="Y",S432,"")</f>
        <v/>
      </c>
      <c r="X432" t="inlineStr">
        <is>
          <t>unverified: map has 30 mph (OSM tag only); is it 25 (carts OK) or 30+?</t>
        </is>
      </c>
      <c r="Y432" t="inlineStr"/>
      <c r="Z432" t="n">
        <v>1751</v>
      </c>
      <c r="AA432" t="inlineStr">
        <is>
          <t>sd</t>
        </is>
      </c>
      <c r="AB432" t="inlineStr">
        <is>
          <t>sd|33.09446,-117.30998</t>
        </is>
      </c>
    </row>
    <row r="433">
      <c r="A433" t="inlineStr">
        <is>
          <t>SD-B2-432</t>
        </is>
      </c>
      <c r="B433" t="inlineStr">
        <is>
          <t>San Diego area</t>
        </is>
      </c>
      <c r="C433" t="inlineStr">
        <is>
          <t>South Pacific Street</t>
        </is>
      </c>
      <c r="D433" t="inlineStr">
        <is>
          <t>North Pacific Street</t>
        </is>
      </c>
      <c r="E433" t="inlineStr">
        <is>
          <t>Witherby Street</t>
        </is>
      </c>
      <c r="F433" t="inlineStr">
        <is>
          <t>1019586783</t>
        </is>
      </c>
      <c r="G433" t="n">
        <v>25</v>
      </c>
      <c r="H433" t="inlineStr">
        <is>
          <t>mapillary</t>
        </is>
      </c>
      <c r="I433" t="inlineStr">
        <is>
          <t>cart+LSV</t>
        </is>
      </c>
      <c r="J433" t="inlineStr">
        <is>
          <t>https://www.google.com/maps/@?api=1&amp;map_action=pano&amp;viewpoint=33.178135,-117.369855&amp;heading=145</t>
        </is>
      </c>
      <c r="K433" t="inlineStr">
        <is>
          <t>https://www.google.com/maps/search/?api=1&amp;query=33.178135,-117.369855</t>
        </is>
      </c>
      <c r="L433" t="inlineStr"/>
      <c r="M433" t="inlineStr"/>
      <c r="N433" t="inlineStr"/>
      <c r="O433" t="inlineStr"/>
      <c r="P433" t="inlineStr">
        <is>
          <t>pending</t>
        </is>
      </c>
      <c r="Q433" t="inlineStr"/>
      <c r="R433" t="inlineStr"/>
      <c r="S433" t="inlineStr"/>
      <c r="T433" t="inlineStr">
        <is>
          <t>Mapillary: 1 posted 25 mph sign(s) detected</t>
        </is>
      </c>
      <c r="U433" t="inlineStr">
        <is>
          <t>https://www.mapillary.com/app/?lat=33.180890&amp;lng=-117.372200&amp;z=19&amp;focus=map&amp;mapFeatureId=1303062174065960</t>
        </is>
      </c>
      <c r="V433">
        <f>IF(OR(L433="",S433=""),"",IF(VALUE(L433)=VALUE(S433),"Y","N"))</f>
        <v/>
      </c>
      <c r="W433">
        <f>IF(V433="Y",S433,"")</f>
        <v/>
      </c>
      <c r="X433" t="inlineStr">
        <is>
          <t>unverified: map has 25 mph (one Mapillary sign); is it 25 (carts OK) or 30+?</t>
        </is>
      </c>
      <c r="Y433" t="inlineStr"/>
      <c r="Z433" t="n">
        <v>2151</v>
      </c>
      <c r="AA433" t="inlineStr">
        <is>
          <t>sd</t>
        </is>
      </c>
      <c r="AB433" t="inlineStr">
        <is>
          <t>sd|33.17813,-117.36986</t>
        </is>
      </c>
    </row>
    <row r="434">
      <c r="A434" t="inlineStr">
        <is>
          <t>SD-B2-433</t>
        </is>
      </c>
      <c r="B434" t="inlineStr">
        <is>
          <t>San Diego area</t>
        </is>
      </c>
      <c r="C434" t="inlineStr">
        <is>
          <t>Mesa Drive</t>
        </is>
      </c>
      <c r="D434" t="inlineStr">
        <is>
          <t>Amick Street</t>
        </is>
      </c>
      <c r="E434" t="inlineStr">
        <is>
          <t>Parnassus Circle</t>
        </is>
      </c>
      <c r="F434" t="inlineStr">
        <is>
          <t>663541677</t>
        </is>
      </c>
      <c r="G434" t="n">
        <v>30</v>
      </c>
      <c r="H434" t="inlineStr">
        <is>
          <t>mapillary</t>
        </is>
      </c>
      <c r="I434" t="inlineStr">
        <is>
          <t>LSV</t>
        </is>
      </c>
      <c r="J434" t="inlineStr">
        <is>
          <t>https://www.google.com/maps/@?api=1&amp;map_action=pano&amp;viewpoint=33.204430,-117.350960&amp;heading=120</t>
        </is>
      </c>
      <c r="K434" t="inlineStr">
        <is>
          <t>https://www.google.com/maps/search/?api=1&amp;query=33.204430,-117.350960</t>
        </is>
      </c>
      <c r="L434" t="inlineStr"/>
      <c r="M434" t="inlineStr"/>
      <c r="N434" t="inlineStr"/>
      <c r="O434" t="inlineStr"/>
      <c r="P434" t="inlineStr">
        <is>
          <t>pending</t>
        </is>
      </c>
      <c r="Q434" t="inlineStr"/>
      <c r="R434" t="inlineStr"/>
      <c r="S434" t="inlineStr"/>
      <c r="T434" t="inlineStr">
        <is>
          <t>Mapillary: 3 posted 30 mph sign(s) detected</t>
        </is>
      </c>
      <c r="U434" t="inlineStr">
        <is>
          <t>https://www.mapillary.com/app/?lat=33.204147&amp;lng=-117.349890&amp;z=19&amp;focus=map&amp;mapFeatureId=1511704279197360</t>
        </is>
      </c>
      <c r="V434">
        <f>IF(OR(L434="",S434=""),"",IF(VALUE(L434)=VALUE(S434),"Y","N"))</f>
        <v/>
      </c>
      <c r="W434">
        <f>IF(V434="Y",S434,"")</f>
        <v/>
      </c>
      <c r="X434" t="inlineStr">
        <is>
          <t>unverified: map has 30 mph (one Mapillary sign); is it 25 (carts OK) or 30+?</t>
        </is>
      </c>
      <c r="Y434" t="inlineStr"/>
      <c r="Z434" t="n">
        <v>1567</v>
      </c>
      <c r="AA434" t="inlineStr">
        <is>
          <t>sd</t>
        </is>
      </c>
      <c r="AB434" t="inlineStr">
        <is>
          <t>sd|33.20443,-117.35096</t>
        </is>
      </c>
    </row>
    <row r="435">
      <c r="A435" t="inlineStr">
        <is>
          <t>SD-B2-434</t>
        </is>
      </c>
      <c r="B435" t="inlineStr">
        <is>
          <t>San Diego area</t>
        </is>
      </c>
      <c r="C435" t="inlineStr">
        <is>
          <t>West Grape Street</t>
        </is>
      </c>
      <c r="D435" t="inlineStr">
        <is>
          <t>Albatross Street</t>
        </is>
      </c>
      <c r="E435" t="inlineStr">
        <is>
          <t>North Harbor Drive</t>
        </is>
      </c>
      <c r="F435" t="inlineStr">
        <is>
          <t>1346634423</t>
        </is>
      </c>
      <c r="G435" t="inlineStr"/>
      <c r="H435" t="inlineStr">
        <is>
          <t>inferred</t>
        </is>
      </c>
      <c r="I435" t="inlineStr">
        <is>
          <t>no</t>
        </is>
      </c>
      <c r="J435" t="inlineStr">
        <is>
          <t>https://www.google.com/maps/@?api=1&amp;map_action=pano&amp;viewpoint=32.725540,-117.168595&amp;heading=70</t>
        </is>
      </c>
      <c r="K435" t="inlineStr">
        <is>
          <t>https://www.google.com/maps/search/?api=1&amp;query=32.725540,-117.168595</t>
        </is>
      </c>
      <c r="L435" t="inlineStr"/>
      <c r="M435" t="inlineStr"/>
      <c r="N435" t="inlineStr"/>
      <c r="O435" t="inlineStr"/>
      <c r="P435" t="inlineStr">
        <is>
          <t>pending</t>
        </is>
      </c>
      <c r="Q435" t="inlineStr"/>
      <c r="R435" t="inlineStr"/>
      <c r="S435" t="inlineStr"/>
      <c r="T435" t="inlineStr"/>
      <c r="U435" t="inlineStr"/>
      <c r="V435">
        <f>IF(OR(L435="",S435=""),"",IF(VALUE(L435)=VALUE(S435),"Y","N"))</f>
        <v/>
      </c>
      <c r="W435">
        <f>IF(V435="Y",S435,"")</f>
        <v/>
      </c>
      <c r="X435" t="inlineStr">
        <is>
          <t>unverified: map has no limit (guessed from road type); main road: what is posted? 35 or lower opens it to LSVs</t>
        </is>
      </c>
      <c r="Y435" t="inlineStr"/>
      <c r="Z435" t="n">
        <v>922</v>
      </c>
      <c r="AA435" t="inlineStr">
        <is>
          <t>sd</t>
        </is>
      </c>
      <c r="AB435" t="inlineStr">
        <is>
          <t>sd|32.72554,-117.16860</t>
        </is>
      </c>
    </row>
    <row r="436">
      <c r="A436" t="inlineStr">
        <is>
          <t>SD-B2-435</t>
        </is>
      </c>
      <c r="B436" t="inlineStr">
        <is>
          <t>San Diego area</t>
        </is>
      </c>
      <c r="C436" t="inlineStr">
        <is>
          <t>West Ash Street</t>
        </is>
      </c>
      <c r="D436" t="inlineStr">
        <is>
          <t>Pacific Highway</t>
        </is>
      </c>
      <c r="E436" t="inlineStr">
        <is>
          <t>North Harbor Drive</t>
        </is>
      </c>
      <c r="F436" t="inlineStr">
        <is>
          <t>642751752</t>
        </is>
      </c>
      <c r="G436" t="inlineStr"/>
      <c r="H436" t="inlineStr">
        <is>
          <t>inferred</t>
        </is>
      </c>
      <c r="I436" t="inlineStr">
        <is>
          <t>no</t>
        </is>
      </c>
      <c r="J436" t="inlineStr">
        <is>
          <t>https://www.google.com/maps/@?api=1&amp;map_action=pano&amp;viewpoint=32.719815,-117.170310&amp;heading=89</t>
        </is>
      </c>
      <c r="K436" t="inlineStr">
        <is>
          <t>https://www.google.com/maps/search/?api=1&amp;query=32.719815,-117.170310</t>
        </is>
      </c>
      <c r="L436" t="inlineStr"/>
      <c r="M436" t="inlineStr"/>
      <c r="N436" t="inlineStr"/>
      <c r="O436" t="inlineStr"/>
      <c r="P436" t="inlineStr">
        <is>
          <t>pending</t>
        </is>
      </c>
      <c r="Q436" t="inlineStr"/>
      <c r="R436" t="inlineStr"/>
      <c r="S436" t="inlineStr"/>
      <c r="T436" t="inlineStr"/>
      <c r="U436" t="inlineStr"/>
      <c r="V436">
        <f>IF(OR(L436="",S436=""),"",IF(VALUE(L436)=VALUE(S436),"Y","N"))</f>
        <v/>
      </c>
      <c r="W436">
        <f>IF(V436="Y",S436,"")</f>
        <v/>
      </c>
      <c r="X436" t="inlineStr">
        <is>
          <t>unverified: map has no limit (guessed from road type); main road: what is posted? 35 or lower opens it to LSVs</t>
        </is>
      </c>
      <c r="Y436" t="inlineStr"/>
      <c r="Z436" t="n">
        <v>917</v>
      </c>
      <c r="AA436" t="inlineStr">
        <is>
          <t>sd</t>
        </is>
      </c>
      <c r="AB436" t="inlineStr">
        <is>
          <t>sd|32.71981,-117.17031</t>
        </is>
      </c>
    </row>
    <row r="437">
      <c r="A437" t="inlineStr">
        <is>
          <t>SD-B2-436</t>
        </is>
      </c>
      <c r="B437" t="inlineStr">
        <is>
          <t>San Diego area</t>
        </is>
      </c>
      <c r="C437" t="inlineStr">
        <is>
          <t>Elm Avenue</t>
        </is>
      </c>
      <c r="D437" t="inlineStr">
        <is>
          <t>(see map link)</t>
        </is>
      </c>
      <c r="E437" t="inlineStr">
        <is>
          <t>7th Street</t>
        </is>
      </c>
      <c r="F437" t="inlineStr">
        <is>
          <t>1347739869</t>
        </is>
      </c>
      <c r="G437" t="n">
        <v>25</v>
      </c>
      <c r="H437" t="inlineStr">
        <is>
          <t>inferred</t>
        </is>
      </c>
      <c r="I437" t="inlineStr">
        <is>
          <t>cart+LSV</t>
        </is>
      </c>
      <c r="J437" t="inlineStr">
        <is>
          <t>https://www.google.com/maps/@?api=1&amp;map_action=pano&amp;viewpoint=32.580700,-117.110005&amp;heading=90</t>
        </is>
      </c>
      <c r="K437" t="inlineStr">
        <is>
          <t>https://www.google.com/maps/search/?api=1&amp;query=32.580700,-117.110005</t>
        </is>
      </c>
      <c r="L437" t="inlineStr"/>
      <c r="M437" t="inlineStr"/>
      <c r="N437" t="inlineStr"/>
      <c r="O437" t="inlineStr"/>
      <c r="P437" t="inlineStr">
        <is>
          <t>pending</t>
        </is>
      </c>
      <c r="Q437" t="inlineStr"/>
      <c r="R437" t="inlineStr"/>
      <c r="S437" t="inlineStr"/>
      <c r="T437" t="inlineStr"/>
      <c r="U437" t="inlineStr"/>
      <c r="V437">
        <f>IF(OR(L437="",S437=""),"",IF(VALUE(L437)=VALUE(S437),"Y","N"))</f>
        <v/>
      </c>
      <c r="W437">
        <f>IF(V437="Y",S437,"")</f>
        <v/>
      </c>
      <c r="X437" t="inlineStr">
        <is>
          <t>unverified: map has 25 mph (guessed from road type); is it 25 (carts OK) or 30+?</t>
        </is>
      </c>
      <c r="Y437" t="inlineStr"/>
      <c r="Z437" t="n">
        <v>1145</v>
      </c>
      <c r="AA437" t="inlineStr">
        <is>
          <t>sd</t>
        </is>
      </c>
      <c r="AB437" t="inlineStr">
        <is>
          <t>sd|32.58070,-117.11001</t>
        </is>
      </c>
    </row>
    <row r="438">
      <c r="A438" t="inlineStr">
        <is>
          <t>SD-B2-437</t>
        </is>
      </c>
      <c r="B438" t="inlineStr">
        <is>
          <t>San Diego area</t>
        </is>
      </c>
      <c r="C438" t="inlineStr">
        <is>
          <t>Glen Arbor Drive</t>
        </is>
      </c>
      <c r="D438" t="inlineStr">
        <is>
          <t>Garden View Road</t>
        </is>
      </c>
      <c r="E438" t="inlineStr">
        <is>
          <t>Willowspring Drive North</t>
        </is>
      </c>
      <c r="F438" t="inlineStr">
        <is>
          <t>5976091</t>
        </is>
      </c>
      <c r="G438" t="n">
        <v>25</v>
      </c>
      <c r="H438" t="inlineStr">
        <is>
          <t>tag</t>
        </is>
      </c>
      <c r="I438" t="inlineStr">
        <is>
          <t>cart+LSV</t>
        </is>
      </c>
      <c r="J438" t="inlineStr">
        <is>
          <t>https://www.google.com/maps/@?api=1&amp;map_action=pano&amp;viewpoint=33.058350,-117.250640&amp;heading=93</t>
        </is>
      </c>
      <c r="K438" t="inlineStr">
        <is>
          <t>https://www.google.com/maps/search/?api=1&amp;query=33.058350,-117.250640</t>
        </is>
      </c>
      <c r="L438" t="inlineStr"/>
      <c r="M438" t="inlineStr"/>
      <c r="N438" t="inlineStr"/>
      <c r="O438" t="inlineStr"/>
      <c r="P438" t="inlineStr">
        <is>
          <t>pending</t>
        </is>
      </c>
      <c r="Q438" t="inlineStr"/>
      <c r="R438" t="inlineStr"/>
      <c r="S438" t="inlineStr"/>
      <c r="T438" t="inlineStr"/>
      <c r="U438" t="inlineStr"/>
      <c r="V438">
        <f>IF(OR(L438="",S438=""),"",IF(VALUE(L438)=VALUE(S438),"Y","N"))</f>
        <v/>
      </c>
      <c r="W438">
        <f>IF(V438="Y",S438,"")</f>
        <v/>
      </c>
      <c r="X438" t="inlineStr">
        <is>
          <t>unverified: map has 25 mph (OSM tag only); is it 25 (carts OK) or 30+?</t>
        </is>
      </c>
      <c r="Y438" t="inlineStr"/>
      <c r="Z438" t="n">
        <v>1191</v>
      </c>
      <c r="AA438" t="inlineStr">
        <is>
          <t>sd</t>
        </is>
      </c>
      <c r="AB438" t="inlineStr">
        <is>
          <t>sd|33.05835,-117.25064</t>
        </is>
      </c>
    </row>
    <row r="439">
      <c r="A439" t="inlineStr">
        <is>
          <t>SD-B2-438</t>
        </is>
      </c>
      <c r="B439" t="inlineStr">
        <is>
          <t>San Diego area</t>
        </is>
      </c>
      <c r="C439" t="inlineStr">
        <is>
          <t>Calla Avenue</t>
        </is>
      </c>
      <c r="D439" t="inlineStr">
        <is>
          <t>9th Street</t>
        </is>
      </c>
      <c r="E439" t="inlineStr">
        <is>
          <t>7th Street</t>
        </is>
      </c>
      <c r="F439" t="inlineStr">
        <is>
          <t>6017408</t>
        </is>
      </c>
      <c r="G439" t="n">
        <v>25</v>
      </c>
      <c r="H439" t="inlineStr">
        <is>
          <t>inferred</t>
        </is>
      </c>
      <c r="I439" t="inlineStr">
        <is>
          <t>cart+LSV</t>
        </is>
      </c>
      <c r="J439" t="inlineStr">
        <is>
          <t>https://www.google.com/maps/@?api=1&amp;map_action=pano&amp;viewpoint=32.585485,-117.111225&amp;heading=91</t>
        </is>
      </c>
      <c r="K439" t="inlineStr">
        <is>
          <t>https://www.google.com/maps/search/?api=1&amp;query=32.585485,-117.111225</t>
        </is>
      </c>
      <c r="L439" t="inlineStr"/>
      <c r="M439" t="inlineStr"/>
      <c r="N439" t="inlineStr"/>
      <c r="O439" t="inlineStr"/>
      <c r="P439" t="inlineStr">
        <is>
          <t>pending</t>
        </is>
      </c>
      <c r="Q439" t="inlineStr"/>
      <c r="R439" t="inlineStr"/>
      <c r="S439" t="inlineStr"/>
      <c r="T439" t="inlineStr"/>
      <c r="U439" t="inlineStr"/>
      <c r="V439">
        <f>IF(OR(L439="",S439=""),"",IF(VALUE(L439)=VALUE(S439),"Y","N"))</f>
        <v/>
      </c>
      <c r="W439">
        <f>IF(V439="Y",S439,"")</f>
        <v/>
      </c>
      <c r="X439" t="inlineStr">
        <is>
          <t>unverified: map has 25 mph (guessed from road type); is it 25 (carts OK) or 30+?</t>
        </is>
      </c>
      <c r="Y439" t="inlineStr"/>
      <c r="Z439" t="n">
        <v>1145</v>
      </c>
      <c r="AA439" t="inlineStr">
        <is>
          <t>sd</t>
        </is>
      </c>
      <c r="AB439" t="inlineStr">
        <is>
          <t>sd|32.58548,-117.11123</t>
        </is>
      </c>
    </row>
    <row r="440">
      <c r="A440" t="inlineStr">
        <is>
          <t>SD-B2-439</t>
        </is>
      </c>
      <c r="B440" t="inlineStr">
        <is>
          <t>San Diego area</t>
        </is>
      </c>
      <c r="C440" t="inlineStr">
        <is>
          <t>Old El Camino Real</t>
        </is>
      </c>
      <c r="D440" t="inlineStr">
        <is>
          <t>(see map link)</t>
        </is>
      </c>
      <c r="E440" t="inlineStr">
        <is>
          <t>Torrey Hill Lane</t>
        </is>
      </c>
      <c r="F440" t="inlineStr">
        <is>
          <t>1342238301</t>
        </is>
      </c>
      <c r="G440" t="n">
        <v>30</v>
      </c>
      <c r="H440" t="inlineStr">
        <is>
          <t>tag</t>
        </is>
      </c>
      <c r="I440" t="inlineStr">
        <is>
          <t>LSV</t>
        </is>
      </c>
      <c r="J440" t="inlineStr">
        <is>
          <t>https://www.google.com/maps/@?api=1&amp;map_action=pano&amp;viewpoint=32.973570,-117.231650&amp;heading=17</t>
        </is>
      </c>
      <c r="K440" t="inlineStr">
        <is>
          <t>https://www.google.com/maps/search/?api=1&amp;query=32.973570,-117.231650</t>
        </is>
      </c>
      <c r="L440" t="inlineStr"/>
      <c r="M440" t="inlineStr"/>
      <c r="N440" t="inlineStr"/>
      <c r="O440" t="inlineStr"/>
      <c r="P440" t="inlineStr">
        <is>
          <t>pending</t>
        </is>
      </c>
      <c r="Q440" t="inlineStr"/>
      <c r="R440" t="inlineStr"/>
      <c r="S440" t="inlineStr"/>
      <c r="T440" t="inlineStr"/>
      <c r="U440" t="inlineStr"/>
      <c r="V440">
        <f>IF(OR(L440="",S440=""),"",IF(VALUE(L440)=VALUE(S440),"Y","N"))</f>
        <v/>
      </c>
      <c r="W440">
        <f>IF(V440="Y",S440,"")</f>
        <v/>
      </c>
      <c r="X440" t="inlineStr">
        <is>
          <t>unverified: map has 30 mph (OSM tag only); is it 25 (carts OK) or 30+?</t>
        </is>
      </c>
      <c r="Y440" t="inlineStr"/>
      <c r="Z440" t="n">
        <v>1486</v>
      </c>
      <c r="AA440" t="inlineStr">
        <is>
          <t>sd</t>
        </is>
      </c>
      <c r="AB440" t="inlineStr">
        <is>
          <t>sd|32.97357,-117.23165</t>
        </is>
      </c>
    </row>
    <row r="441">
      <c r="A441" t="inlineStr">
        <is>
          <t>SD-B2-440</t>
        </is>
      </c>
      <c r="B441" t="inlineStr">
        <is>
          <t>San Diego area</t>
        </is>
      </c>
      <c r="C441" t="inlineStr">
        <is>
          <t>Valley Street</t>
        </is>
      </c>
      <c r="D441" t="inlineStr">
        <is>
          <t>Carlsbad Village Drive</t>
        </is>
      </c>
      <c r="E441" t="inlineStr">
        <is>
          <t>Tamarack Avenue</t>
        </is>
      </c>
      <c r="F441" t="inlineStr">
        <is>
          <t>1460640649</t>
        </is>
      </c>
      <c r="G441" t="n">
        <v>25</v>
      </c>
      <c r="H441" t="inlineStr">
        <is>
          <t>tag</t>
        </is>
      </c>
      <c r="I441" t="inlineStr">
        <is>
          <t>cart+LSV</t>
        </is>
      </c>
      <c r="J441" t="inlineStr">
        <is>
          <t>https://www.google.com/maps/@?api=1&amp;map_action=pano&amp;viewpoint=33.159870,-117.329205&amp;heading=151</t>
        </is>
      </c>
      <c r="K441" t="inlineStr">
        <is>
          <t>https://www.google.com/maps/search/?api=1&amp;query=33.159870,-117.329205</t>
        </is>
      </c>
      <c r="L441" t="inlineStr"/>
      <c r="M441" t="inlineStr"/>
      <c r="N441" t="inlineStr"/>
      <c r="O441" t="inlineStr"/>
      <c r="P441" t="inlineStr">
        <is>
          <t>pending</t>
        </is>
      </c>
      <c r="Q441" t="inlineStr"/>
      <c r="R441" t="inlineStr"/>
      <c r="S441" t="inlineStr"/>
      <c r="T441" t="inlineStr"/>
      <c r="U441" t="inlineStr"/>
      <c r="V441">
        <f>IF(OR(L441="",S441=""),"",IF(VALUE(L441)=VALUE(S441),"Y","N"))</f>
        <v/>
      </c>
      <c r="W441">
        <f>IF(V441="Y",S441,"")</f>
        <v/>
      </c>
      <c r="X441" t="inlineStr">
        <is>
          <t>unverified: map has 25 mph (OSM tag only); is it 25 (carts OK) or 30+?</t>
        </is>
      </c>
      <c r="Y441" t="inlineStr"/>
      <c r="Z441" t="n">
        <v>1483</v>
      </c>
      <c r="AA441" t="inlineStr">
        <is>
          <t>sd</t>
        </is>
      </c>
      <c r="AB441" t="inlineStr">
        <is>
          <t>sd|33.15987,-117.32921</t>
        </is>
      </c>
    </row>
    <row r="442">
      <c r="A442" t="inlineStr">
        <is>
          <t>SD-B2-441</t>
        </is>
      </c>
      <c r="B442" t="inlineStr">
        <is>
          <t>San Diego area</t>
        </is>
      </c>
      <c r="C442" t="inlineStr">
        <is>
          <t>Cerro Street</t>
        </is>
      </c>
      <c r="D442" t="inlineStr">
        <is>
          <t>(see map link)</t>
        </is>
      </c>
      <c r="E442" t="inlineStr">
        <is>
          <t>Olmeda Street</t>
        </is>
      </c>
      <c r="F442" t="inlineStr">
        <is>
          <t>232393872</t>
        </is>
      </c>
      <c r="G442" t="n">
        <v>25</v>
      </c>
      <c r="H442" t="inlineStr">
        <is>
          <t>tag</t>
        </is>
      </c>
      <c r="I442" t="inlineStr">
        <is>
          <t>cart+LSV</t>
        </is>
      </c>
      <c r="J442" t="inlineStr">
        <is>
          <t>https://www.google.com/maps/@?api=1&amp;map_action=pano&amp;viewpoint=33.044710,-117.252720&amp;heading=174</t>
        </is>
      </c>
      <c r="K442" t="inlineStr">
        <is>
          <t>https://www.google.com/maps/search/?api=1&amp;query=33.044710,-117.252720</t>
        </is>
      </c>
      <c r="L442" t="inlineStr"/>
      <c r="M442" t="inlineStr"/>
      <c r="N442" t="inlineStr"/>
      <c r="O442" t="inlineStr"/>
      <c r="P442" t="inlineStr">
        <is>
          <t>pending</t>
        </is>
      </c>
      <c r="Q442" t="inlineStr"/>
      <c r="R442" t="inlineStr"/>
      <c r="S442" t="inlineStr"/>
      <c r="T442" t="inlineStr"/>
      <c r="U442" t="inlineStr"/>
      <c r="V442">
        <f>IF(OR(L442="",S442=""),"",IF(VALUE(L442)=VALUE(S442),"Y","N"))</f>
        <v/>
      </c>
      <c r="W442">
        <f>IF(V442="Y",S442,"")</f>
        <v/>
      </c>
      <c r="X442" t="inlineStr">
        <is>
          <t>unverified: map has 25 mph (OSM tag only); is it 25 (carts OK) or 30+?</t>
        </is>
      </c>
      <c r="Y442" t="inlineStr"/>
      <c r="Z442" t="n">
        <v>1481</v>
      </c>
      <c r="AA442" t="inlineStr">
        <is>
          <t>sd</t>
        </is>
      </c>
      <c r="AB442" t="inlineStr">
        <is>
          <t>sd|33.04471,-117.25272</t>
        </is>
      </c>
    </row>
    <row r="443">
      <c r="A443" t="inlineStr">
        <is>
          <t>SD-B2-442</t>
        </is>
      </c>
      <c r="B443" t="inlineStr">
        <is>
          <t>San Diego area</t>
        </is>
      </c>
      <c r="C443" t="inlineStr">
        <is>
          <t>Del Mar Heights Road</t>
        </is>
      </c>
      <c r="D443" t="inlineStr">
        <is>
          <t>(see map link)</t>
        </is>
      </c>
      <c r="E443" t="inlineStr">
        <is>
          <t>El Camino Real</t>
        </is>
      </c>
      <c r="F443" t="inlineStr">
        <is>
          <t>1031314400</t>
        </is>
      </c>
      <c r="G443" t="n">
        <v>45</v>
      </c>
      <c r="H443" t="inlineStr">
        <is>
          <t>tag</t>
        </is>
      </c>
      <c r="I443" t="inlineStr">
        <is>
          <t>no</t>
        </is>
      </c>
      <c r="J443" t="inlineStr">
        <is>
          <t>https://www.google.com/maps/@?api=1&amp;map_action=pano&amp;viewpoint=32.952470,-117.237640&amp;heading=245</t>
        </is>
      </c>
      <c r="K443" t="inlineStr">
        <is>
          <t>https://www.google.com/maps/search/?api=1&amp;query=32.952470,-117.237640</t>
        </is>
      </c>
      <c r="L443" t="inlineStr"/>
      <c r="M443" t="inlineStr"/>
      <c r="N443" t="inlineStr"/>
      <c r="O443" t="inlineStr"/>
      <c r="P443" t="inlineStr">
        <is>
          <t>pending</t>
        </is>
      </c>
      <c r="Q443" t="inlineStr"/>
      <c r="R443" t="inlineStr"/>
      <c r="S443" t="inlineStr"/>
      <c r="T443" t="inlineStr"/>
      <c r="U443" t="inlineStr"/>
      <c r="V443">
        <f>IF(OR(L443="",S443=""),"",IF(VALUE(L443)=VALUE(S443),"Y","N"))</f>
        <v/>
      </c>
      <c r="W443">
        <f>IF(V443="Y",S443,"")</f>
        <v/>
      </c>
      <c r="X443" t="inlineStr">
        <is>
          <t>unverified: map has 45 mph (OSM tag only); main road: what is posted? 35 or lower opens it to LSVs</t>
        </is>
      </c>
      <c r="Y443" t="inlineStr"/>
      <c r="Z443" t="n">
        <v>987</v>
      </c>
      <c r="AA443" t="inlineStr">
        <is>
          <t>sd</t>
        </is>
      </c>
      <c r="AB443" t="inlineStr">
        <is>
          <t>sd|32.95247,-117.23764</t>
        </is>
      </c>
    </row>
    <row r="444">
      <c r="A444" t="inlineStr">
        <is>
          <t>SD-B2-443</t>
        </is>
      </c>
      <c r="B444" t="inlineStr">
        <is>
          <t>San Diego area</t>
        </is>
      </c>
      <c r="C444" t="inlineStr">
        <is>
          <t>South 28th Street</t>
        </is>
      </c>
      <c r="D444" t="inlineStr">
        <is>
          <t>(see map link)</t>
        </is>
      </c>
      <c r="E444" t="inlineStr">
        <is>
          <t>East Harbor Drive</t>
        </is>
      </c>
      <c r="F444" t="inlineStr">
        <is>
          <t>436404834</t>
        </is>
      </c>
      <c r="G444" t="inlineStr"/>
      <c r="H444" t="inlineStr">
        <is>
          <t>inferred</t>
        </is>
      </c>
      <c r="I444" t="inlineStr">
        <is>
          <t>no</t>
        </is>
      </c>
      <c r="J444" t="inlineStr">
        <is>
          <t>https://www.google.com/maps/@?api=1&amp;map_action=pano&amp;viewpoint=32.691270,-117.133630&amp;heading=9</t>
        </is>
      </c>
      <c r="K444" t="inlineStr">
        <is>
          <t>https://www.google.com/maps/search/?api=1&amp;query=32.691270,-117.133630</t>
        </is>
      </c>
      <c r="L444" t="inlineStr"/>
      <c r="M444" t="inlineStr"/>
      <c r="N444" t="inlineStr"/>
      <c r="O444" t="inlineStr"/>
      <c r="P444" t="inlineStr">
        <is>
          <t>pending</t>
        </is>
      </c>
      <c r="Q444" t="inlineStr"/>
      <c r="R444" t="inlineStr"/>
      <c r="S444" t="inlineStr"/>
      <c r="T444" t="inlineStr"/>
      <c r="U444" t="inlineStr"/>
      <c r="V444">
        <f>IF(OR(L444="",S444=""),"",IF(VALUE(L444)=VALUE(S444),"Y","N"))</f>
        <v/>
      </c>
      <c r="W444">
        <f>IF(V444="Y",S444,"")</f>
        <v/>
      </c>
      <c r="X444" t="inlineStr">
        <is>
          <t>unverified: map has no limit (guessed from road type); main road: what is posted? 35 or lower opens it to LSVs</t>
        </is>
      </c>
      <c r="Y444" t="inlineStr"/>
      <c r="Z444" t="n">
        <v>757</v>
      </c>
      <c r="AA444" t="inlineStr">
        <is>
          <t>sd</t>
        </is>
      </c>
      <c r="AB444" t="inlineStr">
        <is>
          <t>sd|32.69127,-117.13363</t>
        </is>
      </c>
    </row>
    <row r="445">
      <c r="A445" t="inlineStr">
        <is>
          <t>SD-B2-444</t>
        </is>
      </c>
      <c r="B445" t="inlineStr">
        <is>
          <t>San Diego area</t>
        </is>
      </c>
      <c r="C445" t="inlineStr">
        <is>
          <t>Grand Caribe Causeway</t>
        </is>
      </c>
      <c r="D445" t="inlineStr">
        <is>
          <t>Antigua Court</t>
        </is>
      </c>
      <c r="E445" t="inlineStr">
        <is>
          <t>North Caribe Cay Boulevard</t>
        </is>
      </c>
      <c r="F445" t="inlineStr">
        <is>
          <t>5967917</t>
        </is>
      </c>
      <c r="G445" t="n">
        <v>25</v>
      </c>
      <c r="H445" t="inlineStr">
        <is>
          <t>inferred</t>
        </is>
      </c>
      <c r="I445" t="inlineStr">
        <is>
          <t>cart+LSV</t>
        </is>
      </c>
      <c r="J445" t="inlineStr">
        <is>
          <t>https://www.google.com/maps/@?api=1&amp;map_action=pano&amp;viewpoint=32.623660,-117.131010&amp;heading=68</t>
        </is>
      </c>
      <c r="K445" t="inlineStr">
        <is>
          <t>https://www.google.com/maps/search/?api=1&amp;query=32.623660,-117.131010</t>
        </is>
      </c>
      <c r="L445" t="inlineStr"/>
      <c r="M445" t="inlineStr"/>
      <c r="N445" t="inlineStr"/>
      <c r="O445" t="inlineStr"/>
      <c r="P445" t="inlineStr">
        <is>
          <t>pending</t>
        </is>
      </c>
      <c r="Q445" t="inlineStr"/>
      <c r="R445" t="inlineStr"/>
      <c r="S445" t="inlineStr"/>
      <c r="T445" t="inlineStr"/>
      <c r="U445" t="inlineStr"/>
      <c r="V445">
        <f>IF(OR(L445="",S445=""),"",IF(VALUE(L445)=VALUE(S445),"Y","N"))</f>
        <v/>
      </c>
      <c r="W445">
        <f>IF(V445="Y",S445,"")</f>
        <v/>
      </c>
      <c r="X445" t="inlineStr">
        <is>
          <t>unverified: map has 25 mph (guessed from road type); is it 25 (carts OK) or 30+?</t>
        </is>
      </c>
      <c r="Y445" t="inlineStr"/>
      <c r="Z445" t="n">
        <v>1134</v>
      </c>
      <c r="AA445" t="inlineStr">
        <is>
          <t>sd</t>
        </is>
      </c>
      <c r="AB445" t="inlineStr">
        <is>
          <t>sd|32.62366,-117.13101</t>
        </is>
      </c>
    </row>
    <row r="446">
      <c r="A446" t="inlineStr">
        <is>
          <t>SD-B2-445</t>
        </is>
      </c>
      <c r="B446" t="inlineStr">
        <is>
          <t>San Diego area</t>
        </is>
      </c>
      <c r="C446" t="inlineStr">
        <is>
          <t>Paseo del Norte</t>
        </is>
      </c>
      <c r="D446" t="inlineStr">
        <is>
          <t>Palomar Airport Road</t>
        </is>
      </c>
      <c r="E446" t="inlineStr">
        <is>
          <t>Car Country Drive</t>
        </is>
      </c>
      <c r="F446" t="inlineStr">
        <is>
          <t>1239536859</t>
        </is>
      </c>
      <c r="G446" t="inlineStr"/>
      <c r="H446" t="inlineStr">
        <is>
          <t>inferred</t>
        </is>
      </c>
      <c r="I446" t="inlineStr">
        <is>
          <t>no</t>
        </is>
      </c>
      <c r="J446" t="inlineStr">
        <is>
          <t>https://www.google.com/maps/@?api=1&amp;map_action=pano&amp;viewpoint=33.124550,-117.321430&amp;heading=121</t>
        </is>
      </c>
      <c r="K446" t="inlineStr">
        <is>
          <t>https://www.google.com/maps/search/?api=1&amp;query=33.124550,-117.321430</t>
        </is>
      </c>
      <c r="L446" t="inlineStr"/>
      <c r="M446" t="inlineStr"/>
      <c r="N446" t="inlineStr"/>
      <c r="O446" t="inlineStr"/>
      <c r="P446" t="inlineStr">
        <is>
          <t>pending</t>
        </is>
      </c>
      <c r="Q446" t="inlineStr"/>
      <c r="R446" t="inlineStr"/>
      <c r="S446" t="inlineStr"/>
      <c r="T446" t="inlineStr"/>
      <c r="U446" t="inlineStr"/>
      <c r="V446">
        <f>IF(OR(L446="",S446=""),"",IF(VALUE(L446)=VALUE(S446),"Y","N"))</f>
        <v/>
      </c>
      <c r="W446">
        <f>IF(V446="Y",S446,"")</f>
        <v/>
      </c>
      <c r="X446" t="inlineStr">
        <is>
          <t>unverified: map has no limit (guessed from road type); main road: what is posted? 35 or lower opens it to LSVs</t>
        </is>
      </c>
      <c r="Y446" t="inlineStr"/>
      <c r="Z446" t="n">
        <v>900</v>
      </c>
      <c r="AA446" t="inlineStr">
        <is>
          <t>sd</t>
        </is>
      </c>
      <c r="AB446" t="inlineStr">
        <is>
          <t>sd|33.12455,-117.32143</t>
        </is>
      </c>
    </row>
    <row r="447">
      <c r="A447" t="inlineStr">
        <is>
          <t>SD-B2-446</t>
        </is>
      </c>
      <c r="B447" t="inlineStr">
        <is>
          <t>Encinitas</t>
        </is>
      </c>
      <c r="C447" t="inlineStr">
        <is>
          <t>South Vulcan Avenue</t>
        </is>
      </c>
      <c r="D447" t="inlineStr">
        <is>
          <t>McNeill Avenue</t>
        </is>
      </c>
      <c r="E447" t="inlineStr">
        <is>
          <t>East D Street</t>
        </is>
      </c>
      <c r="F447" t="inlineStr">
        <is>
          <t>844392318</t>
        </is>
      </c>
      <c r="G447" t="n">
        <v>35</v>
      </c>
      <c r="H447" t="inlineStr">
        <is>
          <t>tag</t>
        </is>
      </c>
      <c r="I447" t="inlineStr">
        <is>
          <t>LSV</t>
        </is>
      </c>
      <c r="J447" t="inlineStr">
        <is>
          <t>https://www.google.com/maps/@?api=1&amp;map_action=pano&amp;viewpoint=33.037335,-117.291395&amp;heading=171</t>
        </is>
      </c>
      <c r="K447" t="inlineStr">
        <is>
          <t>https://www.google.com/maps/search/?api=1&amp;query=33.037335,-117.291395</t>
        </is>
      </c>
      <c r="L447" t="inlineStr"/>
      <c r="M447" t="inlineStr"/>
      <c r="N447" t="inlineStr"/>
      <c r="O447" t="inlineStr"/>
      <c r="P447" t="inlineStr">
        <is>
          <t>pending</t>
        </is>
      </c>
      <c r="Q447" t="inlineStr"/>
      <c r="R447" t="inlineStr"/>
      <c r="S447" t="inlineStr"/>
      <c r="T447" t="inlineStr"/>
      <c r="U447" t="inlineStr"/>
      <c r="V447">
        <f>IF(OR(L447="",S447=""),"",IF(VALUE(L447)=VALUE(S447),"Y","N"))</f>
        <v/>
      </c>
      <c r="W447">
        <f>IF(V447="Y",S447,"")</f>
        <v/>
      </c>
      <c r="X447" t="inlineStr">
        <is>
          <t>unverified: map has 35 mph (OSM tag only); is it 35 (LSV OK) or 40+?</t>
        </is>
      </c>
      <c r="Y447" t="n">
        <v>2</v>
      </c>
      <c r="Z447" t="n">
        <v>1169</v>
      </c>
      <c r="AA447" t="inlineStr">
        <is>
          <t>sd</t>
        </is>
      </c>
      <c r="AB447" t="inlineStr">
        <is>
          <t>sd|33.03733,-117.29139</t>
        </is>
      </c>
    </row>
    <row r="448">
      <c r="A448" t="inlineStr">
        <is>
          <t>SD-B2-447</t>
        </is>
      </c>
      <c r="B448" t="inlineStr">
        <is>
          <t>San Diego area</t>
        </is>
      </c>
      <c r="C448" t="inlineStr">
        <is>
          <t>Roselle Street</t>
        </is>
      </c>
      <c r="D448" t="inlineStr">
        <is>
          <t>Cameo Drive</t>
        </is>
      </c>
      <c r="E448" t="inlineStr">
        <is>
          <t>Scott Drive</t>
        </is>
      </c>
      <c r="F448" t="inlineStr">
        <is>
          <t>5970924</t>
        </is>
      </c>
      <c r="G448" t="n">
        <v>25</v>
      </c>
      <c r="H448" t="inlineStr">
        <is>
          <t>inferred</t>
        </is>
      </c>
      <c r="I448" t="inlineStr">
        <is>
          <t>cart+LSV</t>
        </is>
      </c>
      <c r="J448" t="inlineStr">
        <is>
          <t>https://www.google.com/maps/@?api=1&amp;map_action=pano&amp;viewpoint=33.194480,-117.299450&amp;heading=159</t>
        </is>
      </c>
      <c r="K448" t="inlineStr">
        <is>
          <t>https://www.google.com/maps/search/?api=1&amp;query=33.194480,-117.299450</t>
        </is>
      </c>
      <c r="L448" t="inlineStr"/>
      <c r="M448" t="inlineStr"/>
      <c r="N448" t="inlineStr"/>
      <c r="O448" t="inlineStr"/>
      <c r="P448" t="inlineStr">
        <is>
          <t>pending</t>
        </is>
      </c>
      <c r="Q448" t="inlineStr"/>
      <c r="R448" t="inlineStr"/>
      <c r="S448" t="inlineStr"/>
      <c r="T448" t="inlineStr"/>
      <c r="U448" t="inlineStr"/>
      <c r="V448">
        <f>IF(OR(L448="",S448=""),"",IF(VALUE(L448)=VALUE(S448),"Y","N"))</f>
        <v/>
      </c>
      <c r="W448">
        <f>IF(V448="Y",S448,"")</f>
        <v/>
      </c>
      <c r="X448" t="inlineStr">
        <is>
          <t>unverified: map has 25 mph (guessed from road type); is it 25 (carts OK) or 30+?</t>
        </is>
      </c>
      <c r="Y448" t="inlineStr"/>
      <c r="Z448" t="n">
        <v>1124</v>
      </c>
      <c r="AA448" t="inlineStr">
        <is>
          <t>sd</t>
        </is>
      </c>
      <c r="AB448" t="inlineStr">
        <is>
          <t>sd|33.19448,-117.29945</t>
        </is>
      </c>
    </row>
    <row r="449">
      <c r="A449" t="inlineStr">
        <is>
          <t>SD-B2-448</t>
        </is>
      </c>
      <c r="B449" t="inlineStr">
        <is>
          <t>San Diego area</t>
        </is>
      </c>
      <c r="C449" t="inlineStr">
        <is>
          <t>Park Center Drive</t>
        </is>
      </c>
      <c r="D449" t="inlineStr">
        <is>
          <t>(see map link)</t>
        </is>
      </c>
      <c r="E449" t="inlineStr">
        <is>
          <t>South Melrose Drive</t>
        </is>
      </c>
      <c r="F449" t="inlineStr">
        <is>
          <t>583996159</t>
        </is>
      </c>
      <c r="G449" t="n">
        <v>40</v>
      </c>
      <c r="H449" t="inlineStr">
        <is>
          <t>tag</t>
        </is>
      </c>
      <c r="I449" t="inlineStr">
        <is>
          <t>no</t>
        </is>
      </c>
      <c r="J449" t="inlineStr">
        <is>
          <t>https://www.google.com/maps/@?api=1&amp;map_action=pano&amp;viewpoint=33.142910,-117.235015&amp;heading=72</t>
        </is>
      </c>
      <c r="K449" t="inlineStr">
        <is>
          <t>https://www.google.com/maps/search/?api=1&amp;query=33.142910,-117.235015</t>
        </is>
      </c>
      <c r="L449" t="inlineStr"/>
      <c r="M449" t="inlineStr"/>
      <c r="N449" t="inlineStr"/>
      <c r="O449" t="inlineStr"/>
      <c r="P449" t="inlineStr">
        <is>
          <t>pending</t>
        </is>
      </c>
      <c r="Q449" t="inlineStr"/>
      <c r="R449" t="inlineStr"/>
      <c r="S449" t="inlineStr"/>
      <c r="T449" t="inlineStr"/>
      <c r="U449" t="inlineStr"/>
      <c r="V449">
        <f>IF(OR(L449="",S449=""),"",IF(VALUE(L449)=VALUE(S449),"Y","N"))</f>
        <v/>
      </c>
      <c r="W449">
        <f>IF(V449="Y",S449,"")</f>
        <v/>
      </c>
      <c r="X449" t="inlineStr">
        <is>
          <t>unverified: map has 40 mph (OSM tag only); is it 35 (LSV OK) or 40+?</t>
        </is>
      </c>
      <c r="Y449" t="inlineStr"/>
      <c r="Z449" t="n">
        <v>1165</v>
      </c>
      <c r="AA449" t="inlineStr">
        <is>
          <t>sd</t>
        </is>
      </c>
      <c r="AB449" t="inlineStr">
        <is>
          <t>sd|33.14291,-117.23502</t>
        </is>
      </c>
    </row>
    <row r="450">
      <c r="A450" t="inlineStr">
        <is>
          <t>SD-B2-449</t>
        </is>
      </c>
      <c r="B450" t="inlineStr">
        <is>
          <t>San Diego area</t>
        </is>
      </c>
      <c r="C450" t="inlineStr">
        <is>
          <t>Via Rancho Road</t>
        </is>
      </c>
      <c r="D450" t="inlineStr">
        <is>
          <t>Avenida de la Plata</t>
        </is>
      </c>
      <c r="E450" t="inlineStr">
        <is>
          <t>Antibody Way</t>
        </is>
      </c>
      <c r="F450" t="inlineStr">
        <is>
          <t>594450104</t>
        </is>
      </c>
      <c r="G450" t="n">
        <v>25</v>
      </c>
      <c r="H450" t="inlineStr">
        <is>
          <t>inferred</t>
        </is>
      </c>
      <c r="I450" t="inlineStr">
        <is>
          <t>cart+LSV</t>
        </is>
      </c>
      <c r="J450" t="inlineStr">
        <is>
          <t>https://www.google.com/maps/@?api=1&amp;map_action=pano&amp;viewpoint=33.207460,-117.303030&amp;heading=56</t>
        </is>
      </c>
      <c r="K450" t="inlineStr">
        <is>
          <t>https://www.google.com/maps/search/?api=1&amp;query=33.207460,-117.303030</t>
        </is>
      </c>
      <c r="L450" t="inlineStr"/>
      <c r="M450" t="inlineStr"/>
      <c r="N450" t="inlineStr"/>
      <c r="O450" t="inlineStr"/>
      <c r="P450" t="inlineStr">
        <is>
          <t>pending</t>
        </is>
      </c>
      <c r="Q450" t="inlineStr"/>
      <c r="R450" t="inlineStr"/>
      <c r="S450" t="inlineStr"/>
      <c r="T450" t="inlineStr"/>
      <c r="U450" t="inlineStr"/>
      <c r="V450">
        <f>IF(OR(L450="",S450=""),"",IF(VALUE(L450)=VALUE(S450),"Y","N"))</f>
        <v/>
      </c>
      <c r="W450">
        <f>IF(V450="Y",S450,"")</f>
        <v/>
      </c>
      <c r="X450" t="inlineStr">
        <is>
          <t>unverified: map has 25 mph (guessed from road type); is it 25 (carts OK) or 30+?</t>
        </is>
      </c>
      <c r="Y450" t="inlineStr"/>
      <c r="Z450" t="n">
        <v>1118</v>
      </c>
      <c r="AA450" t="inlineStr">
        <is>
          <t>sd</t>
        </is>
      </c>
      <c r="AB450" t="inlineStr">
        <is>
          <t>sd|33.20746,-117.30303</t>
        </is>
      </c>
    </row>
    <row r="451">
      <c r="A451" t="inlineStr">
        <is>
          <t>SD-B2-450</t>
        </is>
      </c>
      <c r="B451" t="inlineStr">
        <is>
          <t>San Diego area</t>
        </is>
      </c>
      <c r="C451" t="inlineStr">
        <is>
          <t>Celinda Drive</t>
        </is>
      </c>
      <c r="D451" t="inlineStr">
        <is>
          <t>Carlsbad Village Drive</t>
        </is>
      </c>
      <c r="E451" t="inlineStr">
        <is>
          <t>Chestnut Avenue</t>
        </is>
      </c>
      <c r="F451" t="inlineStr">
        <is>
          <t>5963715</t>
        </is>
      </c>
      <c r="G451" t="n">
        <v>25</v>
      </c>
      <c r="H451" t="inlineStr">
        <is>
          <t>inferred</t>
        </is>
      </c>
      <c r="I451" t="inlineStr">
        <is>
          <t>cart+LSV</t>
        </is>
      </c>
      <c r="J451" t="inlineStr">
        <is>
          <t>https://www.google.com/maps/@?api=1&amp;map_action=pano&amp;viewpoint=33.166860,-117.321780&amp;heading=155</t>
        </is>
      </c>
      <c r="K451" t="inlineStr">
        <is>
          <t>https://www.google.com/maps/search/?api=1&amp;query=33.166860,-117.321780</t>
        </is>
      </c>
      <c r="L451" t="inlineStr"/>
      <c r="M451" t="inlineStr"/>
      <c r="N451" t="inlineStr"/>
      <c r="O451" t="inlineStr"/>
      <c r="P451" t="inlineStr">
        <is>
          <t>pending</t>
        </is>
      </c>
      <c r="Q451" t="inlineStr"/>
      <c r="R451" t="inlineStr"/>
      <c r="S451" t="inlineStr"/>
      <c r="T451" t="inlineStr"/>
      <c r="U451" t="inlineStr"/>
      <c r="V451">
        <f>IF(OR(L451="",S451=""),"",IF(VALUE(L451)=VALUE(S451),"Y","N"))</f>
        <v/>
      </c>
      <c r="W451">
        <f>IF(V451="Y",S451,"")</f>
        <v/>
      </c>
      <c r="X451" t="inlineStr">
        <is>
          <t>unverified: map has 25 mph (guessed from road type); is it 25 (carts OK) or 30+?</t>
        </is>
      </c>
      <c r="Y451" t="inlineStr"/>
      <c r="Z451" t="n">
        <v>1118</v>
      </c>
      <c r="AA451" t="inlineStr">
        <is>
          <t>sd</t>
        </is>
      </c>
      <c r="AB451" t="inlineStr">
        <is>
          <t>sd|33.16686,-117.32178</t>
        </is>
      </c>
    </row>
    <row r="452">
      <c r="A452" t="inlineStr">
        <is>
          <t>SD-B2-451</t>
        </is>
      </c>
      <c r="B452" t="inlineStr">
        <is>
          <t>San Diego area</t>
        </is>
      </c>
      <c r="C452" t="inlineStr">
        <is>
          <t>Camino Santa Fe</t>
        </is>
      </c>
      <c r="D452" t="inlineStr">
        <is>
          <t>Commerce Avenue</t>
        </is>
      </c>
      <c r="E452" t="inlineStr">
        <is>
          <t>Corte Santa Fe</t>
        </is>
      </c>
      <c r="F452" t="inlineStr">
        <is>
          <t>436406420</t>
        </is>
      </c>
      <c r="G452" t="n">
        <v>40</v>
      </c>
      <c r="H452" t="inlineStr">
        <is>
          <t>tag</t>
        </is>
      </c>
      <c r="I452" t="inlineStr">
        <is>
          <t>no</t>
        </is>
      </c>
      <c r="J452" t="inlineStr">
        <is>
          <t>https://www.google.com/maps/@?api=1&amp;map_action=pano&amp;viewpoint=32.884050,-117.166980&amp;heading=16</t>
        </is>
      </c>
      <c r="K452" t="inlineStr">
        <is>
          <t>https://www.google.com/maps/search/?api=1&amp;query=32.884050,-117.166980</t>
        </is>
      </c>
      <c r="L452" t="inlineStr"/>
      <c r="M452" t="inlineStr"/>
      <c r="N452" t="inlineStr"/>
      <c r="O452" t="inlineStr"/>
      <c r="P452" t="inlineStr">
        <is>
          <t>pending</t>
        </is>
      </c>
      <c r="Q452" t="inlineStr"/>
      <c r="R452" t="inlineStr"/>
      <c r="S452" t="inlineStr"/>
      <c r="T452" t="inlineStr"/>
      <c r="U452" t="inlineStr"/>
      <c r="V452">
        <f>IF(OR(L452="",S452=""),"",IF(VALUE(L452)=VALUE(S452),"Y","N"))</f>
        <v/>
      </c>
      <c r="W452">
        <f>IF(V452="Y",S452,"")</f>
        <v/>
      </c>
      <c r="X452" t="inlineStr">
        <is>
          <t>unverified: map has 40 mph (OSM tag only); is it 35 (LSV OK) or 40+?</t>
        </is>
      </c>
      <c r="Y452" t="inlineStr"/>
      <c r="Z452" t="n">
        <v>968</v>
      </c>
      <c r="AA452" t="inlineStr">
        <is>
          <t>sd</t>
        </is>
      </c>
      <c r="AB452" t="inlineStr">
        <is>
          <t>sd|32.88405,-117.16698</t>
        </is>
      </c>
    </row>
    <row r="453">
      <c r="A453" t="inlineStr">
        <is>
          <t>SD-B2-452</t>
        </is>
      </c>
      <c r="B453" t="inlineStr">
        <is>
          <t>San Diego area</t>
        </is>
      </c>
      <c r="C453" t="inlineStr">
        <is>
          <t>La Jolla Village Drive</t>
        </is>
      </c>
      <c r="D453" t="inlineStr">
        <is>
          <t>(see map link)</t>
        </is>
      </c>
      <c r="E453" t="inlineStr">
        <is>
          <t>Villa La Jolla Drive</t>
        </is>
      </c>
      <c r="F453" t="inlineStr"/>
      <c r="G453" t="n">
        <v>45</v>
      </c>
      <c r="H453" t="inlineStr">
        <is>
          <t>tag</t>
        </is>
      </c>
      <c r="I453" t="inlineStr">
        <is>
          <t>no</t>
        </is>
      </c>
      <c r="J453" t="inlineStr">
        <is>
          <t>https://www.google.com/maps/@?api=1&amp;map_action=pano&amp;viewpoint=32.871835,-117.236240&amp;heading=272</t>
        </is>
      </c>
      <c r="K453" t="inlineStr">
        <is>
          <t>https://www.google.com/maps/search/?api=1&amp;query=32.871835,-117.236240</t>
        </is>
      </c>
      <c r="L453" t="inlineStr"/>
      <c r="M453" t="inlineStr"/>
      <c r="N453" t="inlineStr"/>
      <c r="O453" t="inlineStr"/>
      <c r="P453" t="inlineStr">
        <is>
          <t>pending</t>
        </is>
      </c>
      <c r="Q453" t="inlineStr"/>
      <c r="R453" t="inlineStr"/>
      <c r="S453" t="inlineStr"/>
      <c r="T453" t="inlineStr"/>
      <c r="U453" t="inlineStr"/>
      <c r="V453">
        <f>IF(OR(L453="",S453=""),"",IF(VALUE(L453)=VALUE(S453),"Y","N"))</f>
        <v/>
      </c>
      <c r="W453">
        <f>IF(V453="Y",S453,"")</f>
        <v/>
      </c>
      <c r="X453" t="inlineStr">
        <is>
          <t>unverified: map has 45 mph (OSM tag only); main road: what is posted? 35 or lower opens it to LSVs</t>
        </is>
      </c>
      <c r="Y453" t="inlineStr"/>
      <c r="Z453" t="n">
        <v>967</v>
      </c>
      <c r="AA453" t="inlineStr">
        <is>
          <t>sd</t>
        </is>
      </c>
      <c r="AB453" t="inlineStr">
        <is>
          <t>sd|32.87184,-117.23624</t>
        </is>
      </c>
    </row>
    <row r="454">
      <c r="A454" t="inlineStr">
        <is>
          <t>SD-B2-453</t>
        </is>
      </c>
      <c r="B454" t="inlineStr">
        <is>
          <t>San Diego area</t>
        </is>
      </c>
      <c r="C454" t="inlineStr">
        <is>
          <t>Capistrano Drive</t>
        </is>
      </c>
      <c r="D454" t="inlineStr">
        <is>
          <t>(see map link)</t>
        </is>
      </c>
      <c r="E454" t="inlineStr">
        <is>
          <t>San Simeon Street</t>
        </is>
      </c>
      <c r="F454" t="inlineStr">
        <is>
          <t>101147139</t>
        </is>
      </c>
      <c r="G454" t="n">
        <v>25</v>
      </c>
      <c r="H454" t="inlineStr">
        <is>
          <t>inferred</t>
        </is>
      </c>
      <c r="I454" t="inlineStr">
        <is>
          <t>cart+LSV</t>
        </is>
      </c>
      <c r="J454" t="inlineStr">
        <is>
          <t>https://www.google.com/maps/@?api=1&amp;map_action=pano&amp;viewpoint=33.217260,-117.377110&amp;heading=41</t>
        </is>
      </c>
      <c r="K454" t="inlineStr">
        <is>
          <t>https://www.google.com/maps/search/?api=1&amp;query=33.217260,-117.377110</t>
        </is>
      </c>
      <c r="L454" t="inlineStr"/>
      <c r="M454" t="inlineStr"/>
      <c r="N454" t="inlineStr"/>
      <c r="O454" t="inlineStr"/>
      <c r="P454" t="inlineStr">
        <is>
          <t>pending</t>
        </is>
      </c>
      <c r="Q454" t="inlineStr"/>
      <c r="R454" t="inlineStr"/>
      <c r="S454" t="inlineStr"/>
      <c r="T454" t="inlineStr"/>
      <c r="U454" t="inlineStr"/>
      <c r="V454">
        <f>IF(OR(L454="",S454=""),"",IF(VALUE(L454)=VALUE(S454),"Y","N"))</f>
        <v/>
      </c>
      <c r="W454">
        <f>IF(V454="Y",S454,"")</f>
        <v/>
      </c>
      <c r="X454" t="inlineStr">
        <is>
          <t>unverified: map has 25 mph (guessed from road type); is it 25 (carts OK) or 30+?</t>
        </is>
      </c>
      <c r="Y454" t="inlineStr"/>
      <c r="Z454" t="n">
        <v>1115</v>
      </c>
      <c r="AA454" t="inlineStr">
        <is>
          <t>sd</t>
        </is>
      </c>
      <c r="AB454" t="inlineStr">
        <is>
          <t>sd|33.21726,-117.37711</t>
        </is>
      </c>
    </row>
    <row r="455">
      <c r="A455" t="inlineStr">
        <is>
          <t>SD-B2-454</t>
        </is>
      </c>
      <c r="B455" t="inlineStr">
        <is>
          <t>San Diego area</t>
        </is>
      </c>
      <c r="C455" t="inlineStr">
        <is>
          <t>Imperial Avenue</t>
        </is>
      </c>
      <c r="D455" t="inlineStr">
        <is>
          <t>North 17th Street</t>
        </is>
      </c>
      <c r="E455" t="inlineStr">
        <is>
          <t>North 19th Street</t>
        </is>
      </c>
      <c r="F455" t="inlineStr">
        <is>
          <t>593622092</t>
        </is>
      </c>
      <c r="G455" t="inlineStr"/>
      <c r="H455" t="inlineStr">
        <is>
          <t>inferred</t>
        </is>
      </c>
      <c r="I455" t="inlineStr">
        <is>
          <t>no</t>
        </is>
      </c>
      <c r="J455" t="inlineStr">
        <is>
          <t>https://www.google.com/maps/@?api=1&amp;map_action=pano&amp;viewpoint=32.706290,-117.151125&amp;heading=270</t>
        </is>
      </c>
      <c r="K455" t="inlineStr">
        <is>
          <t>https://www.google.com/maps/search/?api=1&amp;query=32.706290,-117.151125</t>
        </is>
      </c>
      <c r="L455" t="inlineStr"/>
      <c r="M455" t="inlineStr"/>
      <c r="N455" t="inlineStr"/>
      <c r="O455" t="inlineStr"/>
      <c r="P455" t="inlineStr">
        <is>
          <t>pending</t>
        </is>
      </c>
      <c r="Q455" t="inlineStr"/>
      <c r="R455" t="inlineStr"/>
      <c r="S455" t="inlineStr"/>
      <c r="T455" t="inlineStr"/>
      <c r="U455" t="inlineStr"/>
      <c r="V455">
        <f>IF(OR(L455="",S455=""),"",IF(VALUE(L455)=VALUE(S455),"Y","N"))</f>
        <v/>
      </c>
      <c r="W455">
        <f>IF(V455="Y",S455,"")</f>
        <v/>
      </c>
      <c r="X455" t="inlineStr">
        <is>
          <t>unverified: map has no limit (guessed from road type); main road: what is posted? 35 or lower opens it to LSVs</t>
        </is>
      </c>
      <c r="Y455" t="inlineStr"/>
      <c r="Z455" t="n">
        <v>743</v>
      </c>
      <c r="AA455" t="inlineStr">
        <is>
          <t>sd</t>
        </is>
      </c>
      <c r="AB455" t="inlineStr">
        <is>
          <t>sd|32.70629,-117.15113</t>
        </is>
      </c>
    </row>
    <row r="456">
      <c r="A456" t="inlineStr">
        <is>
          <t>SD-B2-455</t>
        </is>
      </c>
      <c r="B456" t="inlineStr">
        <is>
          <t>San Diego area</t>
        </is>
      </c>
      <c r="C456" t="inlineStr">
        <is>
          <t>Loretta Street</t>
        </is>
      </c>
      <c r="D456" t="inlineStr">
        <is>
          <t>San Luis Rey Mission Expressway</t>
        </is>
      </c>
      <c r="E456" t="inlineStr">
        <is>
          <t>Walton Street</t>
        </is>
      </c>
      <c r="F456" t="inlineStr">
        <is>
          <t>1460559081</t>
        </is>
      </c>
      <c r="G456" t="n">
        <v>25</v>
      </c>
      <c r="H456" t="inlineStr">
        <is>
          <t>inferred</t>
        </is>
      </c>
      <c r="I456" t="inlineStr">
        <is>
          <t>cart+LSV</t>
        </is>
      </c>
      <c r="J456" t="inlineStr">
        <is>
          <t>https://www.google.com/maps/@?api=1&amp;map_action=pano&amp;viewpoint=33.209910,-117.368530&amp;heading=90</t>
        </is>
      </c>
      <c r="K456" t="inlineStr">
        <is>
          <t>https://www.google.com/maps/search/?api=1&amp;query=33.209910,-117.368530</t>
        </is>
      </c>
      <c r="L456" t="inlineStr"/>
      <c r="M456" t="inlineStr"/>
      <c r="N456" t="inlineStr"/>
      <c r="O456" t="inlineStr"/>
      <c r="P456" t="inlineStr">
        <is>
          <t>pending</t>
        </is>
      </c>
      <c r="Q456" t="inlineStr"/>
      <c r="R456" t="inlineStr"/>
      <c r="S456" t="inlineStr"/>
      <c r="T456" t="inlineStr"/>
      <c r="U456" t="inlineStr"/>
      <c r="V456">
        <f>IF(OR(L456="",S456=""),"",IF(VALUE(L456)=VALUE(S456),"Y","N"))</f>
        <v/>
      </c>
      <c r="W456">
        <f>IF(V456="Y",S456,"")</f>
        <v/>
      </c>
      <c r="X456" t="inlineStr">
        <is>
          <t>unverified: map has 25 mph (guessed from road type); is it 25 (carts OK) or 30+?</t>
        </is>
      </c>
      <c r="Y456" t="inlineStr"/>
      <c r="Z456" t="n">
        <v>1113</v>
      </c>
      <c r="AA456" t="inlineStr">
        <is>
          <t>sd</t>
        </is>
      </c>
      <c r="AB456" t="inlineStr">
        <is>
          <t>sd|33.20991,-117.36853</t>
        </is>
      </c>
    </row>
    <row r="457">
      <c r="A457" t="inlineStr">
        <is>
          <t>SD-B2-456</t>
        </is>
      </c>
      <c r="B457" t="inlineStr">
        <is>
          <t>San Diego area</t>
        </is>
      </c>
      <c r="C457" t="inlineStr">
        <is>
          <t>Palomar Airport Road</t>
        </is>
      </c>
      <c r="D457" t="inlineStr">
        <is>
          <t>(see map link)</t>
        </is>
      </c>
      <c r="E457" t="inlineStr">
        <is>
          <t>Armada Drive</t>
        </is>
      </c>
      <c r="F457" t="inlineStr">
        <is>
          <t>1034493130</t>
        </is>
      </c>
      <c r="G457" t="n">
        <v>45</v>
      </c>
      <c r="H457" t="inlineStr">
        <is>
          <t>tag</t>
        </is>
      </c>
      <c r="I457" t="inlineStr">
        <is>
          <t>no</t>
        </is>
      </c>
      <c r="J457" t="inlineStr">
        <is>
          <t>https://www.google.com/maps/@?api=1&amp;map_action=pano&amp;viewpoint=33.122090,-117.316400&amp;heading=270</t>
        </is>
      </c>
      <c r="K457" t="inlineStr">
        <is>
          <t>https://www.google.com/maps/search/?api=1&amp;query=33.122090,-117.316400</t>
        </is>
      </c>
      <c r="L457" t="inlineStr"/>
      <c r="M457" t="inlineStr"/>
      <c r="N457" t="inlineStr"/>
      <c r="O457" t="inlineStr"/>
      <c r="P457" t="inlineStr">
        <is>
          <t>pending</t>
        </is>
      </c>
      <c r="Q457" t="inlineStr"/>
      <c r="R457" t="inlineStr"/>
      <c r="S457" t="inlineStr"/>
      <c r="T457" t="inlineStr"/>
      <c r="U457" t="inlineStr"/>
      <c r="V457">
        <f>IF(OR(L457="",S457=""),"",IF(VALUE(L457)=VALUE(S457),"Y","N"))</f>
        <v/>
      </c>
      <c r="W457">
        <f>IF(V457="Y",S457,"")</f>
        <v/>
      </c>
      <c r="X457" t="inlineStr">
        <is>
          <t>unverified: map has 45 mph (OSM tag only); main road: what is posted? 35 or lower opens it to LSVs</t>
        </is>
      </c>
      <c r="Y457" t="inlineStr"/>
      <c r="Z457" t="n">
        <v>962</v>
      </c>
      <c r="AA457" t="inlineStr">
        <is>
          <t>sd</t>
        </is>
      </c>
      <c r="AB457" t="inlineStr">
        <is>
          <t>sd|33.12209,-117.31640</t>
        </is>
      </c>
    </row>
    <row r="458">
      <c r="A458" t="inlineStr">
        <is>
          <t>SD-B2-457</t>
        </is>
      </c>
      <c r="B458" t="inlineStr">
        <is>
          <t>San Diego area</t>
        </is>
      </c>
      <c r="C458" t="inlineStr">
        <is>
          <t>Basswood Avenue</t>
        </is>
      </c>
      <c r="D458" t="inlineStr">
        <is>
          <t>Highland Drive</t>
        </is>
      </c>
      <c r="E458" t="inlineStr">
        <is>
          <t>Ridgecrest Drive</t>
        </is>
      </c>
      <c r="F458" t="inlineStr">
        <is>
          <t>225875498</t>
        </is>
      </c>
      <c r="G458" t="n">
        <v>25</v>
      </c>
      <c r="H458" t="inlineStr">
        <is>
          <t>inferred</t>
        </is>
      </c>
      <c r="I458" t="inlineStr">
        <is>
          <t>cart+LSV</t>
        </is>
      </c>
      <c r="J458" t="inlineStr">
        <is>
          <t>https://www.google.com/maps/@?api=1&amp;map_action=pano&amp;viewpoint=33.163975,-117.331660&amp;heading=30</t>
        </is>
      </c>
      <c r="K458" t="inlineStr">
        <is>
          <t>https://www.google.com/maps/search/?api=1&amp;query=33.163975,-117.331660</t>
        </is>
      </c>
      <c r="L458" t="inlineStr"/>
      <c r="M458" t="inlineStr"/>
      <c r="N458" t="inlineStr"/>
      <c r="O458" t="inlineStr"/>
      <c r="P458" t="inlineStr">
        <is>
          <t>pending</t>
        </is>
      </c>
      <c r="Q458" t="inlineStr"/>
      <c r="R458" t="inlineStr"/>
      <c r="S458" t="inlineStr"/>
      <c r="T458" t="inlineStr"/>
      <c r="U458" t="inlineStr"/>
      <c r="V458">
        <f>IF(OR(L458="",S458=""),"",IF(VALUE(L458)=VALUE(S458),"Y","N"))</f>
        <v/>
      </c>
      <c r="W458">
        <f>IF(V458="Y",S458,"")</f>
        <v/>
      </c>
      <c r="X458" t="inlineStr">
        <is>
          <t>unverified: map has 25 mph (guessed from road type); is it 25 (carts OK) or 30+?</t>
        </is>
      </c>
      <c r="Y458" t="inlineStr"/>
      <c r="Z458" t="n">
        <v>1109</v>
      </c>
      <c r="AA458" t="inlineStr">
        <is>
          <t>sd</t>
        </is>
      </c>
      <c r="AB458" t="inlineStr">
        <is>
          <t>sd|33.16398,-117.33166</t>
        </is>
      </c>
    </row>
    <row r="459">
      <c r="A459" t="inlineStr">
        <is>
          <t>SD-B2-458</t>
        </is>
      </c>
      <c r="B459" t="inlineStr">
        <is>
          <t>San Diego area</t>
        </is>
      </c>
      <c r="C459" t="inlineStr">
        <is>
          <t>Wilson Avenue</t>
        </is>
      </c>
      <c r="D459" t="inlineStr">
        <is>
          <t>(see map link)</t>
        </is>
      </c>
      <c r="E459" t="inlineStr">
        <is>
          <t>Civic Center Drive</t>
        </is>
      </c>
      <c r="F459" t="inlineStr">
        <is>
          <t>641705037</t>
        </is>
      </c>
      <c r="G459" t="n">
        <v>25</v>
      </c>
      <c r="H459" t="inlineStr">
        <is>
          <t>inferred</t>
        </is>
      </c>
      <c r="I459" t="inlineStr">
        <is>
          <t>cart+LSV</t>
        </is>
      </c>
      <c r="J459" t="inlineStr">
        <is>
          <t>https://www.google.com/maps/@?api=1&amp;map_action=pano&amp;viewpoint=32.661195,-117.106820&amp;heading=341</t>
        </is>
      </c>
      <c r="K459" t="inlineStr">
        <is>
          <t>https://www.google.com/maps/search/?api=1&amp;query=32.661195,-117.106820</t>
        </is>
      </c>
      <c r="L459" t="inlineStr"/>
      <c r="M459" t="inlineStr"/>
      <c r="N459" t="inlineStr"/>
      <c r="O459" t="inlineStr"/>
      <c r="P459" t="inlineStr">
        <is>
          <t>pending</t>
        </is>
      </c>
      <c r="Q459" t="inlineStr"/>
      <c r="R459" t="inlineStr"/>
      <c r="S459" t="inlineStr"/>
      <c r="T459" t="inlineStr"/>
      <c r="U459" t="inlineStr"/>
      <c r="V459">
        <f>IF(OR(L459="",S459=""),"",IF(VALUE(L459)=VALUE(S459),"Y","N"))</f>
        <v/>
      </c>
      <c r="W459">
        <f>IF(V459="Y",S459,"")</f>
        <v/>
      </c>
      <c r="X459" t="inlineStr">
        <is>
          <t>unverified: map has 25 mph (guessed from road type); is it 25 (carts OK) or 30+?</t>
        </is>
      </c>
      <c r="Y459" t="inlineStr"/>
      <c r="Z459" t="n">
        <v>1101</v>
      </c>
      <c r="AA459" t="inlineStr">
        <is>
          <t>sd</t>
        </is>
      </c>
      <c r="AB459" t="inlineStr">
        <is>
          <t>sd|32.66119,-117.10682</t>
        </is>
      </c>
    </row>
    <row r="460">
      <c r="A460" t="inlineStr">
        <is>
          <t>SD-B2-459</t>
        </is>
      </c>
      <c r="B460" t="inlineStr">
        <is>
          <t>San Diego area</t>
        </is>
      </c>
      <c r="C460" t="inlineStr">
        <is>
          <t>State Street</t>
        </is>
      </c>
      <c r="D460" t="inlineStr">
        <is>
          <t>(see map link)</t>
        </is>
      </c>
      <c r="E460" t="inlineStr">
        <is>
          <t>Carlsbad Boulevard</t>
        </is>
      </c>
      <c r="F460" t="inlineStr">
        <is>
          <t>1356784990</t>
        </is>
      </c>
      <c r="G460" t="inlineStr"/>
      <c r="H460" t="inlineStr">
        <is>
          <t>inferred</t>
        </is>
      </c>
      <c r="I460" t="inlineStr">
        <is>
          <t>no</t>
        </is>
      </c>
      <c r="J460" t="inlineStr">
        <is>
          <t>https://www.google.com/maps/@?api=1&amp;map_action=pano&amp;viewpoint=33.160135,-117.349160&amp;heading=146</t>
        </is>
      </c>
      <c r="K460" t="inlineStr">
        <is>
          <t>https://www.google.com/maps/search/?api=1&amp;query=33.160135,-117.349160</t>
        </is>
      </c>
      <c r="L460" t="inlineStr"/>
      <c r="M460" t="inlineStr"/>
      <c r="N460" t="inlineStr"/>
      <c r="O460" t="inlineStr"/>
      <c r="P460" t="inlineStr">
        <is>
          <t>pending</t>
        </is>
      </c>
      <c r="Q460" t="inlineStr"/>
      <c r="R460" t="inlineStr"/>
      <c r="S460" t="inlineStr"/>
      <c r="T460" t="inlineStr"/>
      <c r="U460" t="inlineStr"/>
      <c r="V460">
        <f>IF(OR(L460="",S460=""),"",IF(VALUE(L460)=VALUE(S460),"Y","N"))</f>
        <v/>
      </c>
      <c r="W460">
        <f>IF(V460="Y",S460,"")</f>
        <v/>
      </c>
      <c r="X460" t="inlineStr">
        <is>
          <t>unverified: map has no limit (guessed from road type); main road: what is posted? 35 or lower opens it to LSVs</t>
        </is>
      </c>
      <c r="Y460" t="inlineStr"/>
      <c r="Z460" t="n">
        <v>879</v>
      </c>
      <c r="AA460" t="inlineStr">
        <is>
          <t>sd</t>
        </is>
      </c>
      <c r="AB460" t="inlineStr">
        <is>
          <t>sd|33.16013,-117.34916</t>
        </is>
      </c>
    </row>
    <row r="461">
      <c r="A461" t="inlineStr">
        <is>
          <t>SD-B2-460</t>
        </is>
      </c>
      <c r="B461" t="inlineStr">
        <is>
          <t>San Diego area</t>
        </is>
      </c>
      <c r="C461" t="inlineStr">
        <is>
          <t>Solterra Vista Parkway</t>
        </is>
      </c>
      <c r="D461" t="inlineStr">
        <is>
          <t>Caminito Mendiola</t>
        </is>
      </c>
      <c r="E461" t="inlineStr">
        <is>
          <t>Carmel Valley Road</t>
        </is>
      </c>
      <c r="F461" t="inlineStr">
        <is>
          <t>739902447</t>
        </is>
      </c>
      <c r="G461" t="n">
        <v>25</v>
      </c>
      <c r="H461" t="inlineStr">
        <is>
          <t>inferred</t>
        </is>
      </c>
      <c r="I461" t="inlineStr">
        <is>
          <t>cart+LSV</t>
        </is>
      </c>
      <c r="J461" t="inlineStr">
        <is>
          <t>https://www.google.com/maps/@?api=1&amp;map_action=pano&amp;viewpoint=32.968650,-117.171960&amp;heading=9</t>
        </is>
      </c>
      <c r="K461" t="inlineStr">
        <is>
          <t>https://www.google.com/maps/search/?api=1&amp;query=32.968650,-117.171960</t>
        </is>
      </c>
      <c r="L461" t="inlineStr"/>
      <c r="M461" t="inlineStr"/>
      <c r="N461" t="inlineStr"/>
      <c r="O461" t="inlineStr"/>
      <c r="P461" t="inlineStr">
        <is>
          <t>pending</t>
        </is>
      </c>
      <c r="Q461" t="inlineStr"/>
      <c r="R461" t="inlineStr"/>
      <c r="S461" t="inlineStr"/>
      <c r="T461" t="inlineStr"/>
      <c r="U461" t="inlineStr"/>
      <c r="V461">
        <f>IF(OR(L461="",S461=""),"",IF(VALUE(L461)=VALUE(S461),"Y","N"))</f>
        <v/>
      </c>
      <c r="W461">
        <f>IF(V461="Y",S461,"")</f>
        <v/>
      </c>
      <c r="X461" t="inlineStr">
        <is>
          <t>unverified: map has 25 mph (guessed from road type); is it 25 (carts OK) or 30+?</t>
        </is>
      </c>
      <c r="Y461" t="inlineStr"/>
      <c r="Z461" t="n">
        <v>1097</v>
      </c>
      <c r="AA461" t="inlineStr">
        <is>
          <t>sd</t>
        </is>
      </c>
      <c r="AB461" t="inlineStr">
        <is>
          <t>sd|32.96865,-117.17196</t>
        </is>
      </c>
    </row>
    <row r="462">
      <c r="A462" t="inlineStr">
        <is>
          <t>SD-B2-461</t>
        </is>
      </c>
      <c r="B462" t="inlineStr">
        <is>
          <t>San Diego area</t>
        </is>
      </c>
      <c r="C462" t="inlineStr">
        <is>
          <t>Santa Clara Drive</t>
        </is>
      </c>
      <c r="D462" t="inlineStr">
        <is>
          <t>West Vista Way</t>
        </is>
      </c>
      <c r="E462" t="inlineStr">
        <is>
          <t>Tylee Street</t>
        </is>
      </c>
      <c r="F462" t="inlineStr">
        <is>
          <t>5959098</t>
        </is>
      </c>
      <c r="G462" t="n">
        <v>25</v>
      </c>
      <c r="H462" t="inlineStr">
        <is>
          <t>inferred</t>
        </is>
      </c>
      <c r="I462" t="inlineStr">
        <is>
          <t>cart+LSV</t>
        </is>
      </c>
      <c r="J462" t="inlineStr">
        <is>
          <t>https://www.google.com/maps/@?api=1&amp;map_action=pano&amp;viewpoint=33.198070,-117.267720&amp;heading=45</t>
        </is>
      </c>
      <c r="K462" t="inlineStr">
        <is>
          <t>https://www.google.com/maps/search/?api=1&amp;query=33.198070,-117.267720</t>
        </is>
      </c>
      <c r="L462" t="inlineStr"/>
      <c r="M462" t="inlineStr"/>
      <c r="N462" t="inlineStr"/>
      <c r="O462" t="inlineStr"/>
      <c r="P462" t="inlineStr">
        <is>
          <t>pending</t>
        </is>
      </c>
      <c r="Q462" t="inlineStr"/>
      <c r="R462" t="inlineStr"/>
      <c r="S462" t="inlineStr"/>
      <c r="T462" t="inlineStr"/>
      <c r="U462" t="inlineStr"/>
      <c r="V462">
        <f>IF(OR(L462="",S462=""),"",IF(VALUE(L462)=VALUE(S462),"Y","N"))</f>
        <v/>
      </c>
      <c r="W462">
        <f>IF(V462="Y",S462,"")</f>
        <v/>
      </c>
      <c r="X462" t="inlineStr">
        <is>
          <t>unverified: map has 25 mph (guessed from road type); is it 25 (carts OK) or 30+?</t>
        </is>
      </c>
      <c r="Y462" t="inlineStr"/>
      <c r="Z462" t="n">
        <v>1093</v>
      </c>
      <c r="AA462" t="inlineStr">
        <is>
          <t>sd</t>
        </is>
      </c>
      <c r="AB462" t="inlineStr">
        <is>
          <t>sd|33.19807,-117.26772</t>
        </is>
      </c>
    </row>
    <row r="463">
      <c r="A463" t="inlineStr">
        <is>
          <t>SD-B2-462</t>
        </is>
      </c>
      <c r="B463" t="inlineStr">
        <is>
          <t>San Diego area</t>
        </is>
      </c>
      <c r="C463" t="inlineStr">
        <is>
          <t>Morse Street</t>
        </is>
      </c>
      <c r="D463" t="inlineStr">
        <is>
          <t>Pacific Coast Highway</t>
        </is>
      </c>
      <c r="E463" t="inlineStr">
        <is>
          <t>Broadway Street</t>
        </is>
      </c>
      <c r="F463" t="inlineStr">
        <is>
          <t>6033722</t>
        </is>
      </c>
      <c r="G463" t="n">
        <v>25</v>
      </c>
      <c r="H463" t="inlineStr">
        <is>
          <t>inferred</t>
        </is>
      </c>
      <c r="I463" t="inlineStr">
        <is>
          <t>cart+LSV</t>
        </is>
      </c>
      <c r="J463" t="inlineStr">
        <is>
          <t>https://www.google.com/maps/@?api=1&amp;map_action=pano&amp;viewpoint=33.181310,-117.359885&amp;heading=55</t>
        </is>
      </c>
      <c r="K463" t="inlineStr">
        <is>
          <t>https://www.google.com/maps/search/?api=1&amp;query=33.181310,-117.359885</t>
        </is>
      </c>
      <c r="L463" t="inlineStr"/>
      <c r="M463" t="inlineStr"/>
      <c r="N463" t="inlineStr"/>
      <c r="O463" t="inlineStr"/>
      <c r="P463" t="inlineStr">
        <is>
          <t>pending</t>
        </is>
      </c>
      <c r="Q463" t="inlineStr"/>
      <c r="R463" t="inlineStr"/>
      <c r="S463" t="inlineStr"/>
      <c r="T463" t="inlineStr"/>
      <c r="U463" t="inlineStr"/>
      <c r="V463">
        <f>IF(OR(L463="",S463=""),"",IF(VALUE(L463)=VALUE(S463),"Y","N"))</f>
        <v/>
      </c>
      <c r="W463">
        <f>IF(V463="Y",S463,"")</f>
        <v/>
      </c>
      <c r="X463" t="inlineStr">
        <is>
          <t>unverified: map has 25 mph (guessed from road type); is it 25 (carts OK) or 30+?</t>
        </is>
      </c>
      <c r="Y463" t="inlineStr"/>
      <c r="Z463" t="n">
        <v>1092</v>
      </c>
      <c r="AA463" t="inlineStr">
        <is>
          <t>sd</t>
        </is>
      </c>
      <c r="AB463" t="inlineStr">
        <is>
          <t>sd|33.18131,-117.35988</t>
        </is>
      </c>
    </row>
    <row r="464">
      <c r="A464" t="inlineStr">
        <is>
          <t>SD-B2-463</t>
        </is>
      </c>
      <c r="B464" t="inlineStr">
        <is>
          <t>San Diego area</t>
        </is>
      </c>
      <c r="C464" t="inlineStr">
        <is>
          <t>Medical Center Drive</t>
        </is>
      </c>
      <c r="D464" t="inlineStr">
        <is>
          <t>(see map link)</t>
        </is>
      </c>
      <c r="E464" t="inlineStr">
        <is>
          <t>Health Sciences Drive</t>
        </is>
      </c>
      <c r="F464" t="inlineStr">
        <is>
          <t>120632241</t>
        </is>
      </c>
      <c r="G464" t="n">
        <v>25</v>
      </c>
      <c r="H464" t="inlineStr">
        <is>
          <t>inferred</t>
        </is>
      </c>
      <c r="I464" t="inlineStr">
        <is>
          <t>cart+LSV</t>
        </is>
      </c>
      <c r="J464" t="inlineStr">
        <is>
          <t>https://www.google.com/maps/@?api=1&amp;map_action=pano&amp;viewpoint=32.879480,-117.225510&amp;heading=277</t>
        </is>
      </c>
      <c r="K464" t="inlineStr">
        <is>
          <t>https://www.google.com/maps/search/?api=1&amp;query=32.879480,-117.225510</t>
        </is>
      </c>
      <c r="L464" t="inlineStr"/>
      <c r="M464" t="inlineStr"/>
      <c r="N464" t="inlineStr"/>
      <c r="O464" t="inlineStr"/>
      <c r="P464" t="inlineStr">
        <is>
          <t>pending</t>
        </is>
      </c>
      <c r="Q464" t="inlineStr"/>
      <c r="R464" t="inlineStr"/>
      <c r="S464" t="inlineStr"/>
      <c r="T464" t="inlineStr"/>
      <c r="U464" t="inlineStr"/>
      <c r="V464">
        <f>IF(OR(L464="",S464=""),"",IF(VALUE(L464)=VALUE(S464),"Y","N"))</f>
        <v/>
      </c>
      <c r="W464">
        <f>IF(V464="Y",S464,"")</f>
        <v/>
      </c>
      <c r="X464" t="inlineStr">
        <is>
          <t>unverified: map has 25 mph (guessed from road type); is it 25 (carts OK) or 30+?</t>
        </is>
      </c>
      <c r="Y464" t="inlineStr"/>
      <c r="Z464" t="n">
        <v>1091</v>
      </c>
      <c r="AA464" t="inlineStr">
        <is>
          <t>sd</t>
        </is>
      </c>
      <c r="AB464" t="inlineStr">
        <is>
          <t>sd|32.87948,-117.22551</t>
        </is>
      </c>
    </row>
    <row r="465">
      <c r="A465" t="inlineStr">
        <is>
          <t>SD-B2-464</t>
        </is>
      </c>
      <c r="B465" t="inlineStr">
        <is>
          <t>San Diego area</t>
        </is>
      </c>
      <c r="C465" t="inlineStr">
        <is>
          <t>Barnett Avenue</t>
        </is>
      </c>
      <c r="D465" t="inlineStr">
        <is>
          <t>(see map link)</t>
        </is>
      </c>
      <c r="E465" t="inlineStr">
        <is>
          <t>Lytton Street</t>
        </is>
      </c>
      <c r="F465" t="inlineStr">
        <is>
          <t>616177787</t>
        </is>
      </c>
      <c r="G465" t="n">
        <v>40</v>
      </c>
      <c r="H465" t="inlineStr">
        <is>
          <t>tag</t>
        </is>
      </c>
      <c r="I465" t="inlineStr">
        <is>
          <t>no</t>
        </is>
      </c>
      <c r="J465" t="inlineStr">
        <is>
          <t>https://www.google.com/maps/@?api=1&amp;map_action=pano&amp;viewpoint=32.743785,-117.204170&amp;heading=253</t>
        </is>
      </c>
      <c r="K465" t="inlineStr">
        <is>
          <t>https://www.google.com/maps/search/?api=1&amp;query=32.743785,-117.204170</t>
        </is>
      </c>
      <c r="L465" t="inlineStr"/>
      <c r="M465" t="inlineStr"/>
      <c r="N465" t="inlineStr"/>
      <c r="O465" t="inlineStr"/>
      <c r="P465" t="inlineStr">
        <is>
          <t>pending</t>
        </is>
      </c>
      <c r="Q465" t="inlineStr"/>
      <c r="R465" t="inlineStr"/>
      <c r="S465" t="inlineStr"/>
      <c r="T465" t="inlineStr"/>
      <c r="U465" t="inlineStr"/>
      <c r="V465">
        <f>IF(OR(L465="",S465=""),"",IF(VALUE(L465)=VALUE(S465),"Y","N"))</f>
        <v/>
      </c>
      <c r="W465">
        <f>IF(V465="Y",S465,"")</f>
        <v/>
      </c>
      <c r="X465" t="inlineStr">
        <is>
          <t>unverified: map has 40 mph (OSM tag only); is it 35 (LSV OK) or 40+?</t>
        </is>
      </c>
      <c r="Y465" t="inlineStr"/>
      <c r="Z465" t="n">
        <v>943</v>
      </c>
      <c r="AA465" t="inlineStr">
        <is>
          <t>sd</t>
        </is>
      </c>
      <c r="AB465" t="inlineStr">
        <is>
          <t>sd|32.74379,-117.20417</t>
        </is>
      </c>
    </row>
    <row r="466">
      <c r="A466" t="inlineStr">
        <is>
          <t>SD-B2-465</t>
        </is>
      </c>
      <c r="B466" t="inlineStr">
        <is>
          <t>San Diego area</t>
        </is>
      </c>
      <c r="C466" t="inlineStr">
        <is>
          <t>Aviara Parkway</t>
        </is>
      </c>
      <c r="D466" t="inlineStr">
        <is>
          <t>Caminito de Las Ondas</t>
        </is>
      </c>
      <c r="E466" t="inlineStr">
        <is>
          <t>Poinsettia Lane</t>
        </is>
      </c>
      <c r="F466" t="inlineStr"/>
      <c r="G466" t="n">
        <v>45</v>
      </c>
      <c r="H466" t="inlineStr">
        <is>
          <t>tag</t>
        </is>
      </c>
      <c r="I466" t="inlineStr">
        <is>
          <t>no</t>
        </is>
      </c>
      <c r="J466" t="inlineStr">
        <is>
          <t>https://www.google.com/maps/@?api=1&amp;map_action=pano&amp;viewpoint=33.117295,-117.299370&amp;heading=340</t>
        </is>
      </c>
      <c r="K466" t="inlineStr">
        <is>
          <t>https://www.google.com/maps/search/?api=1&amp;query=33.117295,-117.299370</t>
        </is>
      </c>
      <c r="L466" t="inlineStr"/>
      <c r="M466" t="inlineStr"/>
      <c r="N466" t="inlineStr"/>
      <c r="O466" t="inlineStr"/>
      <c r="P466" t="inlineStr">
        <is>
          <t>pending</t>
        </is>
      </c>
      <c r="Q466" t="inlineStr"/>
      <c r="R466" t="inlineStr"/>
      <c r="S466" t="inlineStr"/>
      <c r="T466" t="inlineStr"/>
      <c r="U466" t="inlineStr"/>
      <c r="V466">
        <f>IF(OR(L466="",S466=""),"",IF(VALUE(L466)=VALUE(S466),"Y","N"))</f>
        <v/>
      </c>
      <c r="W466">
        <f>IF(V466="Y",S466,"")</f>
        <v/>
      </c>
      <c r="X466" t="inlineStr">
        <is>
          <t>unverified: map has 45 mph (OSM tag only); main road: what is posted? 35 or lower opens it to LSVs</t>
        </is>
      </c>
      <c r="Y466" t="inlineStr"/>
      <c r="Z466" t="n">
        <v>1131</v>
      </c>
      <c r="AA466" t="inlineStr">
        <is>
          <t>sd</t>
        </is>
      </c>
      <c r="AB466" t="inlineStr">
        <is>
          <t>sd|33.11729,-117.29937</t>
        </is>
      </c>
    </row>
    <row r="467">
      <c r="A467" t="inlineStr">
        <is>
          <t>SD-B2-466</t>
        </is>
      </c>
      <c r="B467" t="inlineStr">
        <is>
          <t>San Diego area</t>
        </is>
      </c>
      <c r="C467" t="inlineStr">
        <is>
          <t>North Harbor Drive</t>
        </is>
      </c>
      <c r="D467" t="inlineStr">
        <is>
          <t>(see map link)</t>
        </is>
      </c>
      <c r="E467" t="inlineStr">
        <is>
          <t>West Grape Street</t>
        </is>
      </c>
      <c r="F467" t="inlineStr"/>
      <c r="G467" t="n">
        <v>45</v>
      </c>
      <c r="H467" t="inlineStr">
        <is>
          <t>tag</t>
        </is>
      </c>
      <c r="I467" t="inlineStr">
        <is>
          <t>no</t>
        </is>
      </c>
      <c r="J467" t="inlineStr">
        <is>
          <t>https://www.google.com/maps/@?api=1&amp;map_action=pano&amp;viewpoint=32.721950,-117.173185&amp;heading=180</t>
        </is>
      </c>
      <c r="K467" t="inlineStr">
        <is>
          <t>https://www.google.com/maps/search/?api=1&amp;query=32.721950,-117.173185</t>
        </is>
      </c>
      <c r="L467" t="inlineStr"/>
      <c r="M467" t="inlineStr"/>
      <c r="N467" t="inlineStr"/>
      <c r="O467" t="inlineStr"/>
      <c r="P467" t="inlineStr">
        <is>
          <t>pending</t>
        </is>
      </c>
      <c r="Q467" t="inlineStr"/>
      <c r="R467" t="inlineStr"/>
      <c r="S467" t="inlineStr"/>
      <c r="T467" t="inlineStr"/>
      <c r="U467" t="inlineStr"/>
      <c r="V467">
        <f>IF(OR(L467="",S467=""),"",IF(VALUE(L467)=VALUE(S467),"Y","N"))</f>
        <v/>
      </c>
      <c r="W467">
        <f>IF(V467="Y",S467,"")</f>
        <v/>
      </c>
      <c r="X467" t="inlineStr">
        <is>
          <t>unverified: map has 45 mph (OSM tag only); main road: what is posted? 35 or lower opens it to LSVs</t>
        </is>
      </c>
      <c r="Y467" t="inlineStr"/>
      <c r="Z467" t="n">
        <v>942</v>
      </c>
      <c r="AA467" t="inlineStr">
        <is>
          <t>sd</t>
        </is>
      </c>
      <c r="AB467" t="inlineStr">
        <is>
          <t>sd|32.72195,-117.17319</t>
        </is>
      </c>
    </row>
    <row r="468">
      <c r="A468" t="inlineStr">
        <is>
          <t>SD-B2-467</t>
        </is>
      </c>
      <c r="B468" t="inlineStr">
        <is>
          <t>San Diego area</t>
        </is>
      </c>
      <c r="C468" t="inlineStr">
        <is>
          <t>Beryl Street</t>
        </is>
      </c>
      <c r="D468" t="inlineStr">
        <is>
          <t>Emelene Street</t>
        </is>
      </c>
      <c r="E468" t="inlineStr">
        <is>
          <t>Jewell Street</t>
        </is>
      </c>
      <c r="F468" t="inlineStr">
        <is>
          <t>663255386</t>
        </is>
      </c>
      <c r="G468" t="inlineStr"/>
      <c r="H468" t="inlineStr">
        <is>
          <t>inferred</t>
        </is>
      </c>
      <c r="I468" t="inlineStr">
        <is>
          <t>no</t>
        </is>
      </c>
      <c r="J468" t="inlineStr">
        <is>
          <t>https://www.google.com/maps/@?api=1&amp;map_action=pano&amp;viewpoint=32.807895,-117.235630&amp;heading=76</t>
        </is>
      </c>
      <c r="K468" t="inlineStr">
        <is>
          <t>https://www.google.com/maps/search/?api=1&amp;query=32.807895,-117.235630</t>
        </is>
      </c>
      <c r="L468" t="inlineStr"/>
      <c r="M468" t="inlineStr"/>
      <c r="N468" t="inlineStr"/>
      <c r="O468" t="inlineStr"/>
      <c r="P468" t="inlineStr">
        <is>
          <t>pending</t>
        </is>
      </c>
      <c r="Q468" t="inlineStr"/>
      <c r="R468" t="inlineStr"/>
      <c r="S468" t="inlineStr"/>
      <c r="T468" t="inlineStr"/>
      <c r="U468" t="inlineStr"/>
      <c r="V468">
        <f>IF(OR(L468="",S468=""),"",IF(VALUE(L468)=VALUE(S468),"Y","N"))</f>
        <v/>
      </c>
      <c r="W468">
        <f>IF(V468="Y",S468,"")</f>
        <v/>
      </c>
      <c r="X468" t="inlineStr">
        <is>
          <t>unverified: map has no limit (guessed from road type); main road: what is posted? 35 or lower opens it to LSVs</t>
        </is>
      </c>
      <c r="Y468" t="inlineStr"/>
      <c r="Z468" t="n">
        <v>869</v>
      </c>
      <c r="AA468" t="inlineStr">
        <is>
          <t>sd</t>
        </is>
      </c>
      <c r="AB468" t="inlineStr">
        <is>
          <t>sd|32.80790,-117.23563</t>
        </is>
      </c>
    </row>
    <row r="469">
      <c r="A469" t="inlineStr">
        <is>
          <t>SD-B2-468</t>
        </is>
      </c>
      <c r="B469" t="inlineStr">
        <is>
          <t>San Diego area</t>
        </is>
      </c>
      <c r="C469" t="inlineStr">
        <is>
          <t>East E Street</t>
        </is>
      </c>
      <c r="D469" t="inlineStr">
        <is>
          <t>8th Avenue</t>
        </is>
      </c>
      <c r="E469" t="inlineStr">
        <is>
          <t>5th Avenue</t>
        </is>
      </c>
      <c r="F469" t="inlineStr">
        <is>
          <t>89922556</t>
        </is>
      </c>
      <c r="G469" t="n">
        <v>25</v>
      </c>
      <c r="H469" t="inlineStr">
        <is>
          <t>inferred</t>
        </is>
      </c>
      <c r="I469" t="inlineStr">
        <is>
          <t>cart+LSV</t>
        </is>
      </c>
      <c r="J469" t="inlineStr">
        <is>
          <t>https://www.google.com/maps/@?api=1&amp;map_action=pano&amp;viewpoint=32.714710,-117.150945&amp;heading=90</t>
        </is>
      </c>
      <c r="K469" t="inlineStr">
        <is>
          <t>https://www.google.com/maps/search/?api=1&amp;query=32.714710,-117.150945</t>
        </is>
      </c>
      <c r="L469" t="inlineStr"/>
      <c r="M469" t="inlineStr"/>
      <c r="N469" t="inlineStr"/>
      <c r="O469" t="inlineStr"/>
      <c r="P469" t="inlineStr">
        <is>
          <t>pending</t>
        </is>
      </c>
      <c r="Q469" t="inlineStr"/>
      <c r="R469" t="inlineStr"/>
      <c r="S469" t="inlineStr"/>
      <c r="T469" t="inlineStr"/>
      <c r="U469" t="inlineStr"/>
      <c r="V469">
        <f>IF(OR(L469="",S469=""),"",IF(VALUE(L469)=VALUE(S469),"Y","N"))</f>
        <v/>
      </c>
      <c r="W469">
        <f>IF(V469="Y",S469,"")</f>
        <v/>
      </c>
      <c r="X469" t="inlineStr">
        <is>
          <t>unverified: map has 25 mph (guessed from road type); is it 25 (carts OK) or 30+?</t>
        </is>
      </c>
      <c r="Y469" t="inlineStr"/>
      <c r="Z469" t="n">
        <v>1086</v>
      </c>
      <c r="AA469" t="inlineStr">
        <is>
          <t>sd</t>
        </is>
      </c>
      <c r="AB469" t="inlineStr">
        <is>
          <t>sd|32.71471,-117.15095</t>
        </is>
      </c>
    </row>
    <row r="470">
      <c r="A470" t="inlineStr">
        <is>
          <t>SD-B2-469</t>
        </is>
      </c>
      <c r="B470" t="inlineStr">
        <is>
          <t>San Diego area</t>
        </is>
      </c>
      <c r="C470" t="inlineStr">
        <is>
          <t>Flanders Drive</t>
        </is>
      </c>
      <c r="D470" t="inlineStr">
        <is>
          <t>(see map link)</t>
        </is>
      </c>
      <c r="E470" t="inlineStr">
        <is>
          <t>Caminito Alvarez</t>
        </is>
      </c>
      <c r="F470" t="inlineStr">
        <is>
          <t>390372099</t>
        </is>
      </c>
      <c r="G470" t="n">
        <v>30</v>
      </c>
      <c r="H470" t="inlineStr">
        <is>
          <t>mapillary</t>
        </is>
      </c>
      <c r="I470" t="inlineStr">
        <is>
          <t>LSV</t>
        </is>
      </c>
      <c r="J470" t="inlineStr">
        <is>
          <t>https://www.google.com/maps/@?api=1&amp;map_action=pano&amp;viewpoint=32.906360,-117.160160&amp;heading=258</t>
        </is>
      </c>
      <c r="K470" t="inlineStr">
        <is>
          <t>https://www.google.com/maps/search/?api=1&amp;query=32.906360,-117.160160</t>
        </is>
      </c>
      <c r="L470" t="inlineStr"/>
      <c r="M470" t="inlineStr"/>
      <c r="N470" t="inlineStr"/>
      <c r="O470" t="inlineStr"/>
      <c r="P470" t="inlineStr">
        <is>
          <t>pending</t>
        </is>
      </c>
      <c r="Q470" t="inlineStr"/>
      <c r="R470" t="inlineStr"/>
      <c r="S470" t="inlineStr"/>
      <c r="T470" t="inlineStr">
        <is>
          <t>Mapillary: 2 posted 30 mph sign(s) detected</t>
        </is>
      </c>
      <c r="U470" t="inlineStr">
        <is>
          <t>https://www.mapillary.com/app/?lat=32.906734&amp;lng=-117.158905&amp;z=19&amp;focus=map&amp;mapFeatureId=1440746576278385</t>
        </is>
      </c>
      <c r="V470">
        <f>IF(OR(L470="",S470=""),"",IF(VALUE(L470)=VALUE(S470),"Y","N"))</f>
        <v/>
      </c>
      <c r="W470">
        <f>IF(V470="Y",S470,"")</f>
        <v/>
      </c>
      <c r="X470" t="inlineStr">
        <is>
          <t>unverified: map has 30 mph (one Mapillary sign); is it 25 (carts OK) or 30+?</t>
        </is>
      </c>
      <c r="Y470" t="inlineStr"/>
      <c r="Z470" t="n">
        <v>1399</v>
      </c>
      <c r="AA470" t="inlineStr">
        <is>
          <t>sd</t>
        </is>
      </c>
      <c r="AB470" t="inlineStr">
        <is>
          <t>sd|32.90636,-117.16016</t>
        </is>
      </c>
    </row>
    <row r="471">
      <c r="A471" t="inlineStr">
        <is>
          <t>SD-B2-470</t>
        </is>
      </c>
      <c r="B471" t="inlineStr">
        <is>
          <t>San Diego area</t>
        </is>
      </c>
      <c r="C471" t="inlineStr">
        <is>
          <t>Waring Road</t>
        </is>
      </c>
      <c r="D471" t="inlineStr">
        <is>
          <t>College Boulevard</t>
        </is>
      </c>
      <c r="E471" t="inlineStr">
        <is>
          <t>Barnard Drive</t>
        </is>
      </c>
      <c r="F471" t="inlineStr">
        <is>
          <t>5986521</t>
        </is>
      </c>
      <c r="G471" t="n">
        <v>25</v>
      </c>
      <c r="H471" t="inlineStr">
        <is>
          <t>inferred</t>
        </is>
      </c>
      <c r="I471" t="inlineStr">
        <is>
          <t>cart+LSV</t>
        </is>
      </c>
      <c r="J471" t="inlineStr">
        <is>
          <t>https://www.google.com/maps/@?api=1&amp;map_action=pano&amp;viewpoint=33.186150,-117.294490&amp;heading=58</t>
        </is>
      </c>
      <c r="K471" t="inlineStr">
        <is>
          <t>https://www.google.com/maps/search/?api=1&amp;query=33.186150,-117.294490</t>
        </is>
      </c>
      <c r="L471" t="inlineStr"/>
      <c r="M471" t="inlineStr"/>
      <c r="N471" t="inlineStr"/>
      <c r="O471" t="inlineStr"/>
      <c r="P471" t="inlineStr">
        <is>
          <t>pending</t>
        </is>
      </c>
      <c r="Q471" t="inlineStr"/>
      <c r="R471" t="inlineStr"/>
      <c r="S471" t="inlineStr"/>
      <c r="T471" t="inlineStr"/>
      <c r="U471" t="inlineStr"/>
      <c r="V471">
        <f>IF(OR(L471="",S471=""),"",IF(VALUE(L471)=VALUE(S471),"Y","N"))</f>
        <v/>
      </c>
      <c r="W471">
        <f>IF(V471="Y",S471,"")</f>
        <v/>
      </c>
      <c r="X471" t="inlineStr">
        <is>
          <t>unverified: map has 25 mph (guessed from road type); is it 25 (carts OK) or 30+?</t>
        </is>
      </c>
      <c r="Y471" t="inlineStr"/>
      <c r="Z471" t="n">
        <v>1075</v>
      </c>
      <c r="AA471" t="inlineStr">
        <is>
          <t>sd</t>
        </is>
      </c>
      <c r="AB471" t="inlineStr">
        <is>
          <t>sd|33.18615,-117.29449</t>
        </is>
      </c>
    </row>
    <row r="472">
      <c r="A472" t="inlineStr">
        <is>
          <t>SD-B2-471</t>
        </is>
      </c>
      <c r="B472" t="inlineStr">
        <is>
          <t>San Diego area</t>
        </is>
      </c>
      <c r="C472" t="inlineStr">
        <is>
          <t>Sunset Drive</t>
        </is>
      </c>
      <c r="D472" t="inlineStr">
        <is>
          <t>South Melrose Drive</t>
        </is>
      </c>
      <c r="E472" t="inlineStr">
        <is>
          <t>Melrose Way</t>
        </is>
      </c>
      <c r="F472" t="inlineStr">
        <is>
          <t>66368719</t>
        </is>
      </c>
      <c r="G472" t="n">
        <v>35</v>
      </c>
      <c r="H472" t="inlineStr">
        <is>
          <t>mapillary</t>
        </is>
      </c>
      <c r="I472" t="inlineStr">
        <is>
          <t>LSV</t>
        </is>
      </c>
      <c r="J472" t="inlineStr">
        <is>
          <t>https://www.google.com/maps/@?api=1&amp;map_action=pano&amp;viewpoint=33.180350,-117.261570&amp;heading=299</t>
        </is>
      </c>
      <c r="K472" t="inlineStr">
        <is>
          <t>https://www.google.com/maps/search/?api=1&amp;query=33.180350,-117.261570</t>
        </is>
      </c>
      <c r="L472" t="inlineStr"/>
      <c r="M472" t="inlineStr"/>
      <c r="N472" t="inlineStr"/>
      <c r="O472" t="inlineStr"/>
      <c r="P472" t="inlineStr">
        <is>
          <t>pending</t>
        </is>
      </c>
      <c r="Q472" t="inlineStr"/>
      <c r="R472" t="inlineStr"/>
      <c r="S472" t="inlineStr"/>
      <c r="T472" t="inlineStr">
        <is>
          <t>Mapillary: 3 posted 35 mph sign(s) detected</t>
        </is>
      </c>
      <c r="U472" t="inlineStr">
        <is>
          <t>https://www.mapillary.com/app/?lat=33.179510&amp;lng=-117.259834&amp;z=19&amp;focus=map&amp;mapFeatureId=1300079054533197</t>
        </is>
      </c>
      <c r="V472">
        <f>IF(OR(L472="",S472=""),"",IF(VALUE(L472)=VALUE(S472),"Y","N"))</f>
        <v/>
      </c>
      <c r="W472">
        <f>IF(V472="Y",S472,"")</f>
        <v/>
      </c>
      <c r="X472" t="inlineStr">
        <is>
          <t>unverified: map has 35 mph (one Mapillary sign); is it 35 (LSV OK) or 40+?</t>
        </is>
      </c>
      <c r="Y472" t="inlineStr"/>
      <c r="Z472" t="n">
        <v>1396</v>
      </c>
      <c r="AA472" t="inlineStr">
        <is>
          <t>sd</t>
        </is>
      </c>
      <c r="AB472" t="inlineStr">
        <is>
          <t>sd|33.18035,-117.26157</t>
        </is>
      </c>
    </row>
    <row r="473">
      <c r="A473" t="inlineStr">
        <is>
          <t>SD-B2-472</t>
        </is>
      </c>
      <c r="B473" t="inlineStr">
        <is>
          <t>San Diego area</t>
        </is>
      </c>
      <c r="C473" t="inlineStr">
        <is>
          <t>La Jolla Scenic Drive North</t>
        </is>
      </c>
      <c r="D473" t="inlineStr">
        <is>
          <t>(see map link)</t>
        </is>
      </c>
      <c r="E473" t="inlineStr">
        <is>
          <t>Via Posada</t>
        </is>
      </c>
      <c r="F473" t="inlineStr">
        <is>
          <t>598765501</t>
        </is>
      </c>
      <c r="G473" t="n">
        <v>30</v>
      </c>
      <c r="H473" t="inlineStr">
        <is>
          <t>mapillary</t>
        </is>
      </c>
      <c r="I473" t="inlineStr">
        <is>
          <t>LSV</t>
        </is>
      </c>
      <c r="J473" t="inlineStr">
        <is>
          <t>https://www.google.com/maps/@?api=1&amp;map_action=pano&amp;viewpoint=32.861020,-117.240195&amp;heading=180</t>
        </is>
      </c>
      <c r="K473" t="inlineStr">
        <is>
          <t>https://www.google.com/maps/search/?api=1&amp;query=32.861020,-117.240195</t>
        </is>
      </c>
      <c r="L473" t="inlineStr"/>
      <c r="M473" t="inlineStr"/>
      <c r="N473" t="inlineStr"/>
      <c r="O473" t="inlineStr"/>
      <c r="P473" t="inlineStr">
        <is>
          <t>pending</t>
        </is>
      </c>
      <c r="Q473" t="inlineStr"/>
      <c r="R473" t="inlineStr"/>
      <c r="S473" t="inlineStr"/>
      <c r="T473" t="inlineStr">
        <is>
          <t>Mapillary: 4 posted 30 mph sign(s) detected</t>
        </is>
      </c>
      <c r="U473" t="inlineStr">
        <is>
          <t>https://www.mapillary.com/app/?lat=32.859028&amp;lng=-117.240140&amp;z=19&amp;focus=map&amp;mapFeatureId=217718323451385</t>
        </is>
      </c>
      <c r="V473">
        <f>IF(OR(L473="",S473=""),"",IF(VALUE(L473)=VALUE(S473),"Y","N"))</f>
        <v/>
      </c>
      <c r="W473">
        <f>IF(V473="Y",S473,"")</f>
        <v/>
      </c>
      <c r="X473" t="inlineStr">
        <is>
          <t>unverified: map has 30 mph (one Mapillary sign); is it 25 (carts OK) or 30+?</t>
        </is>
      </c>
      <c r="Y473" t="inlineStr"/>
      <c r="Z473" t="n">
        <v>1392</v>
      </c>
      <c r="AA473" t="inlineStr">
        <is>
          <t>sd</t>
        </is>
      </c>
      <c r="AB473" t="inlineStr">
        <is>
          <t>sd|32.86102,-117.24019</t>
        </is>
      </c>
    </row>
    <row r="474">
      <c r="A474" t="inlineStr">
        <is>
          <t>SD-B2-473</t>
        </is>
      </c>
      <c r="B474" t="inlineStr">
        <is>
          <t>San Diego area</t>
        </is>
      </c>
      <c r="C474" t="inlineStr">
        <is>
          <t>Camino del Sur</t>
        </is>
      </c>
      <c r="D474" t="inlineStr">
        <is>
          <t>(see map link)</t>
        </is>
      </c>
      <c r="E474" t="inlineStr">
        <is>
          <t>(see map link)</t>
        </is>
      </c>
      <c r="F474" t="inlineStr">
        <is>
          <t>1413239566</t>
        </is>
      </c>
      <c r="G474" t="inlineStr"/>
      <c r="H474" t="inlineStr">
        <is>
          <t>inferred</t>
        </is>
      </c>
      <c r="I474" t="inlineStr">
        <is>
          <t>no</t>
        </is>
      </c>
      <c r="J474" t="inlineStr">
        <is>
          <t>https://www.google.com/maps/@?api=1&amp;map_action=pano&amp;viewpoint=32.946450,-117.149260&amp;heading=182</t>
        </is>
      </c>
      <c r="K474" t="inlineStr">
        <is>
          <t>https://www.google.com/maps/search/?api=1&amp;query=32.946450,-117.149260</t>
        </is>
      </c>
      <c r="L474" t="inlineStr"/>
      <c r="M474" t="inlineStr"/>
      <c r="N474" t="inlineStr"/>
      <c r="O474" t="inlineStr"/>
      <c r="P474" t="inlineStr">
        <is>
          <t>pending</t>
        </is>
      </c>
      <c r="Q474" t="inlineStr"/>
      <c r="R474" t="inlineStr"/>
      <c r="S474" t="inlineStr"/>
      <c r="T474" t="inlineStr"/>
      <c r="U474" t="inlineStr"/>
      <c r="V474">
        <f>IF(OR(L474="",S474=""),"",IF(VALUE(L474)=VALUE(S474),"Y","N"))</f>
        <v/>
      </c>
      <c r="W474">
        <f>IF(V474="Y",S474,"")</f>
        <v/>
      </c>
      <c r="X474" t="inlineStr">
        <is>
          <t>unverified: map has no limit (guessed from road type); main road: what is posted? 35 or lower opens it to LSVs</t>
        </is>
      </c>
      <c r="Y474" t="inlineStr"/>
      <c r="Z474" t="n">
        <v>855</v>
      </c>
      <c r="AA474" t="inlineStr">
        <is>
          <t>sd</t>
        </is>
      </c>
      <c r="AB474" t="inlineStr">
        <is>
          <t>sd|32.94645,-117.14926</t>
        </is>
      </c>
    </row>
    <row r="475">
      <c r="A475" t="inlineStr">
        <is>
          <t>SD-B2-474</t>
        </is>
      </c>
      <c r="B475" t="inlineStr">
        <is>
          <t>San Diego area</t>
        </is>
      </c>
      <c r="C475" t="inlineStr">
        <is>
          <t>La Costa Avenue</t>
        </is>
      </c>
      <c r="D475" t="inlineStr">
        <is>
          <t>Quinta Street</t>
        </is>
      </c>
      <c r="E475" t="inlineStr">
        <is>
          <t>Rancho Santa Fe Road</t>
        </is>
      </c>
      <c r="F475" t="inlineStr">
        <is>
          <t>436275036</t>
        </is>
      </c>
      <c r="G475" t="n">
        <v>40</v>
      </c>
      <c r="H475" t="inlineStr">
        <is>
          <t>tag</t>
        </is>
      </c>
      <c r="I475" t="inlineStr">
        <is>
          <t>no</t>
        </is>
      </c>
      <c r="J475" t="inlineStr">
        <is>
          <t>https://www.google.com/maps/@?api=1&amp;map_action=pano&amp;viewpoint=33.086940,-117.241100&amp;heading=282</t>
        </is>
      </c>
      <c r="K475" t="inlineStr">
        <is>
          <t>https://www.google.com/maps/search/?api=1&amp;query=33.086940,-117.241100</t>
        </is>
      </c>
      <c r="L475" t="inlineStr"/>
      <c r="M475" t="inlineStr"/>
      <c r="N475" t="inlineStr"/>
      <c r="O475" t="inlineStr"/>
      <c r="P475" t="inlineStr">
        <is>
          <t>pending</t>
        </is>
      </c>
      <c r="Q475" t="inlineStr"/>
      <c r="R475" t="inlineStr"/>
      <c r="S475" t="inlineStr"/>
      <c r="T475" t="inlineStr"/>
      <c r="U475" t="inlineStr"/>
      <c r="V475">
        <f>IF(OR(L475="",S475=""),"",IF(VALUE(L475)=VALUE(S475),"Y","N"))</f>
        <v/>
      </c>
      <c r="W475">
        <f>IF(V475="Y",S475,"")</f>
        <v/>
      </c>
      <c r="X475" t="inlineStr">
        <is>
          <t>unverified: map has 40 mph (OSM tag only); is it 35 (LSV OK) or 40+?</t>
        </is>
      </c>
      <c r="Y475" t="inlineStr"/>
      <c r="Z475" t="n">
        <v>1110</v>
      </c>
      <c r="AA475" t="inlineStr">
        <is>
          <t>sd</t>
        </is>
      </c>
      <c r="AB475" t="inlineStr">
        <is>
          <t>sd|33.08694,-117.24110</t>
        </is>
      </c>
    </row>
    <row r="476">
      <c r="A476" t="inlineStr">
        <is>
          <t>SD-B2-475</t>
        </is>
      </c>
      <c r="B476" t="inlineStr">
        <is>
          <t>San Diego area</t>
        </is>
      </c>
      <c r="C476" t="inlineStr">
        <is>
          <t>Balboa Avenue</t>
        </is>
      </c>
      <c r="D476" t="inlineStr">
        <is>
          <t>(see map link)</t>
        </is>
      </c>
      <c r="E476" t="inlineStr">
        <is>
          <t>(see map link)</t>
        </is>
      </c>
      <c r="F476" t="inlineStr">
        <is>
          <t>238524438</t>
        </is>
      </c>
      <c r="G476" t="n">
        <v>45</v>
      </c>
      <c r="H476" t="inlineStr">
        <is>
          <t>mapillary</t>
        </is>
      </c>
      <c r="I476" t="inlineStr">
        <is>
          <t>no</t>
        </is>
      </c>
      <c r="J476" t="inlineStr">
        <is>
          <t>https://www.google.com/maps/@?api=1&amp;map_action=pano&amp;viewpoint=32.813350,-117.195110&amp;heading=47</t>
        </is>
      </c>
      <c r="K476" t="inlineStr">
        <is>
          <t>https://www.google.com/maps/search/?api=1&amp;query=32.813350,-117.195110</t>
        </is>
      </c>
      <c r="L476" t="inlineStr"/>
      <c r="M476" t="inlineStr"/>
      <c r="N476" t="inlineStr"/>
      <c r="O476" t="inlineStr"/>
      <c r="P476" t="inlineStr">
        <is>
          <t>pending</t>
        </is>
      </c>
      <c r="Q476" t="inlineStr"/>
      <c r="R476" t="inlineStr"/>
      <c r="S476" t="inlineStr"/>
      <c r="T476" t="inlineStr">
        <is>
          <t>Mapillary: 2 posted 45 mph sign(s) detected</t>
        </is>
      </c>
      <c r="U476" t="inlineStr">
        <is>
          <t>https://www.mapillary.com/app/?lat=32.812210&amp;lng=-117.196860&amp;z=19&amp;focus=map&amp;mapFeatureId=1392553294461720</t>
        </is>
      </c>
      <c r="V476">
        <f>IF(OR(L476="",S476=""),"",IF(VALUE(L476)=VALUE(S476),"Y","N"))</f>
        <v/>
      </c>
      <c r="W476">
        <f>IF(V476="Y",S476,"")</f>
        <v/>
      </c>
      <c r="X476" t="inlineStr">
        <is>
          <t>unverified: map has 45 mph (one Mapillary sign); main road: what is posted? 35 or lower opens it to LSVs</t>
        </is>
      </c>
      <c r="Y476" t="inlineStr"/>
      <c r="Z476" t="n">
        <v>1154</v>
      </c>
      <c r="AA476" t="inlineStr">
        <is>
          <t>sd</t>
        </is>
      </c>
      <c r="AB476" t="inlineStr">
        <is>
          <t>sd|32.81335,-117.19511</t>
        </is>
      </c>
    </row>
    <row r="477">
      <c r="A477" t="inlineStr">
        <is>
          <t>SD-B2-476</t>
        </is>
      </c>
      <c r="B477" t="inlineStr">
        <is>
          <t>San Diego area</t>
        </is>
      </c>
      <c r="C477" t="inlineStr">
        <is>
          <t>6th Avenue</t>
        </is>
      </c>
      <c r="D477" t="inlineStr">
        <is>
          <t>(see map link)</t>
        </is>
      </c>
      <c r="E477" t="inlineStr">
        <is>
          <t>Evans Place</t>
        </is>
      </c>
      <c r="F477" t="inlineStr">
        <is>
          <t>1164069324</t>
        </is>
      </c>
      <c r="G477" t="inlineStr"/>
      <c r="H477" t="inlineStr">
        <is>
          <t>inferred</t>
        </is>
      </c>
      <c r="I477" t="inlineStr">
        <is>
          <t>no</t>
        </is>
      </c>
      <c r="J477" t="inlineStr">
        <is>
          <t>https://www.google.com/maps/@?api=1&amp;map_action=pano&amp;viewpoint=32.749340,-117.159330&amp;heading=12</t>
        </is>
      </c>
      <c r="K477" t="inlineStr">
        <is>
          <t>https://www.google.com/maps/search/?api=1&amp;query=32.749340,-117.159330</t>
        </is>
      </c>
      <c r="L477" t="inlineStr"/>
      <c r="M477" t="inlineStr"/>
      <c r="N477" t="inlineStr"/>
      <c r="O477" t="inlineStr"/>
      <c r="P477" t="inlineStr">
        <is>
          <t>pending</t>
        </is>
      </c>
      <c r="Q477" t="inlineStr"/>
      <c r="R477" t="inlineStr"/>
      <c r="S477" t="inlineStr"/>
      <c r="T477" t="inlineStr"/>
      <c r="U477" t="inlineStr"/>
      <c r="V477">
        <f>IF(OR(L477="",S477=""),"",IF(VALUE(L477)=VALUE(S477),"Y","N"))</f>
        <v/>
      </c>
      <c r="W477">
        <f>IF(V477="Y",S477,"")</f>
        <v/>
      </c>
      <c r="X477" t="inlineStr">
        <is>
          <t>unverified: map has no limit (guessed from road type); main road: what is posted? 35 or lower opens it to LSVs</t>
        </is>
      </c>
      <c r="Y477" t="inlineStr"/>
      <c r="Z477" t="n">
        <v>708</v>
      </c>
      <c r="AA477" t="inlineStr">
        <is>
          <t>sd</t>
        </is>
      </c>
      <c r="AB477" t="inlineStr">
        <is>
          <t>sd|32.74934,-117.15933</t>
        </is>
      </c>
    </row>
    <row r="478">
      <c r="A478" t="inlineStr">
        <is>
          <t>SD-B2-477</t>
        </is>
      </c>
      <c r="B478" t="inlineStr">
        <is>
          <t>San Diego area</t>
        </is>
      </c>
      <c r="C478" t="inlineStr">
        <is>
          <t>Summers Ridge Road</t>
        </is>
      </c>
      <c r="D478" t="inlineStr">
        <is>
          <t>Camino Santa Fe</t>
        </is>
      </c>
      <c r="E478" t="inlineStr">
        <is>
          <t>Miratech Drive</t>
        </is>
      </c>
      <c r="F478" t="inlineStr">
        <is>
          <t>130003377</t>
        </is>
      </c>
      <c r="G478" t="n">
        <v>25</v>
      </c>
      <c r="H478" t="inlineStr">
        <is>
          <t>inferred</t>
        </is>
      </c>
      <c r="I478" t="inlineStr">
        <is>
          <t>cart+LSV</t>
        </is>
      </c>
      <c r="J478" t="inlineStr">
        <is>
          <t>https://www.google.com/maps/@?api=1&amp;map_action=pano&amp;viewpoint=32.893910,-117.171440&amp;heading=249</t>
        </is>
      </c>
      <c r="K478" t="inlineStr">
        <is>
          <t>https://www.google.com/maps/search/?api=1&amp;query=32.893910,-117.171440</t>
        </is>
      </c>
      <c r="L478" t="inlineStr"/>
      <c r="M478" t="inlineStr"/>
      <c r="N478" t="inlineStr"/>
      <c r="O478" t="inlineStr"/>
      <c r="P478" t="inlineStr">
        <is>
          <t>pending</t>
        </is>
      </c>
      <c r="Q478" t="inlineStr"/>
      <c r="R478" t="inlineStr"/>
      <c r="S478" t="inlineStr"/>
      <c r="T478" t="inlineStr"/>
      <c r="U478" t="inlineStr"/>
      <c r="V478">
        <f>IF(OR(L478="",S478=""),"",IF(VALUE(L478)=VALUE(S478),"Y","N"))</f>
        <v/>
      </c>
      <c r="W478">
        <f>IF(V478="Y",S478,"")</f>
        <v/>
      </c>
      <c r="X478" t="inlineStr">
        <is>
          <t>unverified: map has 25 mph (guessed from road type); is it 25 (carts OK) or 30+?</t>
        </is>
      </c>
      <c r="Y478" t="inlineStr"/>
      <c r="Z478" t="n">
        <v>1060</v>
      </c>
      <c r="AA478" t="inlineStr">
        <is>
          <t>sd</t>
        </is>
      </c>
      <c r="AB478" t="inlineStr">
        <is>
          <t>sd|32.89391,-117.17144</t>
        </is>
      </c>
    </row>
    <row r="479">
      <c r="A479" t="inlineStr">
        <is>
          <t>SD-B2-478</t>
        </is>
      </c>
      <c r="B479" t="inlineStr">
        <is>
          <t>San Diego area</t>
        </is>
      </c>
      <c r="C479" t="inlineStr">
        <is>
          <t>Cerro Street</t>
        </is>
      </c>
      <c r="D479" t="inlineStr">
        <is>
          <t>Avenida de Las Adelsas</t>
        </is>
      </c>
      <c r="E479" t="inlineStr">
        <is>
          <t>Taegan Lane</t>
        </is>
      </c>
      <c r="F479" t="inlineStr">
        <is>
          <t>1434938664</t>
        </is>
      </c>
      <c r="G479" t="n">
        <v>25</v>
      </c>
      <c r="H479" t="inlineStr">
        <is>
          <t>inferred</t>
        </is>
      </c>
      <c r="I479" t="inlineStr">
        <is>
          <t>cart+LSV</t>
        </is>
      </c>
      <c r="J479" t="inlineStr">
        <is>
          <t>https://www.google.com/maps/@?api=1&amp;map_action=pano&amp;viewpoint=33.043980,-117.252635&amp;heading=359</t>
        </is>
      </c>
      <c r="K479" t="inlineStr">
        <is>
          <t>https://www.google.com/maps/search/?api=1&amp;query=33.043980,-117.252635</t>
        </is>
      </c>
      <c r="L479" t="inlineStr"/>
      <c r="M479" t="inlineStr"/>
      <c r="N479" t="inlineStr"/>
      <c r="O479" t="inlineStr"/>
      <c r="P479" t="inlineStr">
        <is>
          <t>pending</t>
        </is>
      </c>
      <c r="Q479" t="inlineStr"/>
      <c r="R479" t="inlineStr"/>
      <c r="S479" t="inlineStr"/>
      <c r="T479" t="inlineStr"/>
      <c r="U479" t="inlineStr"/>
      <c r="V479">
        <f>IF(OR(L479="",S479=""),"",IF(VALUE(L479)=VALUE(S479),"Y","N"))</f>
        <v/>
      </c>
      <c r="W479">
        <f>IF(V479="Y",S479,"")</f>
        <v/>
      </c>
      <c r="X479" t="inlineStr">
        <is>
          <t>unverified: map has 25 mph (guessed from road type); is it 25 (carts OK) or 30+?</t>
        </is>
      </c>
      <c r="Y479" t="inlineStr"/>
      <c r="Z479" t="n">
        <v>1056</v>
      </c>
      <c r="AA479" t="inlineStr">
        <is>
          <t>sd</t>
        </is>
      </c>
      <c r="AB479" t="inlineStr">
        <is>
          <t>sd|33.04398,-117.25263</t>
        </is>
      </c>
    </row>
    <row r="480">
      <c r="A480" t="inlineStr">
        <is>
          <t>SD-B2-479</t>
        </is>
      </c>
      <c r="B480" t="inlineStr">
        <is>
          <t>San Diego area</t>
        </is>
      </c>
      <c r="C480" t="inlineStr">
        <is>
          <t>Glen Arbor Drive</t>
        </is>
      </c>
      <c r="D480" t="inlineStr">
        <is>
          <t>Anaconda Lane</t>
        </is>
      </c>
      <c r="E480" t="inlineStr">
        <is>
          <t>Coolngreen Way</t>
        </is>
      </c>
      <c r="F480" t="inlineStr">
        <is>
          <t>1104886705</t>
        </is>
      </c>
      <c r="G480" t="n">
        <v>25</v>
      </c>
      <c r="H480" t="inlineStr">
        <is>
          <t>tag</t>
        </is>
      </c>
      <c r="I480" t="inlineStr">
        <is>
          <t>cart+LSV</t>
        </is>
      </c>
      <c r="J480" t="inlineStr">
        <is>
          <t>https://www.google.com/maps/@?api=1&amp;map_action=pano&amp;viewpoint=33.047750,-117.241410&amp;heading=192</t>
        </is>
      </c>
      <c r="K480" t="inlineStr">
        <is>
          <t>https://www.google.com/maps/search/?api=1&amp;query=33.047750,-117.241410</t>
        </is>
      </c>
      <c r="L480" t="inlineStr"/>
      <c r="M480" t="inlineStr"/>
      <c r="N480" t="inlineStr"/>
      <c r="O480" t="inlineStr"/>
      <c r="P480" t="inlineStr">
        <is>
          <t>pending</t>
        </is>
      </c>
      <c r="Q480" t="inlineStr"/>
      <c r="R480" t="inlineStr"/>
      <c r="S480" t="inlineStr"/>
      <c r="T480" t="inlineStr"/>
      <c r="U480" t="inlineStr"/>
      <c r="V480">
        <f>IF(OR(L480="",S480=""),"",IF(VALUE(L480)=VALUE(S480),"Y","N"))</f>
        <v/>
      </c>
      <c r="W480">
        <f>IF(V480="Y",S480,"")</f>
        <v/>
      </c>
      <c r="X480" t="inlineStr">
        <is>
          <t>unverified: map has 25 mph (OSM tag only); is it 25 (carts OK) or 30+?</t>
        </is>
      </c>
      <c r="Y480" t="inlineStr"/>
      <c r="Z480" t="n">
        <v>1369</v>
      </c>
      <c r="AA480" t="inlineStr">
        <is>
          <t>sd</t>
        </is>
      </c>
      <c r="AB480" t="inlineStr">
        <is>
          <t>sd|33.04775,-117.24141</t>
        </is>
      </c>
    </row>
    <row r="481">
      <c r="A481" t="inlineStr">
        <is>
          <t>SD-B2-480</t>
        </is>
      </c>
      <c r="B481" t="inlineStr">
        <is>
          <t>San Diego area</t>
        </is>
      </c>
      <c r="C481" t="inlineStr">
        <is>
          <t>Santa Rosita</t>
        </is>
      </c>
      <c r="D481" t="inlineStr">
        <is>
          <t>Santa Helena</t>
        </is>
      </c>
      <c r="E481" t="inlineStr">
        <is>
          <t>Santa Florencia</t>
        </is>
      </c>
      <c r="F481" t="inlineStr">
        <is>
          <t>6014982</t>
        </is>
      </c>
      <c r="G481" t="n">
        <v>25</v>
      </c>
      <c r="H481" t="inlineStr">
        <is>
          <t>inferred</t>
        </is>
      </c>
      <c r="I481" t="inlineStr">
        <is>
          <t>cart+LSV</t>
        </is>
      </c>
      <c r="J481" t="inlineStr">
        <is>
          <t>https://www.google.com/maps/@?api=1&amp;map_action=pano&amp;viewpoint=33.005620,-117.254720&amp;heading=245</t>
        </is>
      </c>
      <c r="K481" t="inlineStr">
        <is>
          <t>https://www.google.com/maps/search/?api=1&amp;query=33.005620,-117.254720</t>
        </is>
      </c>
      <c r="L481" t="inlineStr"/>
      <c r="M481" t="inlineStr"/>
      <c r="N481" t="inlineStr"/>
      <c r="O481" t="inlineStr"/>
      <c r="P481" t="inlineStr">
        <is>
          <t>pending</t>
        </is>
      </c>
      <c r="Q481" t="inlineStr"/>
      <c r="R481" t="inlineStr"/>
      <c r="S481" t="inlineStr"/>
      <c r="T481" t="inlineStr"/>
      <c r="U481" t="inlineStr"/>
      <c r="V481">
        <f>IF(OR(L481="",S481=""),"",IF(VALUE(L481)=VALUE(S481),"Y","N"))</f>
        <v/>
      </c>
      <c r="W481">
        <f>IF(V481="Y",S481,"")</f>
        <v/>
      </c>
      <c r="X481" t="inlineStr">
        <is>
          <t>unverified: map has 25 mph (guessed from road type); is it 25 (carts OK) or 30+?</t>
        </is>
      </c>
      <c r="Y481" t="inlineStr"/>
      <c r="Z481" t="n">
        <v>1049</v>
      </c>
      <c r="AA481" t="inlineStr">
        <is>
          <t>sd</t>
        </is>
      </c>
      <c r="AB481" t="inlineStr">
        <is>
          <t>sd|33.00562,-117.25472</t>
        </is>
      </c>
    </row>
    <row r="482">
      <c r="A482" t="inlineStr">
        <is>
          <t>SD-B2-481</t>
        </is>
      </c>
      <c r="B482" t="inlineStr">
        <is>
          <t>San Diego area</t>
        </is>
      </c>
      <c r="C482" t="inlineStr">
        <is>
          <t>Ulric Street</t>
        </is>
      </c>
      <c r="D482" t="inlineStr">
        <is>
          <t>Linda Vista Road</t>
        </is>
      </c>
      <c r="E482" t="inlineStr">
        <is>
          <t>Comstock Street</t>
        </is>
      </c>
      <c r="F482" t="inlineStr">
        <is>
          <t>256799882</t>
        </is>
      </c>
      <c r="G482" t="n">
        <v>25</v>
      </c>
      <c r="H482" t="inlineStr">
        <is>
          <t>mapillary</t>
        </is>
      </c>
      <c r="I482" t="inlineStr">
        <is>
          <t>cart+LSV</t>
        </is>
      </c>
      <c r="J482" t="inlineStr">
        <is>
          <t>https://www.google.com/maps/@?api=1&amp;map_action=pano&amp;viewpoint=32.797420,-117.173870&amp;heading=358</t>
        </is>
      </c>
      <c r="K482" t="inlineStr">
        <is>
          <t>https://www.google.com/maps/search/?api=1&amp;query=32.797420,-117.173870</t>
        </is>
      </c>
      <c r="L482" t="inlineStr"/>
      <c r="M482" t="inlineStr"/>
      <c r="N482" t="inlineStr"/>
      <c r="O482" t="inlineStr"/>
      <c r="P482" t="inlineStr">
        <is>
          <t>pending</t>
        </is>
      </c>
      <c r="Q482" t="inlineStr"/>
      <c r="R482" t="inlineStr"/>
      <c r="S482" t="inlineStr"/>
      <c r="T482" t="inlineStr">
        <is>
          <t>Mapillary: 1 posted 25 mph sign(s) detected</t>
        </is>
      </c>
      <c r="U482" t="inlineStr">
        <is>
          <t>https://www.mapillary.com/app/?lat=32.795372&amp;lng=-117.173730&amp;z=19&amp;focus=map&amp;mapFeatureId=1056976459572329</t>
        </is>
      </c>
      <c r="V482">
        <f>IF(OR(L482="",S482=""),"",IF(VALUE(L482)=VALUE(S482),"Y","N"))</f>
        <v/>
      </c>
      <c r="W482">
        <f>IF(V482="Y",S482,"")</f>
        <v/>
      </c>
      <c r="X482" t="inlineStr">
        <is>
          <t>unverified: map has 25 mph (one Mapillary sign); is it 25 (carts OK) or 30+?</t>
        </is>
      </c>
      <c r="Y482" t="inlineStr"/>
      <c r="Z482" t="n">
        <v>1364</v>
      </c>
      <c r="AA482" t="inlineStr">
        <is>
          <t>sd</t>
        </is>
      </c>
      <c r="AB482" t="inlineStr">
        <is>
          <t>sd|32.79742,-117.17387</t>
        </is>
      </c>
    </row>
    <row r="483">
      <c r="A483" t="inlineStr">
        <is>
          <t>SD-B2-482</t>
        </is>
      </c>
      <c r="B483" t="inlineStr">
        <is>
          <t>San Diego area</t>
        </is>
      </c>
      <c r="C483" t="inlineStr">
        <is>
          <t>Flanders Drive</t>
        </is>
      </c>
      <c r="D483" t="inlineStr">
        <is>
          <t>Ahern Court</t>
        </is>
      </c>
      <c r="E483" t="inlineStr">
        <is>
          <t>Camino Ruiz</t>
        </is>
      </c>
      <c r="F483" t="inlineStr">
        <is>
          <t>583952222</t>
        </is>
      </c>
      <c r="G483" t="inlineStr"/>
      <c r="H483" t="inlineStr">
        <is>
          <t>inferred</t>
        </is>
      </c>
      <c r="I483" t="inlineStr">
        <is>
          <t>no</t>
        </is>
      </c>
      <c r="J483" t="inlineStr">
        <is>
          <t>https://www.google.com/maps/@?api=1&amp;map_action=pano&amp;viewpoint=32.906790,-117.153960&amp;heading=252</t>
        </is>
      </c>
      <c r="K483" t="inlineStr">
        <is>
          <t>https://www.google.com/maps/search/?api=1&amp;query=32.906790,-117.153960</t>
        </is>
      </c>
      <c r="L483" t="inlineStr"/>
      <c r="M483" t="inlineStr"/>
      <c r="N483" t="inlineStr"/>
      <c r="O483" t="inlineStr"/>
      <c r="P483" t="inlineStr">
        <is>
          <t>pending</t>
        </is>
      </c>
      <c r="Q483" t="inlineStr"/>
      <c r="R483" t="inlineStr"/>
      <c r="S483" t="inlineStr"/>
      <c r="T483" t="inlineStr"/>
      <c r="U483" t="inlineStr"/>
      <c r="V483">
        <f>IF(OR(L483="",S483=""),"",IF(VALUE(L483)=VALUE(S483),"Y","N"))</f>
        <v/>
      </c>
      <c r="W483">
        <f>IF(V483="Y",S483,"")</f>
        <v/>
      </c>
      <c r="X483" t="inlineStr">
        <is>
          <t>unverified: map has no limit (guessed from road type); main road: what is posted? 35 or lower opens it to LSVs</t>
        </is>
      </c>
      <c r="Y483" t="inlineStr"/>
      <c r="Z483" t="n">
        <v>837</v>
      </c>
      <c r="AA483" t="inlineStr">
        <is>
          <t>sd</t>
        </is>
      </c>
      <c r="AB483" t="inlineStr">
        <is>
          <t>sd|32.90679,-117.15396</t>
        </is>
      </c>
    </row>
    <row r="484">
      <c r="A484" t="inlineStr">
        <is>
          <t>SD-B2-483</t>
        </is>
      </c>
      <c r="B484" t="inlineStr">
        <is>
          <t>San Diego area</t>
        </is>
      </c>
      <c r="C484" t="inlineStr">
        <is>
          <t>Mission Avenue</t>
        </is>
      </c>
      <c r="D484" t="inlineStr">
        <is>
          <t>Mission Gate Drive</t>
        </is>
      </c>
      <c r="E484" t="inlineStr">
        <is>
          <t>Old Grove Road</t>
        </is>
      </c>
      <c r="F484" t="inlineStr">
        <is>
          <t>1239523775</t>
        </is>
      </c>
      <c r="G484" t="n">
        <v>45</v>
      </c>
      <c r="H484" t="inlineStr">
        <is>
          <t>tag</t>
        </is>
      </c>
      <c r="I484" t="inlineStr">
        <is>
          <t>no</t>
        </is>
      </c>
      <c r="J484" t="inlineStr">
        <is>
          <t>https://www.google.com/maps/@?api=1&amp;map_action=pano&amp;viewpoint=33.229670,-117.310080&amp;heading=286</t>
        </is>
      </c>
      <c r="K484" t="inlineStr">
        <is>
          <t>https://www.google.com/maps/search/?api=1&amp;query=33.229670,-117.310080</t>
        </is>
      </c>
      <c r="L484" t="inlineStr"/>
      <c r="M484" t="inlineStr"/>
      <c r="N484" t="inlineStr"/>
      <c r="O484" t="inlineStr"/>
      <c r="P484" t="inlineStr">
        <is>
          <t>pending</t>
        </is>
      </c>
      <c r="Q484" t="inlineStr"/>
      <c r="R484" t="inlineStr"/>
      <c r="S484" t="inlineStr"/>
      <c r="T484" t="inlineStr"/>
      <c r="U484" t="inlineStr"/>
      <c r="V484">
        <f>IF(OR(L484="",S484=""),"",IF(VALUE(L484)=VALUE(S484),"Y","N"))</f>
        <v/>
      </c>
      <c r="W484">
        <f>IF(V484="Y",S484,"")</f>
        <v/>
      </c>
      <c r="X484" t="inlineStr">
        <is>
          <t>unverified: map has 45 mph (OSM tag only); main road: what is posted? 35 or lower opens it to LSVs</t>
        </is>
      </c>
      <c r="Y484" t="inlineStr"/>
      <c r="Z484" t="n">
        <v>1088</v>
      </c>
      <c r="AA484" t="inlineStr">
        <is>
          <t>sd</t>
        </is>
      </c>
      <c r="AB484" t="inlineStr">
        <is>
          <t>sd|33.22967,-117.31008</t>
        </is>
      </c>
    </row>
    <row r="485">
      <c r="A485" t="inlineStr">
        <is>
          <t>SD-B2-484</t>
        </is>
      </c>
      <c r="B485" t="inlineStr">
        <is>
          <t>San Diego area</t>
        </is>
      </c>
      <c r="C485" t="inlineStr">
        <is>
          <t>Longhorn Drive</t>
        </is>
      </c>
      <c r="D485" t="inlineStr">
        <is>
          <t>Shadowridge Drive</t>
        </is>
      </c>
      <c r="E485" t="inlineStr">
        <is>
          <t>Promontory Ridge Way</t>
        </is>
      </c>
      <c r="F485" t="inlineStr">
        <is>
          <t>5957131</t>
        </is>
      </c>
      <c r="G485" t="n">
        <v>25</v>
      </c>
      <c r="H485" t="inlineStr">
        <is>
          <t>inferred</t>
        </is>
      </c>
      <c r="I485" t="inlineStr">
        <is>
          <t>cart+LSV</t>
        </is>
      </c>
      <c r="J485" t="inlineStr">
        <is>
          <t>https://www.google.com/maps/@?api=1&amp;map_action=pano&amp;viewpoint=33.159990,-117.250800&amp;heading=360</t>
        </is>
      </c>
      <c r="K485" t="inlineStr">
        <is>
          <t>https://www.google.com/maps/search/?api=1&amp;query=33.159990,-117.250800</t>
        </is>
      </c>
      <c r="L485" t="inlineStr"/>
      <c r="M485" t="inlineStr"/>
      <c r="N485" t="inlineStr"/>
      <c r="O485" t="inlineStr"/>
      <c r="P485" t="inlineStr">
        <is>
          <t>pending</t>
        </is>
      </c>
      <c r="Q485" t="inlineStr"/>
      <c r="R485" t="inlineStr"/>
      <c r="S485" t="inlineStr"/>
      <c r="T485" t="inlineStr"/>
      <c r="U485" t="inlineStr"/>
      <c r="V485">
        <f>IF(OR(L485="",S485=""),"",IF(VALUE(L485)=VALUE(S485),"Y","N"))</f>
        <v/>
      </c>
      <c r="W485">
        <f>IF(V485="Y",S485,"")</f>
        <v/>
      </c>
      <c r="X485" t="inlineStr">
        <is>
          <t>unverified: map has 25 mph (guessed from road type); is it 25 (carts OK) or 30+?</t>
        </is>
      </c>
      <c r="Y485" t="inlineStr"/>
      <c r="Z485" t="n">
        <v>1044</v>
      </c>
      <c r="AA485" t="inlineStr">
        <is>
          <t>sd</t>
        </is>
      </c>
      <c r="AB485" t="inlineStr">
        <is>
          <t>sd|33.15999,-117.25080</t>
        </is>
      </c>
    </row>
    <row r="486">
      <c r="A486" t="inlineStr">
        <is>
          <t>SD-B2-485</t>
        </is>
      </c>
      <c r="B486" t="inlineStr">
        <is>
          <t>San Diego area</t>
        </is>
      </c>
      <c r="C486" t="inlineStr">
        <is>
          <t>Sunset Boulevard</t>
        </is>
      </c>
      <c r="D486" t="inlineStr">
        <is>
          <t>Alameda Drive</t>
        </is>
      </c>
      <c r="E486" t="inlineStr">
        <is>
          <t>Fort Stockton Drive</t>
        </is>
      </c>
      <c r="F486" t="inlineStr">
        <is>
          <t>5956232</t>
        </is>
      </c>
      <c r="G486" t="inlineStr"/>
      <c r="H486" t="inlineStr">
        <is>
          <t>inferred</t>
        </is>
      </c>
      <c r="I486" t="inlineStr">
        <is>
          <t>no</t>
        </is>
      </c>
      <c r="J486" t="inlineStr">
        <is>
          <t>https://www.google.com/maps/@?api=1&amp;map_action=pano&amp;viewpoint=32.751235,-117.181945&amp;heading=270</t>
        </is>
      </c>
      <c r="K486" t="inlineStr">
        <is>
          <t>https://www.google.com/maps/search/?api=1&amp;query=32.751235,-117.181945</t>
        </is>
      </c>
      <c r="L486" t="inlineStr"/>
      <c r="M486" t="inlineStr"/>
      <c r="N486" t="inlineStr"/>
      <c r="O486" t="inlineStr"/>
      <c r="P486" t="inlineStr">
        <is>
          <t>pending</t>
        </is>
      </c>
      <c r="Q486" t="inlineStr"/>
      <c r="R486" t="inlineStr"/>
      <c r="S486" t="inlineStr"/>
      <c r="T486" t="inlineStr"/>
      <c r="U486" t="inlineStr"/>
      <c r="V486">
        <f>IF(OR(L486="",S486=""),"",IF(VALUE(L486)=VALUE(S486),"Y","N"))</f>
        <v/>
      </c>
      <c r="W486">
        <f>IF(V486="Y",S486,"")</f>
        <v/>
      </c>
      <c r="X486" t="inlineStr">
        <is>
          <t>unverified: map has no limit (guessed from road type); main road: what is posted? 35 or lower opens it to LSVs</t>
        </is>
      </c>
      <c r="Y486" t="inlineStr"/>
      <c r="Z486" t="n">
        <v>834</v>
      </c>
      <c r="AA486" t="inlineStr">
        <is>
          <t>sd</t>
        </is>
      </c>
      <c r="AB486" t="inlineStr">
        <is>
          <t>sd|32.75124,-117.18194</t>
        </is>
      </c>
    </row>
    <row r="487">
      <c r="A487" t="inlineStr">
        <is>
          <t>SD-B2-486</t>
        </is>
      </c>
      <c r="B487" t="inlineStr">
        <is>
          <t>San Diego area</t>
        </is>
      </c>
      <c r="C487" t="inlineStr">
        <is>
          <t>Imperial Beach Boulevard</t>
        </is>
      </c>
      <c r="D487" t="inlineStr">
        <is>
          <t>7th Street</t>
        </is>
      </c>
      <c r="E487" t="inlineStr">
        <is>
          <t>Connecticut Street</t>
        </is>
      </c>
      <c r="F487" t="inlineStr">
        <is>
          <t>1347754043</t>
        </is>
      </c>
      <c r="G487" t="n">
        <v>35</v>
      </c>
      <c r="H487" t="inlineStr">
        <is>
          <t>tag</t>
        </is>
      </c>
      <c r="I487" t="inlineStr">
        <is>
          <t>LSV</t>
        </is>
      </c>
      <c r="J487" t="inlineStr">
        <is>
          <t>https://www.google.com/maps/@?api=1&amp;map_action=pano&amp;viewpoint=32.576530,-117.115415&amp;heading=90</t>
        </is>
      </c>
      <c r="K487" t="inlineStr">
        <is>
          <t>https://www.google.com/maps/search/?api=1&amp;query=32.576530,-117.115415</t>
        </is>
      </c>
      <c r="L487" t="inlineStr"/>
      <c r="M487" t="inlineStr"/>
      <c r="N487" t="inlineStr"/>
      <c r="O487" t="inlineStr"/>
      <c r="P487" t="inlineStr">
        <is>
          <t>pending</t>
        </is>
      </c>
      <c r="Q487" t="inlineStr"/>
      <c r="R487" t="inlineStr"/>
      <c r="S487" t="inlineStr"/>
      <c r="T487" t="inlineStr"/>
      <c r="U487" t="inlineStr"/>
      <c r="V487">
        <f>IF(OR(L487="",S487=""),"",IF(VALUE(L487)=VALUE(S487),"Y","N"))</f>
        <v/>
      </c>
      <c r="W487">
        <f>IF(V487="Y",S487,"")</f>
        <v/>
      </c>
      <c r="X487" t="inlineStr">
        <is>
          <t>unverified: map has 35 mph (OSM tag only); is it 35 (LSV OK) or 40+?</t>
        </is>
      </c>
      <c r="Y487" t="inlineStr"/>
      <c r="Z487" t="n">
        <v>903</v>
      </c>
      <c r="AA487" t="inlineStr">
        <is>
          <t>sd</t>
        </is>
      </c>
      <c r="AB487" t="inlineStr">
        <is>
          <t>sd|32.57653,-117.11541</t>
        </is>
      </c>
    </row>
    <row r="488">
      <c r="A488" t="inlineStr">
        <is>
          <t>SD-B2-487</t>
        </is>
      </c>
      <c r="B488" t="inlineStr">
        <is>
          <t>San Diego area</t>
        </is>
      </c>
      <c r="C488" t="inlineStr">
        <is>
          <t>Calle Mar de Mariposa</t>
        </is>
      </c>
      <c r="D488" t="inlineStr">
        <is>
          <t>Calle Mejillones</t>
        </is>
      </c>
      <c r="E488" t="inlineStr">
        <is>
          <t>Vista Sorrento Parkway</t>
        </is>
      </c>
      <c r="F488" t="inlineStr">
        <is>
          <t>272205772</t>
        </is>
      </c>
      <c r="G488" t="n">
        <v>25</v>
      </c>
      <c r="H488" t="inlineStr">
        <is>
          <t>inferred</t>
        </is>
      </c>
      <c r="I488" t="inlineStr">
        <is>
          <t>cart+LSV</t>
        </is>
      </c>
      <c r="J488" t="inlineStr">
        <is>
          <t>https://www.google.com/maps/@?api=1&amp;map_action=pano&amp;viewpoint=32.913570,-117.227210&amp;heading=68</t>
        </is>
      </c>
      <c r="K488" t="inlineStr">
        <is>
          <t>https://www.google.com/maps/search/?api=1&amp;query=32.913570,-117.227210</t>
        </is>
      </c>
      <c r="L488" t="inlineStr"/>
      <c r="M488" t="inlineStr"/>
      <c r="N488" t="inlineStr"/>
      <c r="O488" t="inlineStr"/>
      <c r="P488" t="inlineStr">
        <is>
          <t>pending</t>
        </is>
      </c>
      <c r="Q488" t="inlineStr"/>
      <c r="R488" t="inlineStr"/>
      <c r="S488" t="inlineStr"/>
      <c r="T488" t="inlineStr"/>
      <c r="U488" t="inlineStr"/>
      <c r="V488">
        <f>IF(OR(L488="",S488=""),"",IF(VALUE(L488)=VALUE(S488),"Y","N"))</f>
        <v/>
      </c>
      <c r="W488">
        <f>IF(V488="Y",S488,"")</f>
        <v/>
      </c>
      <c r="X488" t="inlineStr">
        <is>
          <t>unverified: map has 25 mph (guessed from road type); is it 25 (carts OK) or 30+?</t>
        </is>
      </c>
      <c r="Y488" t="inlineStr"/>
      <c r="Z488" t="n">
        <v>1040</v>
      </c>
      <c r="AA488" t="inlineStr">
        <is>
          <t>sd</t>
        </is>
      </c>
      <c r="AB488" t="inlineStr">
        <is>
          <t>sd|32.91357,-117.22721</t>
        </is>
      </c>
    </row>
    <row r="489">
      <c r="A489" t="inlineStr">
        <is>
          <t>SD-B2-488</t>
        </is>
      </c>
      <c r="B489" t="inlineStr">
        <is>
          <t>San Diego area</t>
        </is>
      </c>
      <c r="C489" t="inlineStr">
        <is>
          <t>Grand Pacific Drive</t>
        </is>
      </c>
      <c r="D489" t="inlineStr">
        <is>
          <t>(see map link)</t>
        </is>
      </c>
      <c r="E489" t="inlineStr">
        <is>
          <t>Drake Way</t>
        </is>
      </c>
      <c r="F489" t="inlineStr">
        <is>
          <t>351445727</t>
        </is>
      </c>
      <c r="G489" t="n">
        <v>25</v>
      </c>
      <c r="H489" t="inlineStr">
        <is>
          <t>inferred</t>
        </is>
      </c>
      <c r="I489" t="inlineStr">
        <is>
          <t>cart+LSV</t>
        </is>
      </c>
      <c r="J489" t="inlineStr">
        <is>
          <t>https://www.google.com/maps/@?api=1&amp;map_action=pano&amp;viewpoint=33.131300,-117.310060&amp;heading=342</t>
        </is>
      </c>
      <c r="K489" t="inlineStr">
        <is>
          <t>https://www.google.com/maps/search/?api=1&amp;query=33.131300,-117.310060</t>
        </is>
      </c>
      <c r="L489" t="inlineStr"/>
      <c r="M489" t="inlineStr"/>
      <c r="N489" t="inlineStr"/>
      <c r="O489" t="inlineStr"/>
      <c r="P489" t="inlineStr">
        <is>
          <t>pending</t>
        </is>
      </c>
      <c r="Q489" t="inlineStr"/>
      <c r="R489" t="inlineStr"/>
      <c r="S489" t="inlineStr"/>
      <c r="T489" t="inlineStr"/>
      <c r="U489" t="inlineStr"/>
      <c r="V489">
        <f>IF(OR(L489="",S489=""),"",IF(VALUE(L489)=VALUE(S489),"Y","N"))</f>
        <v/>
      </c>
      <c r="W489">
        <f>IF(V489="Y",S489,"")</f>
        <v/>
      </c>
      <c r="X489" t="inlineStr">
        <is>
          <t>unverified: map has 25 mph (guessed from road type); is it 25 (carts OK) or 30+?</t>
        </is>
      </c>
      <c r="Y489" t="inlineStr"/>
      <c r="Z489" t="n">
        <v>1038</v>
      </c>
      <c r="AA489" t="inlineStr">
        <is>
          <t>sd</t>
        </is>
      </c>
      <c r="AB489" t="inlineStr">
        <is>
          <t>sd|33.13130,-117.31006</t>
        </is>
      </c>
    </row>
    <row r="490">
      <c r="A490" t="inlineStr">
        <is>
          <t>SD-B2-489</t>
        </is>
      </c>
      <c r="B490" t="inlineStr">
        <is>
          <t>San Diego area</t>
        </is>
      </c>
      <c r="C490" t="inlineStr">
        <is>
          <t>Ulric Street</t>
        </is>
      </c>
      <c r="D490" t="inlineStr">
        <is>
          <t>(see map link)</t>
        </is>
      </c>
      <c r="E490" t="inlineStr">
        <is>
          <t>Fashion Hills Boulevard</t>
        </is>
      </c>
      <c r="F490" t="inlineStr">
        <is>
          <t>1092802704</t>
        </is>
      </c>
      <c r="G490" t="n">
        <v>40</v>
      </c>
      <c r="H490" t="inlineStr">
        <is>
          <t>tag</t>
        </is>
      </c>
      <c r="I490" t="inlineStr">
        <is>
          <t>no</t>
        </is>
      </c>
      <c r="J490" t="inlineStr">
        <is>
          <t>https://www.google.com/maps/@?api=1&amp;map_action=pano&amp;viewpoint=32.776620,-117.169060&amp;heading=1</t>
        </is>
      </c>
      <c r="K490" t="inlineStr">
        <is>
          <t>https://www.google.com/maps/search/?api=1&amp;query=32.776620,-117.169060</t>
        </is>
      </c>
      <c r="L490" t="inlineStr"/>
      <c r="M490" t="inlineStr"/>
      <c r="N490" t="inlineStr"/>
      <c r="O490" t="inlineStr"/>
      <c r="P490" t="inlineStr">
        <is>
          <t>pending</t>
        </is>
      </c>
      <c r="Q490" t="inlineStr"/>
      <c r="R490" t="inlineStr"/>
      <c r="S490" t="inlineStr"/>
      <c r="T490" t="inlineStr"/>
      <c r="U490" t="inlineStr"/>
      <c r="V490">
        <f>IF(OR(L490="",S490=""),"",IF(VALUE(L490)=VALUE(S490),"Y","N"))</f>
        <v/>
      </c>
      <c r="W490">
        <f>IF(V490="Y",S490,"")</f>
        <v/>
      </c>
      <c r="X490" t="inlineStr">
        <is>
          <t>unverified: map has 40 mph (OSM tag only); is it 35 (LSV OK) or 40+?</t>
        </is>
      </c>
      <c r="Y490" t="inlineStr"/>
      <c r="Z490" t="n">
        <v>1075</v>
      </c>
      <c r="AA490" t="inlineStr">
        <is>
          <t>sd</t>
        </is>
      </c>
      <c r="AB490" t="inlineStr">
        <is>
          <t>sd|32.77662,-117.16906</t>
        </is>
      </c>
    </row>
    <row r="491">
      <c r="A491" t="inlineStr">
        <is>
          <t>SD-B2-490</t>
        </is>
      </c>
      <c r="B491" t="inlineStr">
        <is>
          <t>San Diego area</t>
        </is>
      </c>
      <c r="C491" t="inlineStr">
        <is>
          <t>Camino del Sur</t>
        </is>
      </c>
      <c r="D491" t="inlineStr">
        <is>
          <t>Torrey Santa Fe Road</t>
        </is>
      </c>
      <c r="E491" t="inlineStr">
        <is>
          <t>Carmel Mountain Road</t>
        </is>
      </c>
      <c r="F491" t="inlineStr">
        <is>
          <t>1078919775</t>
        </is>
      </c>
      <c r="G491" t="inlineStr"/>
      <c r="H491" t="inlineStr">
        <is>
          <t>inferred</t>
        </is>
      </c>
      <c r="I491" t="inlineStr">
        <is>
          <t>no</t>
        </is>
      </c>
      <c r="J491" t="inlineStr">
        <is>
          <t>https://www.google.com/maps/@?api=1&amp;map_action=pano&amp;viewpoint=32.952000,-117.152700&amp;heading=168</t>
        </is>
      </c>
      <c r="K491" t="inlineStr">
        <is>
          <t>https://www.google.com/maps/search/?api=1&amp;query=32.952000,-117.152700</t>
        </is>
      </c>
      <c r="L491" t="inlineStr"/>
      <c r="M491" t="inlineStr"/>
      <c r="N491" t="inlineStr"/>
      <c r="O491" t="inlineStr"/>
      <c r="P491" t="inlineStr">
        <is>
          <t>pending</t>
        </is>
      </c>
      <c r="Q491" t="inlineStr"/>
      <c r="R491" t="inlineStr"/>
      <c r="S491" t="inlineStr"/>
      <c r="T491" t="inlineStr"/>
      <c r="U491" t="inlineStr"/>
      <c r="V491">
        <f>IF(OR(L491="",S491=""),"",IF(VALUE(L491)=VALUE(S491),"Y","N"))</f>
        <v/>
      </c>
      <c r="W491">
        <f>IF(V491="Y",S491,"")</f>
        <v/>
      </c>
      <c r="X491" t="inlineStr">
        <is>
          <t>unverified: map has no limit (guessed from road type); main road: what is posted? 35 or lower opens it to LSVs</t>
        </is>
      </c>
      <c r="Y491" t="inlineStr"/>
      <c r="Z491" t="n">
        <v>826</v>
      </c>
      <c r="AA491" t="inlineStr">
        <is>
          <t>sd</t>
        </is>
      </c>
      <c r="AB491" t="inlineStr">
        <is>
          <t>sd|32.95200,-117.15270</t>
        </is>
      </c>
    </row>
    <row r="492">
      <c r="A492" t="inlineStr">
        <is>
          <t>SD-B2-491</t>
        </is>
      </c>
      <c r="B492" t="inlineStr">
        <is>
          <t>San Diego area</t>
        </is>
      </c>
      <c r="C492" t="inlineStr">
        <is>
          <t>West Ocean Air Drive</t>
        </is>
      </c>
      <c r="D492" t="inlineStr">
        <is>
          <t>Calle Mar de Mariposa</t>
        </is>
      </c>
      <c r="E492" t="inlineStr">
        <is>
          <t>Via Cangrejo</t>
        </is>
      </c>
      <c r="F492" t="inlineStr">
        <is>
          <t>161270663</t>
        </is>
      </c>
      <c r="G492" t="n">
        <v>25</v>
      </c>
      <c r="H492" t="inlineStr">
        <is>
          <t>inferred</t>
        </is>
      </c>
      <c r="I492" t="inlineStr">
        <is>
          <t>cart+LSV</t>
        </is>
      </c>
      <c r="J492" t="inlineStr">
        <is>
          <t>https://www.google.com/maps/@?api=1&amp;map_action=pano&amp;viewpoint=32.915480,-117.225620&amp;heading=351</t>
        </is>
      </c>
      <c r="K492" t="inlineStr">
        <is>
          <t>https://www.google.com/maps/search/?api=1&amp;query=32.915480,-117.225620</t>
        </is>
      </c>
      <c r="L492" t="inlineStr"/>
      <c r="M492" t="inlineStr"/>
      <c r="N492" t="inlineStr"/>
      <c r="O492" t="inlineStr"/>
      <c r="P492" t="inlineStr">
        <is>
          <t>pending</t>
        </is>
      </c>
      <c r="Q492" t="inlineStr"/>
      <c r="R492" t="inlineStr"/>
      <c r="S492" t="inlineStr"/>
      <c r="T492" t="inlineStr"/>
      <c r="U492" t="inlineStr"/>
      <c r="V492">
        <f>IF(OR(L492="",S492=""),"",IF(VALUE(L492)=VALUE(S492),"Y","N"))</f>
        <v/>
      </c>
      <c r="W492">
        <f>IF(V492="Y",S492,"")</f>
        <v/>
      </c>
      <c r="X492" t="inlineStr">
        <is>
          <t>unverified: map has 25 mph (guessed from road type); is it 25 (carts OK) or 30+?</t>
        </is>
      </c>
      <c r="Y492" t="inlineStr"/>
      <c r="Z492" t="n">
        <v>1032</v>
      </c>
      <c r="AA492" t="inlineStr">
        <is>
          <t>sd</t>
        </is>
      </c>
      <c r="AB492" t="inlineStr">
        <is>
          <t>sd|32.91548,-117.22562</t>
        </is>
      </c>
    </row>
    <row r="493">
      <c r="A493" t="inlineStr">
        <is>
          <t>SD-B2-492</t>
        </is>
      </c>
      <c r="B493" t="inlineStr">
        <is>
          <t>San Diego area</t>
        </is>
      </c>
      <c r="C493" t="inlineStr">
        <is>
          <t>El Camino Real</t>
        </is>
      </c>
      <c r="D493" t="inlineStr">
        <is>
          <t>Hosp Way</t>
        </is>
      </c>
      <c r="E493" t="inlineStr">
        <is>
          <t>Marron Road</t>
        </is>
      </c>
      <c r="F493" t="inlineStr">
        <is>
          <t>1461812108</t>
        </is>
      </c>
      <c r="G493" t="inlineStr"/>
      <c r="H493" t="inlineStr">
        <is>
          <t>inferred</t>
        </is>
      </c>
      <c r="I493" t="inlineStr">
        <is>
          <t>no</t>
        </is>
      </c>
      <c r="J493" t="inlineStr">
        <is>
          <t>https://www.google.com/maps/@?api=1&amp;map_action=pano&amp;viewpoint=33.173200,-117.323740&amp;heading=142</t>
        </is>
      </c>
      <c r="K493" t="inlineStr">
        <is>
          <t>https://www.google.com/maps/search/?api=1&amp;query=33.173200,-117.323740</t>
        </is>
      </c>
      <c r="L493" t="inlineStr"/>
      <c r="M493" t="inlineStr"/>
      <c r="N493" t="inlineStr"/>
      <c r="O493" t="inlineStr"/>
      <c r="P493" t="inlineStr">
        <is>
          <t>pending</t>
        </is>
      </c>
      <c r="Q493" t="inlineStr"/>
      <c r="R493" t="inlineStr"/>
      <c r="S493" t="inlineStr"/>
      <c r="T493" t="inlineStr"/>
      <c r="U493" t="inlineStr"/>
      <c r="V493">
        <f>IF(OR(L493="",S493=""),"",IF(VALUE(L493)=VALUE(S493),"Y","N"))</f>
        <v/>
      </c>
      <c r="W493">
        <f>IF(V493="Y",S493,"")</f>
        <v/>
      </c>
      <c r="X493" t="inlineStr">
        <is>
          <t>unverified: map has no limit (guessed from road type); main road: what is posted? 35 or lower opens it to LSVs</t>
        </is>
      </c>
      <c r="Y493" t="inlineStr"/>
      <c r="Z493" t="n">
        <v>688</v>
      </c>
      <c r="AA493" t="inlineStr">
        <is>
          <t>sd</t>
        </is>
      </c>
      <c r="AB493" t="inlineStr">
        <is>
          <t>sd|33.17320,-117.32374</t>
        </is>
      </c>
    </row>
    <row r="494">
      <c r="A494" t="inlineStr">
        <is>
          <t>SD-B2-493</t>
        </is>
      </c>
      <c r="B494" t="inlineStr">
        <is>
          <t>San Diego area</t>
        </is>
      </c>
      <c r="C494" t="inlineStr">
        <is>
          <t>Via de la Cumbre</t>
        </is>
      </c>
      <c r="D494" t="inlineStr">
        <is>
          <t>San Elijo Avenue</t>
        </is>
      </c>
      <c r="E494" t="inlineStr">
        <is>
          <t>Avenida de Acacias</t>
        </is>
      </c>
      <c r="F494" t="inlineStr">
        <is>
          <t>6050849</t>
        </is>
      </c>
      <c r="G494" t="n">
        <v>25</v>
      </c>
      <c r="H494" t="inlineStr">
        <is>
          <t>inferred</t>
        </is>
      </c>
      <c r="I494" t="inlineStr">
        <is>
          <t>cart+LSV</t>
        </is>
      </c>
      <c r="J494" t="inlineStr">
        <is>
          <t>https://www.google.com/maps/@?api=1&amp;map_action=pano&amp;viewpoint=33.025350,-117.207130&amp;heading=76</t>
        </is>
      </c>
      <c r="K494" t="inlineStr">
        <is>
          <t>https://www.google.com/maps/search/?api=1&amp;query=33.025350,-117.207130</t>
        </is>
      </c>
      <c r="L494" t="inlineStr"/>
      <c r="M494" t="inlineStr"/>
      <c r="N494" t="inlineStr"/>
      <c r="O494" t="inlineStr"/>
      <c r="P494" t="inlineStr">
        <is>
          <t>pending</t>
        </is>
      </c>
      <c r="Q494" t="inlineStr"/>
      <c r="R494" t="inlineStr"/>
      <c r="S494" t="inlineStr"/>
      <c r="T494" t="inlineStr"/>
      <c r="U494" t="inlineStr"/>
      <c r="V494">
        <f>IF(OR(L494="",S494=""),"",IF(VALUE(L494)=VALUE(S494),"Y","N"))</f>
        <v/>
      </c>
      <c r="W494">
        <f>IF(V494="Y",S494,"")</f>
        <v/>
      </c>
      <c r="X494" t="inlineStr">
        <is>
          <t>unverified: map has 25 mph (guessed from road type); is it 25 (carts OK) or 30+?</t>
        </is>
      </c>
      <c r="Y494" t="inlineStr"/>
      <c r="Z494" t="n">
        <v>1032</v>
      </c>
      <c r="AA494" t="inlineStr">
        <is>
          <t>sd</t>
        </is>
      </c>
      <c r="AB494" t="inlineStr">
        <is>
          <t>sd|33.02535,-117.20713</t>
        </is>
      </c>
    </row>
    <row r="495">
      <c r="A495" t="inlineStr">
        <is>
          <t>SD-B2-494</t>
        </is>
      </c>
      <c r="B495" t="inlineStr">
        <is>
          <t>San Diego area</t>
        </is>
      </c>
      <c r="C495" t="inlineStr">
        <is>
          <t>Camino Santa Fe</t>
        </is>
      </c>
      <c r="D495" t="inlineStr">
        <is>
          <t>Spectrum Lane</t>
        </is>
      </c>
      <c r="E495" t="inlineStr">
        <is>
          <t>Construction Court</t>
        </is>
      </c>
      <c r="F495" t="inlineStr">
        <is>
          <t>130002912</t>
        </is>
      </c>
      <c r="G495" t="n">
        <v>40</v>
      </c>
      <c r="H495" t="inlineStr">
        <is>
          <t>tag</t>
        </is>
      </c>
      <c r="I495" t="inlineStr">
        <is>
          <t>no</t>
        </is>
      </c>
      <c r="J495" t="inlineStr">
        <is>
          <t>https://www.google.com/maps/@?api=1&amp;map_action=pano&amp;viewpoint=32.881610,-117.170470&amp;heading=256</t>
        </is>
      </c>
      <c r="K495" t="inlineStr">
        <is>
          <t>https://www.google.com/maps/search/?api=1&amp;query=32.881610,-117.170470</t>
        </is>
      </c>
      <c r="L495" t="inlineStr"/>
      <c r="M495" t="inlineStr"/>
      <c r="N495" t="inlineStr"/>
      <c r="O495" t="inlineStr"/>
      <c r="P495" t="inlineStr">
        <is>
          <t>pending</t>
        </is>
      </c>
      <c r="Q495" t="inlineStr"/>
      <c r="R495" t="inlineStr"/>
      <c r="S495" t="inlineStr"/>
      <c r="T495" t="inlineStr"/>
      <c r="U495" t="inlineStr"/>
      <c r="V495">
        <f>IF(OR(L495="",S495=""),"",IF(VALUE(L495)=VALUE(S495),"Y","N"))</f>
        <v/>
      </c>
      <c r="W495">
        <f>IF(V495="Y",S495,"")</f>
        <v/>
      </c>
      <c r="X495" t="inlineStr">
        <is>
          <t>unverified: map has 40 mph (OSM tag only); is it 35 (LSV OK) or 40+?</t>
        </is>
      </c>
      <c r="Y495" t="inlineStr"/>
      <c r="Z495" t="n">
        <v>893</v>
      </c>
      <c r="AA495" t="inlineStr">
        <is>
          <t>sd</t>
        </is>
      </c>
      <c r="AB495" t="inlineStr">
        <is>
          <t>sd|32.88161,-117.17047</t>
        </is>
      </c>
    </row>
    <row r="496">
      <c r="A496" t="inlineStr">
        <is>
          <t>SD-B2-495</t>
        </is>
      </c>
      <c r="B496" t="inlineStr">
        <is>
          <t>San Diego area</t>
        </is>
      </c>
      <c r="C496" t="inlineStr">
        <is>
          <t>Vista Way</t>
        </is>
      </c>
      <c r="D496" t="inlineStr">
        <is>
          <t>(see map link)</t>
        </is>
      </c>
      <c r="E496" t="inlineStr">
        <is>
          <t>South El Camino Real</t>
        </is>
      </c>
      <c r="F496" t="inlineStr">
        <is>
          <t>6002714</t>
        </is>
      </c>
      <c r="G496" t="n">
        <v>40</v>
      </c>
      <c r="H496" t="inlineStr">
        <is>
          <t>tag</t>
        </is>
      </c>
      <c r="I496" t="inlineStr">
        <is>
          <t>no</t>
        </is>
      </c>
      <c r="J496" t="inlineStr">
        <is>
          <t>https://www.google.com/maps/@?api=1&amp;map_action=pano&amp;viewpoint=33.183245,-117.334075&amp;heading=90</t>
        </is>
      </c>
      <c r="K496" t="inlineStr">
        <is>
          <t>https://www.google.com/maps/search/?api=1&amp;query=33.183245,-117.334075</t>
        </is>
      </c>
      <c r="L496" t="inlineStr"/>
      <c r="M496" t="inlineStr"/>
      <c r="N496" t="inlineStr"/>
      <c r="O496" t="inlineStr"/>
      <c r="P496" t="inlineStr">
        <is>
          <t>pending</t>
        </is>
      </c>
      <c r="Q496" t="inlineStr"/>
      <c r="R496" t="inlineStr"/>
      <c r="S496" t="inlineStr"/>
      <c r="T496" t="inlineStr"/>
      <c r="U496" t="inlineStr"/>
      <c r="V496">
        <f>IF(OR(L496="",S496=""),"",IF(VALUE(L496)=VALUE(S496),"Y","N"))</f>
        <v/>
      </c>
      <c r="W496">
        <f>IF(V496="Y",S496,"")</f>
        <v/>
      </c>
      <c r="X496" t="inlineStr">
        <is>
          <t>unverified: map has 40 mph (OSM tag only); is it 35 (LSV OK) or 40+?</t>
        </is>
      </c>
      <c r="Y496" t="inlineStr"/>
      <c r="Z496" t="n">
        <v>1068</v>
      </c>
      <c r="AA496" t="inlineStr">
        <is>
          <t>sd</t>
        </is>
      </c>
      <c r="AB496" t="inlineStr">
        <is>
          <t>sd|33.18324,-117.33407</t>
        </is>
      </c>
    </row>
    <row r="497">
      <c r="A497" t="inlineStr">
        <is>
          <t>SD-B2-496</t>
        </is>
      </c>
      <c r="B497" t="inlineStr">
        <is>
          <t>San Diego area</t>
        </is>
      </c>
      <c r="C497" t="inlineStr">
        <is>
          <t>Genesee Avenue</t>
        </is>
      </c>
      <c r="D497" t="inlineStr">
        <is>
          <t>(see map link)</t>
        </is>
      </c>
      <c r="E497" t="inlineStr">
        <is>
          <t>Science Center Drive</t>
        </is>
      </c>
      <c r="F497" t="inlineStr">
        <is>
          <t>1080416622</t>
        </is>
      </c>
      <c r="G497" t="n">
        <v>45</v>
      </c>
      <c r="H497" t="inlineStr">
        <is>
          <t>tag</t>
        </is>
      </c>
      <c r="I497" t="inlineStr">
        <is>
          <t>no</t>
        </is>
      </c>
      <c r="J497" t="inlineStr">
        <is>
          <t>https://www.google.com/maps/@?api=1&amp;map_action=pano&amp;viewpoint=32.890090,-117.234940&amp;heading=295</t>
        </is>
      </c>
      <c r="K497" t="inlineStr">
        <is>
          <t>https://www.google.com/maps/search/?api=1&amp;query=32.890090,-117.234940</t>
        </is>
      </c>
      <c r="L497" t="inlineStr"/>
      <c r="M497" t="inlineStr"/>
      <c r="N497" t="inlineStr"/>
      <c r="O497" t="inlineStr"/>
      <c r="P497" t="inlineStr">
        <is>
          <t>pending</t>
        </is>
      </c>
      <c r="Q497" t="inlineStr"/>
      <c r="R497" t="inlineStr"/>
      <c r="S497" t="inlineStr"/>
      <c r="T497" t="inlineStr"/>
      <c r="U497" t="inlineStr"/>
      <c r="V497">
        <f>IF(OR(L497="",S497=""),"",IF(VALUE(L497)=VALUE(S497),"Y","N"))</f>
        <v/>
      </c>
      <c r="W497">
        <f>IF(V497="Y",S497,"")</f>
        <v/>
      </c>
      <c r="X497" t="inlineStr">
        <is>
          <t>unverified: map has 45 mph (OSM tag only); main road: what is posted? 35 or lower opens it to LSVs</t>
        </is>
      </c>
      <c r="Y497" t="inlineStr"/>
      <c r="Z497" t="n">
        <v>888</v>
      </c>
      <c r="AA497" t="inlineStr">
        <is>
          <t>sd</t>
        </is>
      </c>
      <c r="AB497" t="inlineStr">
        <is>
          <t>sd|32.89009,-117.23494</t>
        </is>
      </c>
    </row>
    <row r="498">
      <c r="A498" t="inlineStr">
        <is>
          <t>SD-B2-497</t>
        </is>
      </c>
      <c r="B498" t="inlineStr">
        <is>
          <t>San Diego area</t>
        </is>
      </c>
      <c r="C498" t="inlineStr">
        <is>
          <t>Charmant Drive</t>
        </is>
      </c>
      <c r="D498" t="inlineStr">
        <is>
          <t>(see map link)</t>
        </is>
      </c>
      <c r="E498" t="inlineStr">
        <is>
          <t>La Jolla Colony Drive</t>
        </is>
      </c>
      <c r="F498" t="inlineStr">
        <is>
          <t>224703869</t>
        </is>
      </c>
      <c r="G498" t="n">
        <v>35</v>
      </c>
      <c r="H498" t="inlineStr">
        <is>
          <t>tag</t>
        </is>
      </c>
      <c r="I498" t="inlineStr">
        <is>
          <t>LSV</t>
        </is>
      </c>
      <c r="J498" t="inlineStr">
        <is>
          <t>https://www.google.com/maps/@?api=1&amp;map_action=pano&amp;viewpoint=32.862630,-117.228930&amp;heading=165</t>
        </is>
      </c>
      <c r="K498" t="inlineStr">
        <is>
          <t>https://www.google.com/maps/search/?api=1&amp;query=32.862630,-117.228930</t>
        </is>
      </c>
      <c r="L498" t="inlineStr"/>
      <c r="M498" t="inlineStr"/>
      <c r="N498" t="inlineStr"/>
      <c r="O498" t="inlineStr"/>
      <c r="P498" t="inlineStr">
        <is>
          <t>pending</t>
        </is>
      </c>
      <c r="Q498" t="inlineStr"/>
      <c r="R498" t="inlineStr"/>
      <c r="S498" t="inlineStr"/>
      <c r="T498" t="inlineStr"/>
      <c r="U498" t="inlineStr"/>
      <c r="V498">
        <f>IF(OR(L498="",S498=""),"",IF(VALUE(L498)=VALUE(S498),"Y","N"))</f>
        <v/>
      </c>
      <c r="W498">
        <f>IF(V498="Y",S498,"")</f>
        <v/>
      </c>
      <c r="X498" t="inlineStr">
        <is>
          <t>unverified: map has 35 mph (OSM tag only); is it 35 (LSV OK) or 40+?</t>
        </is>
      </c>
      <c r="Y498" t="inlineStr"/>
      <c r="Z498" t="n">
        <v>1331</v>
      </c>
      <c r="AA498" t="inlineStr">
        <is>
          <t>sd</t>
        </is>
      </c>
      <c r="AB498" t="inlineStr">
        <is>
          <t>sd|32.86263,-117.22893</t>
        </is>
      </c>
    </row>
    <row r="499">
      <c r="A499" t="inlineStr">
        <is>
          <t>SD-B2-498</t>
        </is>
      </c>
      <c r="B499" t="inlineStr">
        <is>
          <t>San Diego area</t>
        </is>
      </c>
      <c r="C499" t="inlineStr">
        <is>
          <t>1st Avenue</t>
        </is>
      </c>
      <c r="D499" t="inlineStr">
        <is>
          <t>Elm Street</t>
        </is>
      </c>
      <c r="E499" t="inlineStr">
        <is>
          <t>East C Street</t>
        </is>
      </c>
      <c r="F499" t="inlineStr">
        <is>
          <t>436291016</t>
        </is>
      </c>
      <c r="G499" t="inlineStr"/>
      <c r="H499" t="inlineStr">
        <is>
          <t>inferred</t>
        </is>
      </c>
      <c r="I499" t="inlineStr">
        <is>
          <t>no</t>
        </is>
      </c>
      <c r="J499" t="inlineStr">
        <is>
          <t>https://www.google.com/maps/@?api=1&amp;map_action=pano&amp;viewpoint=32.721500,-117.163865&amp;heading=360</t>
        </is>
      </c>
      <c r="K499" t="inlineStr">
        <is>
          <t>https://www.google.com/maps/search/?api=1&amp;query=32.721500,-117.163865</t>
        </is>
      </c>
      <c r="L499" t="inlineStr"/>
      <c r="M499" t="inlineStr"/>
      <c r="N499" t="inlineStr"/>
      <c r="O499" t="inlineStr"/>
      <c r="P499" t="inlineStr">
        <is>
          <t>pending</t>
        </is>
      </c>
      <c r="Q499" t="inlineStr"/>
      <c r="R499" t="inlineStr"/>
      <c r="S499" t="inlineStr"/>
      <c r="T499" t="inlineStr"/>
      <c r="U499" t="inlineStr"/>
      <c r="V499">
        <f>IF(OR(L499="",S499=""),"",IF(VALUE(L499)=VALUE(S499),"Y","N"))</f>
        <v/>
      </c>
      <c r="W499">
        <f>IF(V499="Y",S499,"")</f>
        <v/>
      </c>
      <c r="X499" t="inlineStr">
        <is>
          <t>unverified: map has no limit (guessed from road type); main road: what is posted? 35 or lower opens it to LSVs</t>
        </is>
      </c>
      <c r="Y499" t="inlineStr"/>
      <c r="Z499" t="n">
        <v>818</v>
      </c>
      <c r="AA499" t="inlineStr">
        <is>
          <t>sd</t>
        </is>
      </c>
      <c r="AB499" t="inlineStr">
        <is>
          <t>sd|32.72150,-117.16387</t>
        </is>
      </c>
    </row>
    <row r="500">
      <c r="A500" t="inlineStr">
        <is>
          <t>SD-B2-499</t>
        </is>
      </c>
      <c r="B500" t="inlineStr">
        <is>
          <t>San Diego area</t>
        </is>
      </c>
      <c r="C500" t="inlineStr">
        <is>
          <t>South Cedros Avenue</t>
        </is>
      </c>
      <c r="D500" t="inlineStr">
        <is>
          <t>(see map link)</t>
        </is>
      </c>
      <c r="E500" t="inlineStr">
        <is>
          <t>Lomas Santa Fe Drive</t>
        </is>
      </c>
      <c r="F500" t="inlineStr">
        <is>
          <t>1056071681</t>
        </is>
      </c>
      <c r="G500" t="n">
        <v>25</v>
      </c>
      <c r="H500" t="inlineStr">
        <is>
          <t>tag</t>
        </is>
      </c>
      <c r="I500" t="inlineStr">
        <is>
          <t>cart+LSV</t>
        </is>
      </c>
      <c r="J500" t="inlineStr">
        <is>
          <t>https://www.google.com/maps/@?api=1&amp;map_action=pano&amp;viewpoint=32.983610,-117.268635&amp;heading=169</t>
        </is>
      </c>
      <c r="K500" t="inlineStr">
        <is>
          <t>https://www.google.com/maps/search/?api=1&amp;query=32.983610,-117.268635</t>
        </is>
      </c>
      <c r="L500" t="inlineStr"/>
      <c r="M500" t="inlineStr"/>
      <c r="N500" t="inlineStr"/>
      <c r="O500" t="inlineStr"/>
      <c r="P500" t="inlineStr">
        <is>
          <t>pending</t>
        </is>
      </c>
      <c r="Q500" t="inlineStr"/>
      <c r="R500" t="inlineStr"/>
      <c r="S500" t="inlineStr"/>
      <c r="T500" t="inlineStr"/>
      <c r="U500" t="inlineStr"/>
      <c r="V500">
        <f>IF(OR(L500="",S500=""),"",IF(VALUE(L500)=VALUE(S500),"Y","N"))</f>
        <v/>
      </c>
      <c r="W500">
        <f>IF(V500="Y",S500,"")</f>
        <v/>
      </c>
      <c r="X500" t="inlineStr">
        <is>
          <t>unverified: map has 25 mph (OSM tag only); is it 25 (carts OK) or 30+?</t>
        </is>
      </c>
      <c r="Y500" t="inlineStr"/>
      <c r="Z500" t="n">
        <v>1328</v>
      </c>
      <c r="AA500" t="inlineStr">
        <is>
          <t>sd</t>
        </is>
      </c>
      <c r="AB500" t="inlineStr">
        <is>
          <t>sd|32.98361,-117.26864</t>
        </is>
      </c>
    </row>
    <row r="501">
      <c r="A501" t="inlineStr">
        <is>
          <t>SD-B2-500</t>
        </is>
      </c>
      <c r="B501" t="inlineStr">
        <is>
          <t>San Diego area</t>
        </is>
      </c>
      <c r="C501" t="inlineStr">
        <is>
          <t>West Laurel Street</t>
        </is>
      </c>
      <c r="D501" t="inlineStr">
        <is>
          <t>Pacific Highway</t>
        </is>
      </c>
      <c r="E501" t="inlineStr">
        <is>
          <t>California Street</t>
        </is>
      </c>
      <c r="F501" t="inlineStr">
        <is>
          <t>593761516</t>
        </is>
      </c>
      <c r="G501" t="inlineStr"/>
      <c r="H501" t="inlineStr">
        <is>
          <t>inferred</t>
        </is>
      </c>
      <c r="I501" t="inlineStr">
        <is>
          <t>no</t>
        </is>
      </c>
      <c r="J501" t="inlineStr">
        <is>
          <t>https://www.google.com/maps/@?api=1&amp;map_action=pano&amp;viewpoint=32.730435,-117.170705&amp;heading=250</t>
        </is>
      </c>
      <c r="K501" t="inlineStr">
        <is>
          <t>https://www.google.com/maps/search/?api=1&amp;query=32.730435,-117.170705</t>
        </is>
      </c>
      <c r="L501" t="inlineStr"/>
      <c r="M501" t="inlineStr"/>
      <c r="N501" t="inlineStr"/>
      <c r="O501" t="inlineStr"/>
      <c r="P501" t="inlineStr">
        <is>
          <t>pending</t>
        </is>
      </c>
      <c r="Q501" t="inlineStr"/>
      <c r="R501" t="inlineStr"/>
      <c r="S501" t="inlineStr"/>
      <c r="T501" t="inlineStr"/>
      <c r="U501" t="inlineStr"/>
      <c r="V501">
        <f>IF(OR(L501="",S501=""),"",IF(VALUE(L501)=VALUE(S501),"Y","N"))</f>
        <v/>
      </c>
      <c r="W501">
        <f>IF(V501="Y",S501,"")</f>
        <v/>
      </c>
      <c r="X501" t="inlineStr">
        <is>
          <t>unverified: map has no limit (guessed from road type); main road: what is posted? 35 or lower opens it to LSVs</t>
        </is>
      </c>
      <c r="Y501" t="inlineStr"/>
      <c r="Z501" t="n">
        <v>680</v>
      </c>
      <c r="AA501" t="inlineStr">
        <is>
          <t>sd</t>
        </is>
      </c>
      <c r="AB501" t="inlineStr">
        <is>
          <t>sd|32.73043,-117.17070</t>
        </is>
      </c>
    </row>
    <row r="502">
      <c r="A502" t="inlineStr">
        <is>
          <t>SD-B2-501</t>
        </is>
      </c>
      <c r="B502" t="inlineStr">
        <is>
          <t>San Diego area</t>
        </is>
      </c>
      <c r="C502" t="inlineStr">
        <is>
          <t>Carmel Mountain Road</t>
        </is>
      </c>
      <c r="D502" t="inlineStr">
        <is>
          <t>Sorrento Valley Road</t>
        </is>
      </c>
      <c r="E502" t="inlineStr">
        <is>
          <t>Carmel Creek Road</t>
        </is>
      </c>
      <c r="F502" t="inlineStr">
        <is>
          <t>329397909</t>
        </is>
      </c>
      <c r="G502" t="n">
        <v>35</v>
      </c>
      <c r="H502" t="inlineStr">
        <is>
          <t>tag</t>
        </is>
      </c>
      <c r="I502" t="inlineStr">
        <is>
          <t>LSV</t>
        </is>
      </c>
      <c r="J502" t="inlineStr">
        <is>
          <t>https://www.google.com/maps/@?api=1&amp;map_action=pano&amp;viewpoint=32.921000,-117.230270&amp;heading=49</t>
        </is>
      </c>
      <c r="K502" t="inlineStr">
        <is>
          <t>https://www.google.com/maps/search/?api=1&amp;query=32.921000,-117.230270</t>
        </is>
      </c>
      <c r="L502" t="inlineStr"/>
      <c r="M502" t="inlineStr"/>
      <c r="N502" t="inlineStr"/>
      <c r="O502" t="inlineStr"/>
      <c r="P502" t="inlineStr">
        <is>
          <t>pending</t>
        </is>
      </c>
      <c r="Q502" t="inlineStr"/>
      <c r="R502" t="inlineStr"/>
      <c r="S502" t="inlineStr"/>
      <c r="T502" t="inlineStr"/>
      <c r="U502" t="inlineStr"/>
      <c r="V502">
        <f>IF(OR(L502="",S502=""),"",IF(VALUE(L502)=VALUE(S502),"Y","N"))</f>
        <v/>
      </c>
      <c r="W502">
        <f>IF(V502="Y",S502,"")</f>
        <v/>
      </c>
      <c r="X502" t="inlineStr">
        <is>
          <t>unverified: map has 35 mph (OSM tag only); is it 35 (LSV OK) or 40+?</t>
        </is>
      </c>
      <c r="Y502" t="inlineStr"/>
      <c r="Z502" t="n">
        <v>1060</v>
      </c>
      <c r="AA502" t="inlineStr">
        <is>
          <t>sd</t>
        </is>
      </c>
      <c r="AB502" t="inlineStr">
        <is>
          <t>sd|32.92100,-117.23027</t>
        </is>
      </c>
    </row>
    <row r="503">
      <c r="A503" t="inlineStr">
        <is>
          <t>SD-B2-502</t>
        </is>
      </c>
      <c r="B503" t="inlineStr">
        <is>
          <t>San Diego area</t>
        </is>
      </c>
      <c r="C503" t="inlineStr">
        <is>
          <t>Crouch Street</t>
        </is>
      </c>
      <c r="D503" t="inlineStr">
        <is>
          <t>Lomita Street</t>
        </is>
      </c>
      <c r="E503" t="inlineStr">
        <is>
          <t>Mesa Drive</t>
        </is>
      </c>
      <c r="F503" t="inlineStr">
        <is>
          <t>5957060</t>
        </is>
      </c>
      <c r="G503" t="n">
        <v>25</v>
      </c>
      <c r="H503" t="inlineStr">
        <is>
          <t>inferred</t>
        </is>
      </c>
      <c r="I503" t="inlineStr">
        <is>
          <t>cart+LSV</t>
        </is>
      </c>
      <c r="J503" t="inlineStr">
        <is>
          <t>https://www.google.com/maps/@?api=1&amp;map_action=pano&amp;viewpoint=33.198900,-117.353630&amp;heading=208</t>
        </is>
      </c>
      <c r="K503" t="inlineStr">
        <is>
          <t>https://www.google.com/maps/search/?api=1&amp;query=33.198900,-117.353630</t>
        </is>
      </c>
      <c r="L503" t="inlineStr"/>
      <c r="M503" t="inlineStr"/>
      <c r="N503" t="inlineStr"/>
      <c r="O503" t="inlineStr"/>
      <c r="P503" t="inlineStr">
        <is>
          <t>pending</t>
        </is>
      </c>
      <c r="Q503" t="inlineStr"/>
      <c r="R503" t="inlineStr"/>
      <c r="S503" t="inlineStr"/>
      <c r="T503" t="inlineStr"/>
      <c r="U503" t="inlineStr"/>
      <c r="V503">
        <f>IF(OR(L503="",S503=""),"",IF(VALUE(L503)=VALUE(S503),"Y","N"))</f>
        <v/>
      </c>
      <c r="W503">
        <f>IF(V503="Y",S503,"")</f>
        <v/>
      </c>
      <c r="X503" t="inlineStr">
        <is>
          <t>unverified: map has 25 mph (guessed from road type); is it 25 (carts OK) or 30+?</t>
        </is>
      </c>
      <c r="Y503" t="inlineStr"/>
      <c r="Z503" t="n">
        <v>1015</v>
      </c>
      <c r="AA503" t="inlineStr">
        <is>
          <t>sd</t>
        </is>
      </c>
      <c r="AB503" t="inlineStr">
        <is>
          <t>sd|33.19890,-117.35363</t>
        </is>
      </c>
    </row>
    <row r="504">
      <c r="A504" t="inlineStr">
        <is>
          <t>SD-B2-503</t>
        </is>
      </c>
      <c r="B504" t="inlineStr">
        <is>
          <t>San Diego area</t>
        </is>
      </c>
      <c r="C504" t="inlineStr">
        <is>
          <t>Carmel Mountain Road</t>
        </is>
      </c>
      <c r="D504" t="inlineStr">
        <is>
          <t>Sorrento Valley Road</t>
        </is>
      </c>
      <c r="E504" t="inlineStr">
        <is>
          <t>El Camino Real</t>
        </is>
      </c>
      <c r="F504" t="inlineStr">
        <is>
          <t>161271217</t>
        </is>
      </c>
      <c r="G504" t="n">
        <v>35</v>
      </c>
      <c r="H504" t="inlineStr">
        <is>
          <t>tag</t>
        </is>
      </c>
      <c r="I504" t="inlineStr">
        <is>
          <t>LSV</t>
        </is>
      </c>
      <c r="J504" t="inlineStr">
        <is>
          <t>https://www.google.com/maps/@?api=1&amp;map_action=pano&amp;viewpoint=32.921910,-117.229050&amp;heading=228</t>
        </is>
      </c>
      <c r="K504" t="inlineStr">
        <is>
          <t>https://www.google.com/maps/search/?api=1&amp;query=32.921910,-117.229050</t>
        </is>
      </c>
      <c r="L504" t="inlineStr"/>
      <c r="M504" t="inlineStr"/>
      <c r="N504" t="inlineStr"/>
      <c r="O504" t="inlineStr"/>
      <c r="P504" t="inlineStr">
        <is>
          <t>pending</t>
        </is>
      </c>
      <c r="Q504" t="inlineStr"/>
      <c r="R504" t="inlineStr"/>
      <c r="S504" t="inlineStr"/>
      <c r="T504" t="inlineStr"/>
      <c r="U504" t="inlineStr"/>
      <c r="V504">
        <f>IF(OR(L504="",S504=""),"",IF(VALUE(L504)=VALUE(S504),"Y","N"))</f>
        <v/>
      </c>
      <c r="W504">
        <f>IF(V504="Y",S504,"")</f>
        <v/>
      </c>
      <c r="X504" t="inlineStr">
        <is>
          <t>unverified: map has 35 mph (OSM tag only); is it 35 (LSV OK) or 40+?</t>
        </is>
      </c>
      <c r="Y504" t="inlineStr"/>
      <c r="Z504" t="n">
        <v>1054</v>
      </c>
      <c r="AA504" t="inlineStr">
        <is>
          <t>sd</t>
        </is>
      </c>
      <c r="AB504" t="inlineStr">
        <is>
          <t>sd|32.92191,-117.22905</t>
        </is>
      </c>
    </row>
    <row r="505">
      <c r="A505" t="inlineStr">
        <is>
          <t>SD-B2-504</t>
        </is>
      </c>
      <c r="B505" t="inlineStr">
        <is>
          <t>San Diego area</t>
        </is>
      </c>
      <c r="C505" t="inlineStr">
        <is>
          <t>Chicano Park Boulevard</t>
        </is>
      </c>
      <c r="D505" t="inlineStr">
        <is>
          <t>(see map link)</t>
        </is>
      </c>
      <c r="E505" t="inlineStr">
        <is>
          <t>National Avenue</t>
        </is>
      </c>
      <c r="F505" t="inlineStr">
        <is>
          <t>1341611820</t>
        </is>
      </c>
      <c r="G505" t="inlineStr"/>
      <c r="H505" t="inlineStr">
        <is>
          <t>inferred</t>
        </is>
      </c>
      <c r="I505" t="inlineStr">
        <is>
          <t>no</t>
        </is>
      </c>
      <c r="J505" t="inlineStr">
        <is>
          <t>https://www.google.com/maps/@?api=1&amp;map_action=pano&amp;viewpoint=32.701890,-117.143885&amp;heading=220</t>
        </is>
      </c>
      <c r="K505" t="inlineStr">
        <is>
          <t>https://www.google.com/maps/search/?api=1&amp;query=32.701890,-117.143885</t>
        </is>
      </c>
      <c r="L505" t="inlineStr"/>
      <c r="M505" t="inlineStr"/>
      <c r="N505" t="inlineStr"/>
      <c r="O505" t="inlineStr"/>
      <c r="P505" t="inlineStr">
        <is>
          <t>pending</t>
        </is>
      </c>
      <c r="Q505" t="inlineStr"/>
      <c r="R505" t="inlineStr"/>
      <c r="S505" t="inlineStr"/>
      <c r="T505" t="inlineStr"/>
      <c r="U505" t="inlineStr"/>
      <c r="V505">
        <f>IF(OR(L505="",S505=""),"",IF(VALUE(L505)=VALUE(S505),"Y","N"))</f>
        <v/>
      </c>
      <c r="W505">
        <f>IF(V505="Y",S505,"")</f>
        <v/>
      </c>
      <c r="X505" t="inlineStr">
        <is>
          <t>unverified: map has no limit (guessed from road type); main road: what is posted? 35 or lower opens it to LSVs</t>
        </is>
      </c>
      <c r="Y505" t="inlineStr"/>
      <c r="Z505" t="n">
        <v>810</v>
      </c>
      <c r="AA505" t="inlineStr">
        <is>
          <t>sd</t>
        </is>
      </c>
      <c r="AB505" t="inlineStr">
        <is>
          <t>sd|32.70189,-117.14388</t>
        </is>
      </c>
    </row>
    <row r="506">
      <c r="A506" t="inlineStr">
        <is>
          <t>SD-B2-505</t>
        </is>
      </c>
      <c r="B506" t="inlineStr">
        <is>
          <t>Carlsbad</t>
        </is>
      </c>
      <c r="C506" t="inlineStr">
        <is>
          <t>Carlsbad Village Drive</t>
        </is>
      </c>
      <c r="D506" t="inlineStr">
        <is>
          <t>Garfield Street</t>
        </is>
      </c>
      <c r="E506" t="inlineStr">
        <is>
          <t>Carlsbad Boulevard</t>
        </is>
      </c>
      <c r="F506" t="inlineStr">
        <is>
          <t>436473395</t>
        </is>
      </c>
      <c r="G506" t="n">
        <v>25</v>
      </c>
      <c r="H506" t="inlineStr">
        <is>
          <t>tag</t>
        </is>
      </c>
      <c r="I506" t="inlineStr">
        <is>
          <t>cart+LSV</t>
        </is>
      </c>
      <c r="J506" t="inlineStr">
        <is>
          <t>https://www.google.com/maps/@?api=1&amp;map_action=pano&amp;viewpoint=33.157920,-117.351555&amp;heading=233</t>
        </is>
      </c>
      <c r="K506" t="inlineStr">
        <is>
          <t>https://www.google.com/maps/search/?api=1&amp;query=33.157920,-117.351555</t>
        </is>
      </c>
      <c r="L506" t="inlineStr"/>
      <c r="M506" t="inlineStr"/>
      <c r="N506" t="inlineStr"/>
      <c r="O506" t="inlineStr"/>
      <c r="P506" t="inlineStr">
        <is>
          <t>pending</t>
        </is>
      </c>
      <c r="Q506" t="inlineStr"/>
      <c r="R506" t="inlineStr"/>
      <c r="S506" t="inlineStr"/>
      <c r="T506" t="inlineStr"/>
      <c r="U506" t="inlineStr"/>
      <c r="V506">
        <f>IF(OR(L506="",S506=""),"",IF(VALUE(L506)=VALUE(S506),"Y","N"))</f>
        <v/>
      </c>
      <c r="W506">
        <f>IF(V506="Y",S506,"")</f>
        <v/>
      </c>
      <c r="X506" t="inlineStr">
        <is>
          <t>unverified: map has 25 mph (OSM tag only); is it 25 (carts OK) or 30+?</t>
        </is>
      </c>
      <c r="Y506" t="n">
        <v>1</v>
      </c>
      <c r="Z506" t="n">
        <v>1313</v>
      </c>
      <c r="AA506" t="inlineStr">
        <is>
          <t>sd</t>
        </is>
      </c>
      <c r="AB506" t="inlineStr">
        <is>
          <t>sd|33.15792,-117.35155</t>
        </is>
      </c>
    </row>
    <row r="507">
      <c r="A507" t="inlineStr">
        <is>
          <t>SD-B2-506</t>
        </is>
      </c>
      <c r="B507" t="inlineStr">
        <is>
          <t>San Diego area</t>
        </is>
      </c>
      <c r="C507" t="inlineStr">
        <is>
          <t>Hemingway Drive</t>
        </is>
      </c>
      <c r="D507" t="inlineStr">
        <is>
          <t>Cannon Road</t>
        </is>
      </c>
      <c r="E507" t="inlineStr">
        <is>
          <t>Twain Avenue</t>
        </is>
      </c>
      <c r="F507" t="inlineStr">
        <is>
          <t>594440452</t>
        </is>
      </c>
      <c r="G507" t="n">
        <v>25</v>
      </c>
      <c r="H507" t="inlineStr">
        <is>
          <t>inferred</t>
        </is>
      </c>
      <c r="I507" t="inlineStr">
        <is>
          <t>cart+LSV</t>
        </is>
      </c>
      <c r="J507" t="inlineStr">
        <is>
          <t>https://www.google.com/maps/@?api=1&amp;map_action=pano&amp;viewpoint=33.143170,-117.299500&amp;heading=114</t>
        </is>
      </c>
      <c r="K507" t="inlineStr">
        <is>
          <t>https://www.google.com/maps/search/?api=1&amp;query=33.143170,-117.299500</t>
        </is>
      </c>
      <c r="L507" t="inlineStr"/>
      <c r="M507" t="inlineStr"/>
      <c r="N507" t="inlineStr"/>
      <c r="O507" t="inlineStr"/>
      <c r="P507" t="inlineStr">
        <is>
          <t>pending</t>
        </is>
      </c>
      <c r="Q507" t="inlineStr"/>
      <c r="R507" t="inlineStr"/>
      <c r="S507" t="inlineStr"/>
      <c r="T507" t="inlineStr"/>
      <c r="U507" t="inlineStr"/>
      <c r="V507">
        <f>IF(OR(L507="",S507=""),"",IF(VALUE(L507)=VALUE(S507),"Y","N"))</f>
        <v/>
      </c>
      <c r="W507">
        <f>IF(V507="Y",S507,"")</f>
        <v/>
      </c>
      <c r="X507" t="inlineStr">
        <is>
          <t>unverified: map has 25 mph (guessed from road type); is it 25 (carts OK) or 30+?</t>
        </is>
      </c>
      <c r="Y507" t="inlineStr"/>
      <c r="Z507" t="n">
        <v>1008</v>
      </c>
      <c r="AA507" t="inlineStr">
        <is>
          <t>sd</t>
        </is>
      </c>
      <c r="AB507" t="inlineStr">
        <is>
          <t>sd|33.14317,-117.29950</t>
        </is>
      </c>
    </row>
    <row r="508">
      <c r="A508" t="inlineStr">
        <is>
          <t>SD-B2-507</t>
        </is>
      </c>
      <c r="B508" t="inlineStr">
        <is>
          <t>San Diego area</t>
        </is>
      </c>
      <c r="C508" t="inlineStr">
        <is>
          <t>Mission Center Road</t>
        </is>
      </c>
      <c r="D508" t="inlineStr">
        <is>
          <t>(see map link)</t>
        </is>
      </c>
      <c r="E508" t="inlineStr">
        <is>
          <t>Murray Ridge Road</t>
        </is>
      </c>
      <c r="F508" t="inlineStr">
        <is>
          <t>26544576</t>
        </is>
      </c>
      <c r="G508" t="n">
        <v>45</v>
      </c>
      <c r="H508" t="inlineStr">
        <is>
          <t>mapillary</t>
        </is>
      </c>
      <c r="I508" t="inlineStr">
        <is>
          <t>no</t>
        </is>
      </c>
      <c r="J508" t="inlineStr">
        <is>
          <t>https://www.google.com/maps/@?api=1&amp;map_action=pano&amp;viewpoint=32.789470,-117.151020&amp;heading=81</t>
        </is>
      </c>
      <c r="K508" t="inlineStr">
        <is>
          <t>https://www.google.com/maps/search/?api=1&amp;query=32.789470,-117.151020</t>
        </is>
      </c>
      <c r="L508" t="inlineStr"/>
      <c r="M508" t="inlineStr"/>
      <c r="N508" t="inlineStr"/>
      <c r="O508" t="inlineStr"/>
      <c r="P508" t="inlineStr">
        <is>
          <t>pending</t>
        </is>
      </c>
      <c r="Q508" t="inlineStr"/>
      <c r="R508" t="inlineStr"/>
      <c r="S508" t="inlineStr"/>
      <c r="T508" t="inlineStr">
        <is>
          <t>Mapillary: 2 posted 45 mph sign(s) detected</t>
        </is>
      </c>
      <c r="U508" t="inlineStr">
        <is>
          <t>https://www.mapillary.com/app/?lat=32.788357&amp;lng=-117.152530&amp;z=19&amp;focus=map&amp;mapFeatureId=112264357591303</t>
        </is>
      </c>
      <c r="V508">
        <f>IF(OR(L508="",S508=""),"",IF(VALUE(L508)=VALUE(S508),"Y","N"))</f>
        <v/>
      </c>
      <c r="W508">
        <f>IF(V508="Y",S508,"")</f>
        <v/>
      </c>
      <c r="X508" t="inlineStr">
        <is>
          <t>unverified: map has 45 mph (one Mapillary sign); main road: what is posted? 35 or lower opens it to LSVs</t>
        </is>
      </c>
      <c r="Y508" t="inlineStr"/>
      <c r="Z508" t="n">
        <v>1304</v>
      </c>
      <c r="AA508" t="inlineStr">
        <is>
          <t>sd</t>
        </is>
      </c>
      <c r="AB508" t="inlineStr">
        <is>
          <t>sd|32.78947,-117.15102</t>
        </is>
      </c>
    </row>
    <row r="509">
      <c r="A509" t="inlineStr">
        <is>
          <t>SD-B2-508</t>
        </is>
      </c>
      <c r="B509" t="inlineStr">
        <is>
          <t>San Diego area</t>
        </is>
      </c>
      <c r="C509" t="inlineStr">
        <is>
          <t>Las Palomas</t>
        </is>
      </c>
      <c r="D509" t="inlineStr">
        <is>
          <t>Via de la Valle</t>
        </is>
      </c>
      <c r="E509" t="inlineStr">
        <is>
          <t>Puerta del Sol</t>
        </is>
      </c>
      <c r="F509" t="inlineStr">
        <is>
          <t>436262913</t>
        </is>
      </c>
      <c r="G509" t="n">
        <v>25</v>
      </c>
      <c r="H509" t="inlineStr">
        <is>
          <t>inferred</t>
        </is>
      </c>
      <c r="I509" t="inlineStr">
        <is>
          <t>cart+LSV</t>
        </is>
      </c>
      <c r="J509" t="inlineStr">
        <is>
          <t>https://www.google.com/maps/@?api=1&amp;map_action=pano&amp;viewpoint=32.994270,-117.215900&amp;heading=26</t>
        </is>
      </c>
      <c r="K509" t="inlineStr">
        <is>
          <t>https://www.google.com/maps/search/?api=1&amp;query=32.994270,-117.215900</t>
        </is>
      </c>
      <c r="L509" t="inlineStr"/>
      <c r="M509" t="inlineStr"/>
      <c r="N509" t="inlineStr"/>
      <c r="O509" t="inlineStr"/>
      <c r="P509" t="inlineStr">
        <is>
          <t>pending</t>
        </is>
      </c>
      <c r="Q509" t="inlineStr"/>
      <c r="R509" t="inlineStr"/>
      <c r="S509" t="inlineStr"/>
      <c r="T509" t="inlineStr"/>
      <c r="U509" t="inlineStr"/>
      <c r="V509">
        <f>IF(OR(L509="",S509=""),"",IF(VALUE(L509)=VALUE(S509),"Y","N"))</f>
        <v/>
      </c>
      <c r="W509">
        <f>IF(V509="Y",S509,"")</f>
        <v/>
      </c>
      <c r="X509" t="inlineStr">
        <is>
          <t>unverified: map has 25 mph (guessed from road type); is it 25 (carts OK) or 30+?</t>
        </is>
      </c>
      <c r="Y509" t="inlineStr"/>
      <c r="Z509" t="n">
        <v>1000</v>
      </c>
      <c r="AA509" t="inlineStr">
        <is>
          <t>sd</t>
        </is>
      </c>
      <c r="AB509" t="inlineStr">
        <is>
          <t>sd|32.99427,-117.21590</t>
        </is>
      </c>
    </row>
    <row r="510">
      <c r="A510" t="inlineStr">
        <is>
          <t>SD-B2-509</t>
        </is>
      </c>
      <c r="B510" t="inlineStr">
        <is>
          <t>San Diego area</t>
        </is>
      </c>
      <c r="C510" t="inlineStr">
        <is>
          <t>Hoover Avenue</t>
        </is>
      </c>
      <c r="D510" t="inlineStr">
        <is>
          <t>West 8th Street</t>
        </is>
      </c>
      <c r="E510" t="inlineStr">
        <is>
          <t>West 18th Street</t>
        </is>
      </c>
      <c r="F510" t="inlineStr">
        <is>
          <t>1223873798</t>
        </is>
      </c>
      <c r="G510" t="n">
        <v>25</v>
      </c>
      <c r="H510" t="inlineStr">
        <is>
          <t>inferred</t>
        </is>
      </c>
      <c r="I510" t="inlineStr">
        <is>
          <t>cart+LSV</t>
        </is>
      </c>
      <c r="J510" t="inlineStr">
        <is>
          <t>https://www.google.com/maps/@?api=1&amp;map_action=pano&amp;viewpoint=32.667910,-117.106140&amp;heading=163</t>
        </is>
      </c>
      <c r="K510" t="inlineStr">
        <is>
          <t>https://www.google.com/maps/search/?api=1&amp;query=32.667910,-117.106140</t>
        </is>
      </c>
      <c r="L510" t="inlineStr"/>
      <c r="M510" t="inlineStr"/>
      <c r="N510" t="inlineStr"/>
      <c r="O510" t="inlineStr"/>
      <c r="P510" t="inlineStr">
        <is>
          <t>pending</t>
        </is>
      </c>
      <c r="Q510" t="inlineStr"/>
      <c r="R510" t="inlineStr"/>
      <c r="S510" t="inlineStr"/>
      <c r="T510" t="inlineStr"/>
      <c r="U510" t="inlineStr"/>
      <c r="V510">
        <f>IF(OR(L510="",S510=""),"",IF(VALUE(L510)=VALUE(S510),"Y","N"))</f>
        <v/>
      </c>
      <c r="W510">
        <f>IF(V510="Y",S510,"")</f>
        <v/>
      </c>
      <c r="X510" t="inlineStr">
        <is>
          <t>unverified: map has 25 mph (guessed from road type); is it 25 (carts OK) or 30+?</t>
        </is>
      </c>
      <c r="Y510" t="inlineStr"/>
      <c r="Z510" t="n">
        <v>998</v>
      </c>
      <c r="AA510" t="inlineStr">
        <is>
          <t>sd</t>
        </is>
      </c>
      <c r="AB510" t="inlineStr">
        <is>
          <t>sd|32.66791,-117.10614</t>
        </is>
      </c>
    </row>
    <row r="511">
      <c r="A511" t="inlineStr">
        <is>
          <t>SD-B2-510</t>
        </is>
      </c>
      <c r="B511" t="inlineStr">
        <is>
          <t>San Diego area</t>
        </is>
      </c>
      <c r="C511" t="inlineStr">
        <is>
          <t>Regents Road</t>
        </is>
      </c>
      <c r="D511" t="inlineStr">
        <is>
          <t>La Jolla Village Drive</t>
        </is>
      </c>
      <c r="E511" t="inlineStr">
        <is>
          <t>Athena Way</t>
        </is>
      </c>
      <c r="F511" t="inlineStr">
        <is>
          <t>455141470</t>
        </is>
      </c>
      <c r="G511" t="n">
        <v>35</v>
      </c>
      <c r="H511" t="inlineStr">
        <is>
          <t>tag</t>
        </is>
      </c>
      <c r="I511" t="inlineStr">
        <is>
          <t>LSV</t>
        </is>
      </c>
      <c r="J511" t="inlineStr">
        <is>
          <t>https://www.google.com/maps/@?api=1&amp;map_action=pano&amp;viewpoint=32.876225,-117.218385&amp;heading=177</t>
        </is>
      </c>
      <c r="K511" t="inlineStr">
        <is>
          <t>https://www.google.com/maps/search/?api=1&amp;query=32.876225,-117.218385</t>
        </is>
      </c>
      <c r="L511" t="inlineStr"/>
      <c r="M511" t="inlineStr"/>
      <c r="N511" t="inlineStr"/>
      <c r="O511" t="inlineStr"/>
      <c r="P511" t="inlineStr">
        <is>
          <t>pending</t>
        </is>
      </c>
      <c r="Q511" t="inlineStr"/>
      <c r="R511" t="inlineStr"/>
      <c r="S511" t="inlineStr"/>
      <c r="T511" t="inlineStr"/>
      <c r="U511" t="inlineStr"/>
      <c r="V511">
        <f>IF(OR(L511="",S511=""),"",IF(VALUE(L511)=VALUE(S511),"Y","N"))</f>
        <v/>
      </c>
      <c r="W511">
        <f>IF(V511="Y",S511,"")</f>
        <v/>
      </c>
      <c r="X511" t="inlineStr">
        <is>
          <t>unverified: map has 35 mph (OSM tag only); is it 35 (LSV OK) or 40+?</t>
        </is>
      </c>
      <c r="Y511" t="inlineStr"/>
      <c r="Z511" t="n">
        <v>1037</v>
      </c>
      <c r="AA511" t="inlineStr">
        <is>
          <t>sd</t>
        </is>
      </c>
      <c r="AB511" t="inlineStr">
        <is>
          <t>sd|32.87623,-117.21838</t>
        </is>
      </c>
    </row>
    <row r="512">
      <c r="A512" t="inlineStr">
        <is>
          <t>SD-B2-511</t>
        </is>
      </c>
      <c r="B512" t="inlineStr">
        <is>
          <t>San Diego area</t>
        </is>
      </c>
      <c r="C512" t="inlineStr">
        <is>
          <t>15th Street</t>
        </is>
      </c>
      <c r="D512" t="inlineStr">
        <is>
          <t>Coast Boulevard</t>
        </is>
      </c>
      <c r="E512" t="inlineStr">
        <is>
          <t>Camino del Mar</t>
        </is>
      </c>
      <c r="F512" t="inlineStr">
        <is>
          <t>200699833</t>
        </is>
      </c>
      <c r="G512" t="n">
        <v>25</v>
      </c>
      <c r="H512" t="inlineStr">
        <is>
          <t>inferred</t>
        </is>
      </c>
      <c r="I512" t="inlineStr">
        <is>
          <t>cart+LSV</t>
        </is>
      </c>
      <c r="J512" t="inlineStr">
        <is>
          <t>https://www.google.com/maps/@?api=1&amp;map_action=pano&amp;viewpoint=32.961270,-117.260290&amp;heading=321</t>
        </is>
      </c>
      <c r="K512" t="inlineStr">
        <is>
          <t>https://www.google.com/maps/search/?api=1&amp;query=32.961270,-117.260290</t>
        </is>
      </c>
      <c r="L512" t="inlineStr"/>
      <c r="M512" t="inlineStr"/>
      <c r="N512" t="inlineStr"/>
      <c r="O512" t="inlineStr"/>
      <c r="P512" t="inlineStr">
        <is>
          <t>pending</t>
        </is>
      </c>
      <c r="Q512" t="inlineStr"/>
      <c r="R512" t="inlineStr"/>
      <c r="S512" t="inlineStr"/>
      <c r="T512" t="inlineStr"/>
      <c r="U512" t="inlineStr"/>
      <c r="V512">
        <f>IF(OR(L512="",S512=""),"",IF(VALUE(L512)=VALUE(S512),"Y","N"))</f>
        <v/>
      </c>
      <c r="W512">
        <f>IF(V512="Y",S512,"")</f>
        <v/>
      </c>
      <c r="X512" t="inlineStr">
        <is>
          <t>unverified: map has 25 mph (guessed from road type); is it 25 (carts OK) or 30+?</t>
        </is>
      </c>
      <c r="Y512" t="inlineStr"/>
      <c r="Z512" t="n">
        <v>994</v>
      </c>
      <c r="AA512" t="inlineStr">
        <is>
          <t>sd</t>
        </is>
      </c>
      <c r="AB512" t="inlineStr">
        <is>
          <t>sd|32.96127,-117.26029</t>
        </is>
      </c>
    </row>
    <row r="513">
      <c r="A513" t="inlineStr">
        <is>
          <t>SD-B2-512</t>
        </is>
      </c>
      <c r="B513" t="inlineStr">
        <is>
          <t>San Diego area</t>
        </is>
      </c>
      <c r="C513" t="inlineStr">
        <is>
          <t>El Mirador</t>
        </is>
      </c>
      <c r="D513" t="inlineStr">
        <is>
          <t>El Vuelo</t>
        </is>
      </c>
      <c r="E513" t="inlineStr">
        <is>
          <t>La Valle Plateada</t>
        </is>
      </c>
      <c r="F513" t="inlineStr">
        <is>
          <t>6044750</t>
        </is>
      </c>
      <c r="G513" t="n">
        <v>25</v>
      </c>
      <c r="H513" t="inlineStr">
        <is>
          <t>inferred</t>
        </is>
      </c>
      <c r="I513" t="inlineStr">
        <is>
          <t>cart+LSV</t>
        </is>
      </c>
      <c r="J513" t="inlineStr">
        <is>
          <t>https://www.google.com/maps/@?api=1&amp;map_action=pano&amp;viewpoint=33.021450,-117.185460&amp;heading=302</t>
        </is>
      </c>
      <c r="K513" t="inlineStr">
        <is>
          <t>https://www.google.com/maps/search/?api=1&amp;query=33.021450,-117.185460</t>
        </is>
      </c>
      <c r="L513" t="inlineStr"/>
      <c r="M513" t="inlineStr"/>
      <c r="N513" t="inlineStr"/>
      <c r="O513" t="inlineStr"/>
      <c r="P513" t="inlineStr">
        <is>
          <t>pending</t>
        </is>
      </c>
      <c r="Q513" t="inlineStr"/>
      <c r="R513" t="inlineStr"/>
      <c r="S513" t="inlineStr"/>
      <c r="T513" t="inlineStr"/>
      <c r="U513" t="inlineStr"/>
      <c r="V513">
        <f>IF(OR(L513="",S513=""),"",IF(VALUE(L513)=VALUE(S513),"Y","N"))</f>
        <v/>
      </c>
      <c r="W513">
        <f>IF(V513="Y",S513,"")</f>
        <v/>
      </c>
      <c r="X513" t="inlineStr">
        <is>
          <t>unverified: map has 25 mph (guessed from road type); is it 25 (carts OK) or 30+?</t>
        </is>
      </c>
      <c r="Y513" t="inlineStr"/>
      <c r="Z513" t="n">
        <v>986</v>
      </c>
      <c r="AA513" t="inlineStr">
        <is>
          <t>sd</t>
        </is>
      </c>
      <c r="AB513" t="inlineStr">
        <is>
          <t>sd|33.02145,-117.18546</t>
        </is>
      </c>
    </row>
    <row r="514">
      <c r="A514" t="inlineStr">
        <is>
          <t>SD-B2-513</t>
        </is>
      </c>
      <c r="B514" t="inlineStr">
        <is>
          <t>San Diego area</t>
        </is>
      </c>
      <c r="C514" t="inlineStr">
        <is>
          <t>Nottingham Place</t>
        </is>
      </c>
      <c r="D514" t="inlineStr">
        <is>
          <t>Cliffridge Avenue</t>
        </is>
      </c>
      <c r="E514" t="inlineStr">
        <is>
          <t>Sugarman Drive</t>
        </is>
      </c>
      <c r="F514" t="inlineStr">
        <is>
          <t>6051783</t>
        </is>
      </c>
      <c r="G514" t="n">
        <v>25</v>
      </c>
      <c r="H514" t="inlineStr">
        <is>
          <t>inferred</t>
        </is>
      </c>
      <c r="I514" t="inlineStr">
        <is>
          <t>cart+LSV</t>
        </is>
      </c>
      <c r="J514" t="inlineStr">
        <is>
          <t>https://www.google.com/maps/@?api=1&amp;map_action=pano&amp;viewpoint=32.868350,-117.240920&amp;heading=338</t>
        </is>
      </c>
      <c r="K514" t="inlineStr">
        <is>
          <t>https://www.google.com/maps/search/?api=1&amp;query=32.868350,-117.240920</t>
        </is>
      </c>
      <c r="L514" t="inlineStr"/>
      <c r="M514" t="inlineStr"/>
      <c r="N514" t="inlineStr"/>
      <c r="O514" t="inlineStr"/>
      <c r="P514" t="inlineStr">
        <is>
          <t>pending</t>
        </is>
      </c>
      <c r="Q514" t="inlineStr"/>
      <c r="R514" t="inlineStr"/>
      <c r="S514" t="inlineStr"/>
      <c r="T514" t="inlineStr"/>
      <c r="U514" t="inlineStr"/>
      <c r="V514">
        <f>IF(OR(L514="",S514=""),"",IF(VALUE(L514)=VALUE(S514),"Y","N"))</f>
        <v/>
      </c>
      <c r="W514">
        <f>IF(V514="Y",S514,"")</f>
        <v/>
      </c>
      <c r="X514" t="inlineStr">
        <is>
          <t>unverified: map has 25 mph (guessed from road type); is it 25 (carts OK) or 30+?</t>
        </is>
      </c>
      <c r="Y514" t="inlineStr"/>
      <c r="Z514" t="n">
        <v>985</v>
      </c>
      <c r="AA514" t="inlineStr">
        <is>
          <t>sd</t>
        </is>
      </c>
      <c r="AB514" t="inlineStr">
        <is>
          <t>sd|32.86835,-117.24092</t>
        </is>
      </c>
    </row>
    <row r="515">
      <c r="A515" t="inlineStr">
        <is>
          <t>SD-B2-514</t>
        </is>
      </c>
      <c r="B515" t="inlineStr">
        <is>
          <t>San Diego area</t>
        </is>
      </c>
      <c r="C515" t="inlineStr">
        <is>
          <t>Encinitas Boulevard</t>
        </is>
      </c>
      <c r="D515" t="inlineStr">
        <is>
          <t>Willowspring Drive North</t>
        </is>
      </c>
      <c r="E515" t="inlineStr">
        <is>
          <t>Manchester Avenue</t>
        </is>
      </c>
      <c r="F515" t="inlineStr">
        <is>
          <t>436314896</t>
        </is>
      </c>
      <c r="G515" t="n">
        <v>45</v>
      </c>
      <c r="H515" t="inlineStr">
        <is>
          <t>tag</t>
        </is>
      </c>
      <c r="I515" t="inlineStr">
        <is>
          <t>no</t>
        </is>
      </c>
      <c r="J515" t="inlineStr">
        <is>
          <t>https://www.google.com/maps/@?api=1&amp;map_action=pano&amp;viewpoint=33.040275,-117.243125&amp;heading=325</t>
        </is>
      </c>
      <c r="K515" t="inlineStr">
        <is>
          <t>https://www.google.com/maps/search/?api=1&amp;query=33.040275,-117.243125</t>
        </is>
      </c>
      <c r="L515" t="inlineStr"/>
      <c r="M515" t="inlineStr"/>
      <c r="N515" t="inlineStr"/>
      <c r="O515" t="inlineStr"/>
      <c r="P515" t="inlineStr">
        <is>
          <t>pending</t>
        </is>
      </c>
      <c r="Q515" t="inlineStr"/>
      <c r="R515" t="inlineStr"/>
      <c r="S515" t="inlineStr"/>
      <c r="T515" t="inlineStr"/>
      <c r="U515" t="inlineStr"/>
      <c r="V515">
        <f>IF(OR(L515="",S515=""),"",IF(VALUE(L515)=VALUE(S515),"Y","N"))</f>
        <v/>
      </c>
      <c r="W515">
        <f>IF(V515="Y",S515,"")</f>
        <v/>
      </c>
      <c r="X515" t="inlineStr">
        <is>
          <t>unverified: map has 45 mph (OSM tag only); main road: what is posted? 35 or lower opens it to LSVs</t>
        </is>
      </c>
      <c r="Y515" t="inlineStr"/>
      <c r="Z515" t="n">
        <v>853</v>
      </c>
      <c r="AA515" t="inlineStr">
        <is>
          <t>sd</t>
        </is>
      </c>
      <c r="AB515" t="inlineStr">
        <is>
          <t>sd|33.04028,-117.24312</t>
        </is>
      </c>
    </row>
    <row r="516">
      <c r="A516" t="inlineStr">
        <is>
          <t>SD-B2-515</t>
        </is>
      </c>
      <c r="B516" t="inlineStr">
        <is>
          <t>San Diego area</t>
        </is>
      </c>
      <c r="C516" t="inlineStr">
        <is>
          <t>Clairemont Mesa Boulevard</t>
        </is>
      </c>
      <c r="D516" t="inlineStr">
        <is>
          <t>Diane Avenue</t>
        </is>
      </c>
      <c r="E516" t="inlineStr">
        <is>
          <t>Frink Avenue</t>
        </is>
      </c>
      <c r="F516" t="inlineStr">
        <is>
          <t>390553177</t>
        </is>
      </c>
      <c r="G516" t="n">
        <v>35</v>
      </c>
      <c r="H516" t="inlineStr">
        <is>
          <t>tag</t>
        </is>
      </c>
      <c r="I516" t="inlineStr">
        <is>
          <t>LSV</t>
        </is>
      </c>
      <c r="J516" t="inlineStr">
        <is>
          <t>https://www.google.com/maps/@?api=1&amp;map_action=pano&amp;viewpoint=32.834385,-117.185190&amp;heading=91</t>
        </is>
      </c>
      <c r="K516" t="inlineStr">
        <is>
          <t>https://www.google.com/maps/search/?api=1&amp;query=32.834385,-117.185190</t>
        </is>
      </c>
      <c r="L516" t="inlineStr"/>
      <c r="M516" t="inlineStr"/>
      <c r="N516" t="inlineStr"/>
      <c r="O516" t="inlineStr"/>
      <c r="P516" t="inlineStr">
        <is>
          <t>pending</t>
        </is>
      </c>
      <c r="Q516" t="inlineStr"/>
      <c r="R516" t="inlineStr"/>
      <c r="S516" t="inlineStr"/>
      <c r="T516" t="inlineStr"/>
      <c r="U516" t="inlineStr"/>
      <c r="V516">
        <f>IF(OR(L516="",S516=""),"",IF(VALUE(L516)=VALUE(S516),"Y","N"))</f>
        <v/>
      </c>
      <c r="W516">
        <f>IF(V516="Y",S516,"")</f>
        <v/>
      </c>
      <c r="X516" t="inlineStr">
        <is>
          <t>unverified: map has 35 mph (OSM tag only); is it 35 (LSV OK) or 40+?</t>
        </is>
      </c>
      <c r="Y516" t="inlineStr"/>
      <c r="Z516" t="n">
        <v>852</v>
      </c>
      <c r="AA516" t="inlineStr">
        <is>
          <t>sd</t>
        </is>
      </c>
      <c r="AB516" t="inlineStr">
        <is>
          <t>sd|32.83438,-117.18519</t>
        </is>
      </c>
    </row>
    <row r="517">
      <c r="A517" t="inlineStr">
        <is>
          <t>SD-B2-516</t>
        </is>
      </c>
      <c r="B517" t="inlineStr">
        <is>
          <t>San Diego area</t>
        </is>
      </c>
      <c r="C517" t="inlineStr">
        <is>
          <t>Del Mar Heights Road</t>
        </is>
      </c>
      <c r="D517" t="inlineStr">
        <is>
          <t>El Camino Real</t>
        </is>
      </c>
      <c r="E517" t="inlineStr">
        <is>
          <t>High Bluff Drive</t>
        </is>
      </c>
      <c r="F517" t="inlineStr">
        <is>
          <t>1342233603</t>
        </is>
      </c>
      <c r="G517" t="n">
        <v>45</v>
      </c>
      <c r="H517" t="inlineStr">
        <is>
          <t>tag</t>
        </is>
      </c>
      <c r="I517" t="inlineStr">
        <is>
          <t>no</t>
        </is>
      </c>
      <c r="J517" t="inlineStr">
        <is>
          <t>https://www.google.com/maps/@?api=1&amp;map_action=pano&amp;viewpoint=32.952495,-117.237180&amp;heading=65</t>
        </is>
      </c>
      <c r="K517" t="inlineStr">
        <is>
          <t>https://www.google.com/maps/search/?api=1&amp;query=32.952495,-117.237180</t>
        </is>
      </c>
      <c r="L517" t="inlineStr"/>
      <c r="M517" t="inlineStr"/>
      <c r="N517" t="inlineStr"/>
      <c r="O517" t="inlineStr"/>
      <c r="P517" t="inlineStr">
        <is>
          <t>pending</t>
        </is>
      </c>
      <c r="Q517" t="inlineStr"/>
      <c r="R517" t="inlineStr"/>
      <c r="S517" t="inlineStr"/>
      <c r="T517" t="inlineStr"/>
      <c r="U517" t="inlineStr"/>
      <c r="V517">
        <f>IF(OR(L517="",S517=""),"",IF(VALUE(L517)=VALUE(S517),"Y","N"))</f>
        <v/>
      </c>
      <c r="W517">
        <f>IF(V517="Y",S517,"")</f>
        <v/>
      </c>
      <c r="X517" t="inlineStr">
        <is>
          <t>unverified: map has 45 mph (OSM tag only); main road: what is posted? 35 or lower opens it to LSVs</t>
        </is>
      </c>
      <c r="Y517" t="inlineStr"/>
      <c r="Z517" t="n">
        <v>850</v>
      </c>
      <c r="AA517" t="inlineStr">
        <is>
          <t>sd</t>
        </is>
      </c>
      <c r="AB517" t="inlineStr">
        <is>
          <t>sd|32.95249,-117.23718</t>
        </is>
      </c>
    </row>
    <row r="518">
      <c r="A518" t="inlineStr">
        <is>
          <t>SD-B2-517</t>
        </is>
      </c>
      <c r="B518" t="inlineStr">
        <is>
          <t>San Diego area</t>
        </is>
      </c>
      <c r="C518" t="inlineStr">
        <is>
          <t>Lone Jack Road</t>
        </is>
      </c>
      <c r="D518" t="inlineStr">
        <is>
          <t>Fortuna Ranch Road</t>
        </is>
      </c>
      <c r="E518" t="inlineStr">
        <is>
          <t>Copper Crest Road</t>
        </is>
      </c>
      <c r="F518" t="inlineStr">
        <is>
          <t>839558502</t>
        </is>
      </c>
      <c r="G518" t="n">
        <v>25</v>
      </c>
      <c r="H518" t="inlineStr">
        <is>
          <t>inferred</t>
        </is>
      </c>
      <c r="I518" t="inlineStr">
        <is>
          <t>cart+LSV</t>
        </is>
      </c>
      <c r="J518" t="inlineStr">
        <is>
          <t>https://www.google.com/maps/@?api=1&amp;map_action=pano&amp;viewpoint=33.063090,-117.214990&amp;heading=2</t>
        </is>
      </c>
      <c r="K518" t="inlineStr">
        <is>
          <t>https://www.google.com/maps/search/?api=1&amp;query=33.063090,-117.214990</t>
        </is>
      </c>
      <c r="L518" t="inlineStr"/>
      <c r="M518" t="inlineStr"/>
      <c r="N518" t="inlineStr"/>
      <c r="O518" t="inlineStr"/>
      <c r="P518" t="inlineStr">
        <is>
          <t>pending</t>
        </is>
      </c>
      <c r="Q518" t="inlineStr"/>
      <c r="R518" t="inlineStr"/>
      <c r="S518" t="inlineStr"/>
      <c r="T518" t="inlineStr"/>
      <c r="U518" t="inlineStr"/>
      <c r="V518">
        <f>IF(OR(L518="",S518=""),"",IF(VALUE(L518)=VALUE(S518),"Y","N"))</f>
        <v/>
      </c>
      <c r="W518">
        <f>IF(V518="Y",S518,"")</f>
        <v/>
      </c>
      <c r="X518" t="inlineStr">
        <is>
          <t>unverified: map has 25 mph (guessed from road type); is it 25 (carts OK) or 30+?</t>
        </is>
      </c>
      <c r="Y518" t="inlineStr"/>
      <c r="Z518" t="n">
        <v>980</v>
      </c>
      <c r="AA518" t="inlineStr">
        <is>
          <t>sd</t>
        </is>
      </c>
      <c r="AB518" t="inlineStr">
        <is>
          <t>sd|33.06309,-117.21499</t>
        </is>
      </c>
    </row>
    <row r="519">
      <c r="A519" t="inlineStr">
        <is>
          <t>SD-B2-518</t>
        </is>
      </c>
      <c r="B519" t="inlineStr">
        <is>
          <t>San Diego area</t>
        </is>
      </c>
      <c r="C519" t="inlineStr">
        <is>
          <t>West 19th Street</t>
        </is>
      </c>
      <c r="D519" t="inlineStr">
        <is>
          <t>Cleveland Avenue</t>
        </is>
      </c>
      <c r="E519" t="inlineStr">
        <is>
          <t>Tidelands Avenue</t>
        </is>
      </c>
      <c r="F519" t="inlineStr">
        <is>
          <t>795286601</t>
        </is>
      </c>
      <c r="G519" t="inlineStr"/>
      <c r="H519" t="inlineStr">
        <is>
          <t>inferred</t>
        </is>
      </c>
      <c r="I519" t="inlineStr">
        <is>
          <t>no</t>
        </is>
      </c>
      <c r="J519" t="inlineStr">
        <is>
          <t>https://www.google.com/maps/@?api=1&amp;map_action=pano&amp;viewpoint=32.665180,-117.109545&amp;heading=41</t>
        </is>
      </c>
      <c r="K519" t="inlineStr">
        <is>
          <t>https://www.google.com/maps/search/?api=1&amp;query=32.665180,-117.109545</t>
        </is>
      </c>
      <c r="L519" t="inlineStr"/>
      <c r="M519" t="inlineStr"/>
      <c r="N519" t="inlineStr"/>
      <c r="O519" t="inlineStr"/>
      <c r="P519" t="inlineStr">
        <is>
          <t>pending</t>
        </is>
      </c>
      <c r="Q519" t="inlineStr"/>
      <c r="R519" t="inlineStr"/>
      <c r="S519" t="inlineStr"/>
      <c r="T519" t="inlineStr"/>
      <c r="U519" t="inlineStr"/>
      <c r="V519">
        <f>IF(OR(L519="",S519=""),"",IF(VALUE(L519)=VALUE(S519),"Y","N"))</f>
        <v/>
      </c>
      <c r="W519">
        <f>IF(V519="Y",S519,"")</f>
        <v/>
      </c>
      <c r="X519" t="inlineStr">
        <is>
          <t>unverified: map has no limit (guessed from road type); main road: what is posted? 35 or lower opens it to LSVs</t>
        </is>
      </c>
      <c r="Y519" t="inlineStr"/>
      <c r="Z519" t="n">
        <v>783</v>
      </c>
      <c r="AA519" t="inlineStr">
        <is>
          <t>sd</t>
        </is>
      </c>
      <c r="AB519" t="inlineStr">
        <is>
          <t>sd|32.66518,-117.10954</t>
        </is>
      </c>
    </row>
    <row r="520">
      <c r="A520" t="inlineStr">
        <is>
          <t>SD-B2-519</t>
        </is>
      </c>
      <c r="B520" t="inlineStr">
        <is>
          <t>San Diego area</t>
        </is>
      </c>
      <c r="C520" t="inlineStr">
        <is>
          <t>Towne Centre Drive</t>
        </is>
      </c>
      <c r="D520" t="inlineStr">
        <is>
          <t>Avenida la Bahia</t>
        </is>
      </c>
      <c r="E520" t="inlineStr">
        <is>
          <t>La Jolla Village Drive</t>
        </is>
      </c>
      <c r="F520" t="inlineStr">
        <is>
          <t>129202034</t>
        </is>
      </c>
      <c r="G520" t="n">
        <v>40</v>
      </c>
      <c r="H520" t="inlineStr">
        <is>
          <t>tag</t>
        </is>
      </c>
      <c r="I520" t="inlineStr">
        <is>
          <t>no</t>
        </is>
      </c>
      <c r="J520" t="inlineStr">
        <is>
          <t>https://www.google.com/maps/@?api=1&amp;map_action=pano&amp;viewpoint=32.865910,-117.207960&amp;heading=39</t>
        </is>
      </c>
      <c r="K520" t="inlineStr">
        <is>
          <t>https://www.google.com/maps/search/?api=1&amp;query=32.865910,-117.207960</t>
        </is>
      </c>
      <c r="L520" t="inlineStr"/>
      <c r="M520" t="inlineStr"/>
      <c r="N520" t="inlineStr"/>
      <c r="O520" t="inlineStr"/>
      <c r="P520" t="inlineStr">
        <is>
          <t>pending</t>
        </is>
      </c>
      <c r="Q520" t="inlineStr"/>
      <c r="R520" t="inlineStr"/>
      <c r="S520" t="inlineStr"/>
      <c r="T520" t="inlineStr"/>
      <c r="U520" t="inlineStr"/>
      <c r="V520">
        <f>IF(OR(L520="",S520=""),"",IF(VALUE(L520)=VALUE(S520),"Y","N"))</f>
        <v/>
      </c>
      <c r="W520">
        <f>IF(V520="Y",S520,"")</f>
        <v/>
      </c>
      <c r="X520" t="inlineStr">
        <is>
          <t>unverified: map has 40 mph (OSM tag only); is it 35 (LSV OK) or 40+?</t>
        </is>
      </c>
      <c r="Y520" t="inlineStr"/>
      <c r="Z520" t="n">
        <v>1018</v>
      </c>
      <c r="AA520" t="inlineStr">
        <is>
          <t>sd</t>
        </is>
      </c>
      <c r="AB520" t="inlineStr">
        <is>
          <t>sd|32.86591,-117.20796</t>
        </is>
      </c>
    </row>
    <row r="521">
      <c r="A521" t="inlineStr">
        <is>
          <t>SD-B2-520</t>
        </is>
      </c>
      <c r="B521" t="inlineStr">
        <is>
          <t>San Diego area</t>
        </is>
      </c>
      <c r="C521" t="inlineStr">
        <is>
          <t>Harrison Avenue</t>
        </is>
      </c>
      <c r="D521" t="inlineStr">
        <is>
          <t>Commercial Street</t>
        </is>
      </c>
      <c r="E521" t="inlineStr">
        <is>
          <t>South 28th Street</t>
        </is>
      </c>
      <c r="F521" t="inlineStr">
        <is>
          <t>6052108</t>
        </is>
      </c>
      <c r="G521" t="n">
        <v>25</v>
      </c>
      <c r="H521" t="inlineStr">
        <is>
          <t>inferred</t>
        </is>
      </c>
      <c r="I521" t="inlineStr">
        <is>
          <t>cart+LSV</t>
        </is>
      </c>
      <c r="J521" t="inlineStr">
        <is>
          <t>https://www.google.com/maps/@?api=1&amp;map_action=pano&amp;viewpoint=32.701865,-117.136990&amp;heading=129</t>
        </is>
      </c>
      <c r="K521" t="inlineStr">
        <is>
          <t>https://www.google.com/maps/search/?api=1&amp;query=32.701865,-117.136990</t>
        </is>
      </c>
      <c r="L521" t="inlineStr"/>
      <c r="M521" t="inlineStr"/>
      <c r="N521" t="inlineStr"/>
      <c r="O521" t="inlineStr"/>
      <c r="P521" t="inlineStr">
        <is>
          <t>pending</t>
        </is>
      </c>
      <c r="Q521" t="inlineStr"/>
      <c r="R521" t="inlineStr"/>
      <c r="S521" t="inlineStr"/>
      <c r="T521" t="inlineStr"/>
      <c r="U521" t="inlineStr"/>
      <c r="V521">
        <f>IF(OR(L521="",S521=""),"",IF(VALUE(L521)=VALUE(S521),"Y","N"))</f>
        <v/>
      </c>
      <c r="W521">
        <f>IF(V521="Y",S521,"")</f>
        <v/>
      </c>
      <c r="X521" t="inlineStr">
        <is>
          <t>unverified: map has 25 mph (guessed from road type); is it 25 (carts OK) or 30+?</t>
        </is>
      </c>
      <c r="Y521" t="inlineStr"/>
      <c r="Z521" t="n">
        <v>978</v>
      </c>
      <c r="AA521" t="inlineStr">
        <is>
          <t>sd</t>
        </is>
      </c>
      <c r="AB521" t="inlineStr">
        <is>
          <t>sd|32.70186,-117.13699</t>
        </is>
      </c>
    </row>
    <row r="522">
      <c r="A522" t="inlineStr">
        <is>
          <t>SD-B2-521</t>
        </is>
      </c>
      <c r="B522" t="inlineStr">
        <is>
          <t>San Diego area</t>
        </is>
      </c>
      <c r="C522" t="inlineStr">
        <is>
          <t>Ridge Road</t>
        </is>
      </c>
      <c r="D522" t="inlineStr">
        <is>
          <t>Presidio Way</t>
        </is>
      </c>
      <c r="E522" t="inlineStr">
        <is>
          <t>Sunset Drive</t>
        </is>
      </c>
      <c r="F522" t="inlineStr">
        <is>
          <t>5981982</t>
        </is>
      </c>
      <c r="G522" t="n">
        <v>25</v>
      </c>
      <c r="H522" t="inlineStr">
        <is>
          <t>inferred</t>
        </is>
      </c>
      <c r="I522" t="inlineStr">
        <is>
          <t>cart+LSV</t>
        </is>
      </c>
      <c r="J522" t="inlineStr">
        <is>
          <t>https://www.google.com/maps/@?api=1&amp;map_action=pano&amp;viewpoint=33.181040,-117.255400&amp;heading=282</t>
        </is>
      </c>
      <c r="K522" t="inlineStr">
        <is>
          <t>https://www.google.com/maps/search/?api=1&amp;query=33.181040,-117.255400</t>
        </is>
      </c>
      <c r="L522" t="inlineStr"/>
      <c r="M522" t="inlineStr"/>
      <c r="N522" t="inlineStr"/>
      <c r="O522" t="inlineStr"/>
      <c r="P522" t="inlineStr">
        <is>
          <t>pending</t>
        </is>
      </c>
      <c r="Q522" t="inlineStr"/>
      <c r="R522" t="inlineStr"/>
      <c r="S522" t="inlineStr"/>
      <c r="T522" t="inlineStr"/>
      <c r="U522" t="inlineStr"/>
      <c r="V522">
        <f>IF(OR(L522="",S522=""),"",IF(VALUE(L522)=VALUE(S522),"Y","N"))</f>
        <v/>
      </c>
      <c r="W522">
        <f>IF(V522="Y",S522,"")</f>
        <v/>
      </c>
      <c r="X522" t="inlineStr">
        <is>
          <t>unverified: map has 25 mph (guessed from road type); is it 25 (carts OK) or 30+?</t>
        </is>
      </c>
      <c r="Y522" t="inlineStr"/>
      <c r="Z522" t="n">
        <v>977</v>
      </c>
      <c r="AA522" t="inlineStr">
        <is>
          <t>sd</t>
        </is>
      </c>
      <c r="AB522" t="inlineStr">
        <is>
          <t>sd|33.18104,-117.25540</t>
        </is>
      </c>
    </row>
    <row r="523">
      <c r="A523" t="inlineStr">
        <is>
          <t>SD-B2-522</t>
        </is>
      </c>
      <c r="B523" t="inlineStr">
        <is>
          <t>San Diego area</t>
        </is>
      </c>
      <c r="C523" t="inlineStr">
        <is>
          <t>Avenida de Anita</t>
        </is>
      </c>
      <c r="D523" t="inlineStr">
        <is>
          <t>Appian Road</t>
        </is>
      </c>
      <c r="E523" t="inlineStr">
        <is>
          <t>Marron Road</t>
        </is>
      </c>
      <c r="F523" t="inlineStr">
        <is>
          <t>5990149</t>
        </is>
      </c>
      <c r="G523" t="n">
        <v>25</v>
      </c>
      <c r="H523" t="inlineStr">
        <is>
          <t>inferred</t>
        </is>
      </c>
      <c r="I523" t="inlineStr">
        <is>
          <t>cart+LSV</t>
        </is>
      </c>
      <c r="J523" t="inlineStr">
        <is>
          <t>https://www.google.com/maps/@?api=1&amp;map_action=pano&amp;viewpoint=33.176060,-117.323510&amp;heading=0</t>
        </is>
      </c>
      <c r="K523" t="inlineStr">
        <is>
          <t>https://www.google.com/maps/search/?api=1&amp;query=33.176060,-117.323510</t>
        </is>
      </c>
      <c r="L523" t="inlineStr"/>
      <c r="M523" t="inlineStr"/>
      <c r="N523" t="inlineStr"/>
      <c r="O523" t="inlineStr"/>
      <c r="P523" t="inlineStr">
        <is>
          <t>pending</t>
        </is>
      </c>
      <c r="Q523" t="inlineStr"/>
      <c r="R523" t="inlineStr"/>
      <c r="S523" t="inlineStr"/>
      <c r="T523" t="inlineStr"/>
      <c r="U523" t="inlineStr"/>
      <c r="V523">
        <f>IF(OR(L523="",S523=""),"",IF(VALUE(L523)=VALUE(S523),"Y","N"))</f>
        <v/>
      </c>
      <c r="W523">
        <f>IF(V523="Y",S523,"")</f>
        <v/>
      </c>
      <c r="X523" t="inlineStr">
        <is>
          <t>unverified: map has 25 mph (guessed from road type); is it 25 (carts OK) or 30+?</t>
        </is>
      </c>
      <c r="Y523" t="inlineStr"/>
      <c r="Z523" t="n">
        <v>976</v>
      </c>
      <c r="AA523" t="inlineStr">
        <is>
          <t>sd</t>
        </is>
      </c>
      <c r="AB523" t="inlineStr">
        <is>
          <t>sd|33.17606,-117.32351</t>
        </is>
      </c>
    </row>
    <row r="524">
      <c r="A524" t="inlineStr">
        <is>
          <t>SD-B2-523</t>
        </is>
      </c>
      <c r="B524" t="inlineStr">
        <is>
          <t>San Diego area</t>
        </is>
      </c>
      <c r="C524" t="inlineStr">
        <is>
          <t>6th Avenue</t>
        </is>
      </c>
      <c r="D524" t="inlineStr">
        <is>
          <t>East Broadway</t>
        </is>
      </c>
      <c r="E524" t="inlineStr">
        <is>
          <t>L Street</t>
        </is>
      </c>
      <c r="F524" t="inlineStr">
        <is>
          <t>594025576</t>
        </is>
      </c>
      <c r="G524" t="n">
        <v>25</v>
      </c>
      <c r="H524" t="inlineStr">
        <is>
          <t>inferred</t>
        </is>
      </c>
      <c r="I524" t="inlineStr">
        <is>
          <t>cart+LSV</t>
        </is>
      </c>
      <c r="J524" t="inlineStr">
        <is>
          <t>https://www.google.com/maps/@?api=1&amp;map_action=pano&amp;viewpoint=32.712040,-117.159240&amp;heading=179</t>
        </is>
      </c>
      <c r="K524" t="inlineStr">
        <is>
          <t>https://www.google.com/maps/search/?api=1&amp;query=32.712040,-117.159240</t>
        </is>
      </c>
      <c r="L524" t="inlineStr"/>
      <c r="M524" t="inlineStr"/>
      <c r="N524" t="inlineStr"/>
      <c r="O524" t="inlineStr"/>
      <c r="P524" t="inlineStr">
        <is>
          <t>pending</t>
        </is>
      </c>
      <c r="Q524" t="inlineStr"/>
      <c r="R524" t="inlineStr"/>
      <c r="S524" t="inlineStr"/>
      <c r="T524" t="inlineStr"/>
      <c r="U524" t="inlineStr"/>
      <c r="V524">
        <f>IF(OR(L524="",S524=""),"",IF(VALUE(L524)=VALUE(S524),"Y","N"))</f>
        <v/>
      </c>
      <c r="W524">
        <f>IF(V524="Y",S524,"")</f>
        <v/>
      </c>
      <c r="X524" t="inlineStr">
        <is>
          <t>unverified: map has 25 mph (guessed from road type); is it 25 (carts OK) or 30+?</t>
        </is>
      </c>
      <c r="Y524" t="inlineStr"/>
      <c r="Z524" t="n">
        <v>971</v>
      </c>
      <c r="AA524" t="inlineStr">
        <is>
          <t>sd</t>
        </is>
      </c>
      <c r="AB524" t="inlineStr">
        <is>
          <t>sd|32.71204,-117.15924</t>
        </is>
      </c>
    </row>
    <row r="525">
      <c r="A525" t="inlineStr">
        <is>
          <t>SD-B2-524</t>
        </is>
      </c>
      <c r="B525" t="inlineStr">
        <is>
          <t>San Diego area</t>
        </is>
      </c>
      <c r="C525" t="inlineStr">
        <is>
          <t>Pacific Center Boulevard</t>
        </is>
      </c>
      <c r="D525" t="inlineStr">
        <is>
          <t>(see map link)</t>
        </is>
      </c>
      <c r="E525" t="inlineStr">
        <is>
          <t>Pacific Mesa Boulevard</t>
        </is>
      </c>
      <c r="F525" t="inlineStr">
        <is>
          <t>570342939</t>
        </is>
      </c>
      <c r="G525" t="n">
        <v>25</v>
      </c>
      <c r="H525" t="inlineStr">
        <is>
          <t>inferred</t>
        </is>
      </c>
      <c r="I525" t="inlineStr">
        <is>
          <t>cart+LSV</t>
        </is>
      </c>
      <c r="J525" t="inlineStr">
        <is>
          <t>https://www.google.com/maps/@?api=1&amp;map_action=pano&amp;viewpoint=32.904520,-117.190110&amp;heading=91</t>
        </is>
      </c>
      <c r="K525" t="inlineStr">
        <is>
          <t>https://www.google.com/maps/search/?api=1&amp;query=32.904520,-117.190110</t>
        </is>
      </c>
      <c r="L525" t="inlineStr"/>
      <c r="M525" t="inlineStr"/>
      <c r="N525" t="inlineStr"/>
      <c r="O525" t="inlineStr"/>
      <c r="P525" t="inlineStr">
        <is>
          <t>pending</t>
        </is>
      </c>
      <c r="Q525" t="inlineStr"/>
      <c r="R525" t="inlineStr"/>
      <c r="S525" t="inlineStr"/>
      <c r="T525" t="inlineStr"/>
      <c r="U525" t="inlineStr"/>
      <c r="V525">
        <f>IF(OR(L525="",S525=""),"",IF(VALUE(L525)=VALUE(S525),"Y","N"))</f>
        <v/>
      </c>
      <c r="W525">
        <f>IF(V525="Y",S525,"")</f>
        <v/>
      </c>
      <c r="X525" t="inlineStr">
        <is>
          <t>unverified: map has 25 mph (guessed from road type); is it 25 (carts OK) or 30+?</t>
        </is>
      </c>
      <c r="Y525" t="inlineStr"/>
      <c r="Z525" t="n">
        <v>970</v>
      </c>
      <c r="AA525" t="inlineStr">
        <is>
          <t>sd</t>
        </is>
      </c>
      <c r="AB525" t="inlineStr">
        <is>
          <t>sd|32.90452,-117.19011</t>
        </is>
      </c>
    </row>
    <row r="526">
      <c r="A526" t="inlineStr">
        <is>
          <t>SD-B2-525</t>
        </is>
      </c>
      <c r="B526" t="inlineStr">
        <is>
          <t>San Diego area</t>
        </is>
      </c>
      <c r="C526" t="inlineStr">
        <is>
          <t>Carmel Creek Road</t>
        </is>
      </c>
      <c r="D526" t="inlineStr">
        <is>
          <t>Carmel Grove Road</t>
        </is>
      </c>
      <c r="E526" t="inlineStr">
        <is>
          <t>Piazza Carmel Driveway</t>
        </is>
      </c>
      <c r="F526" t="inlineStr">
        <is>
          <t>360654280</t>
        </is>
      </c>
      <c r="G526" t="n">
        <v>35</v>
      </c>
      <c r="H526" t="inlineStr">
        <is>
          <t>tag</t>
        </is>
      </c>
      <c r="I526" t="inlineStr">
        <is>
          <t>LSV</t>
        </is>
      </c>
      <c r="J526" t="inlineStr">
        <is>
          <t>https://www.google.com/maps/@?api=1&amp;map_action=pano&amp;viewpoint=32.943870,-117.230140&amp;heading=22</t>
        </is>
      </c>
      <c r="K526" t="inlineStr">
        <is>
          <t>https://www.google.com/maps/search/?api=1&amp;query=32.943870,-117.230140</t>
        </is>
      </c>
      <c r="L526" t="inlineStr"/>
      <c r="M526" t="inlineStr"/>
      <c r="N526" t="inlineStr"/>
      <c r="O526" t="inlineStr"/>
      <c r="P526" t="inlineStr">
        <is>
          <t>pending</t>
        </is>
      </c>
      <c r="Q526" t="inlineStr"/>
      <c r="R526" t="inlineStr"/>
      <c r="S526" t="inlineStr"/>
      <c r="T526" t="inlineStr"/>
      <c r="U526" t="inlineStr"/>
      <c r="V526">
        <f>IF(OR(L526="",S526=""),"",IF(VALUE(L526)=VALUE(S526),"Y","N"))</f>
        <v/>
      </c>
      <c r="W526">
        <f>IF(V526="Y",S526,"")</f>
        <v/>
      </c>
      <c r="X526" t="inlineStr">
        <is>
          <t>unverified: map has 35 mph (OSM tag only); is it 35 (LSV OK) or 40+?</t>
        </is>
      </c>
      <c r="Y526" t="inlineStr"/>
      <c r="Z526" t="n">
        <v>1008</v>
      </c>
      <c r="AA526" t="inlineStr">
        <is>
          <t>sd</t>
        </is>
      </c>
      <c r="AB526" t="inlineStr">
        <is>
          <t>sd|32.94387,-117.23014</t>
        </is>
      </c>
    </row>
    <row r="527">
      <c r="A527" t="inlineStr">
        <is>
          <t>SD-B2-526</t>
        </is>
      </c>
      <c r="B527" t="inlineStr">
        <is>
          <t>San Diego area</t>
        </is>
      </c>
      <c r="C527" t="inlineStr">
        <is>
          <t>Derby Farms Road</t>
        </is>
      </c>
      <c r="D527" t="inlineStr">
        <is>
          <t>Avenue Cantaria</t>
        </is>
      </c>
      <c r="E527" t="inlineStr">
        <is>
          <t>San Dieguito Road</t>
        </is>
      </c>
      <c r="F527" t="inlineStr">
        <is>
          <t>5968823</t>
        </is>
      </c>
      <c r="G527" t="n">
        <v>25</v>
      </c>
      <c r="H527" t="inlineStr">
        <is>
          <t>inferred</t>
        </is>
      </c>
      <c r="I527" t="inlineStr">
        <is>
          <t>cart+LSV</t>
        </is>
      </c>
      <c r="J527" t="inlineStr">
        <is>
          <t>https://www.google.com/maps/@?api=1&amp;map_action=pano&amp;viewpoint=32.974860,-117.205850&amp;heading=348</t>
        </is>
      </c>
      <c r="K527" t="inlineStr">
        <is>
          <t>https://www.google.com/maps/search/?api=1&amp;query=32.974860,-117.205850</t>
        </is>
      </c>
      <c r="L527" t="inlineStr"/>
      <c r="M527" t="inlineStr"/>
      <c r="N527" t="inlineStr"/>
      <c r="O527" t="inlineStr"/>
      <c r="P527" t="inlineStr">
        <is>
          <t>pending</t>
        </is>
      </c>
      <c r="Q527" t="inlineStr"/>
      <c r="R527" t="inlineStr"/>
      <c r="S527" t="inlineStr"/>
      <c r="T527" t="inlineStr"/>
      <c r="U527" t="inlineStr"/>
      <c r="V527">
        <f>IF(OR(L527="",S527=""),"",IF(VALUE(L527)=VALUE(S527),"Y","N"))</f>
        <v/>
      </c>
      <c r="W527">
        <f>IF(V527="Y",S527,"")</f>
        <v/>
      </c>
      <c r="X527" t="inlineStr">
        <is>
          <t>unverified: map has 25 mph (guessed from road type); is it 25 (carts OK) or 30+?</t>
        </is>
      </c>
      <c r="Y527" t="inlineStr"/>
      <c r="Z527" t="n">
        <v>969</v>
      </c>
      <c r="AA527" t="inlineStr">
        <is>
          <t>sd</t>
        </is>
      </c>
      <c r="AB527" t="inlineStr">
        <is>
          <t>sd|32.97486,-117.20585</t>
        </is>
      </c>
    </row>
    <row r="528">
      <c r="A528" t="inlineStr">
        <is>
          <t>SD-B2-527</t>
        </is>
      </c>
      <c r="B528" t="inlineStr">
        <is>
          <t>San Diego area</t>
        </is>
      </c>
      <c r="C528" t="inlineStr">
        <is>
          <t>Carmel Country Road</t>
        </is>
      </c>
      <c r="D528" t="inlineStr">
        <is>
          <t>(see map link)</t>
        </is>
      </c>
      <c r="E528" t="inlineStr">
        <is>
          <t>Del Mar Mesa Road</t>
        </is>
      </c>
      <c r="F528" t="inlineStr">
        <is>
          <t>124835277</t>
        </is>
      </c>
      <c r="G528" t="n">
        <v>40</v>
      </c>
      <c r="H528" t="inlineStr">
        <is>
          <t>tag</t>
        </is>
      </c>
      <c r="I528" t="inlineStr">
        <is>
          <t>no</t>
        </is>
      </c>
      <c r="J528" t="inlineStr">
        <is>
          <t>https://www.google.com/maps/@?api=1&amp;map_action=pano&amp;viewpoint=32.939910,-117.212680&amp;heading=333</t>
        </is>
      </c>
      <c r="K528" t="inlineStr">
        <is>
          <t>https://www.google.com/maps/search/?api=1&amp;query=32.939910,-117.212680</t>
        </is>
      </c>
      <c r="L528" t="inlineStr"/>
      <c r="M528" t="inlineStr"/>
      <c r="N528" t="inlineStr"/>
      <c r="O528" t="inlineStr"/>
      <c r="P528" t="inlineStr">
        <is>
          <t>pending</t>
        </is>
      </c>
      <c r="Q528" t="inlineStr"/>
      <c r="R528" t="inlineStr"/>
      <c r="S528" t="inlineStr"/>
      <c r="T528" t="inlineStr"/>
      <c r="U528" t="inlineStr"/>
      <c r="V528">
        <f>IF(OR(L528="",S528=""),"",IF(VALUE(L528)=VALUE(S528),"Y","N"))</f>
        <v/>
      </c>
      <c r="W528">
        <f>IF(V528="Y",S528,"")</f>
        <v/>
      </c>
      <c r="X528" t="inlineStr">
        <is>
          <t>unverified: map has 40 mph (OSM tag only); is it 35 (LSV OK) or 40+?</t>
        </is>
      </c>
      <c r="Y528" t="inlineStr"/>
      <c r="Z528" t="n">
        <v>1005</v>
      </c>
      <c r="AA528" t="inlineStr">
        <is>
          <t>sd</t>
        </is>
      </c>
      <c r="AB528" t="inlineStr">
        <is>
          <t>sd|32.93991,-117.21268</t>
        </is>
      </c>
    </row>
    <row r="529">
      <c r="A529" t="inlineStr">
        <is>
          <t>SD-B2-528</t>
        </is>
      </c>
      <c r="B529" t="inlineStr">
        <is>
          <t>San Diego area</t>
        </is>
      </c>
      <c r="C529" t="inlineStr">
        <is>
          <t>Villa La Jolla Drive</t>
        </is>
      </c>
      <c r="D529" t="inlineStr">
        <is>
          <t>(see map link)</t>
        </is>
      </c>
      <c r="E529" t="inlineStr">
        <is>
          <t>Gilman Drive</t>
        </is>
      </c>
      <c r="F529" t="inlineStr">
        <is>
          <t>157272949</t>
        </is>
      </c>
      <c r="G529" t="n">
        <v>25</v>
      </c>
      <c r="H529" t="inlineStr">
        <is>
          <t>tag</t>
        </is>
      </c>
      <c r="I529" t="inlineStr">
        <is>
          <t>cart+LSV</t>
        </is>
      </c>
      <c r="J529" t="inlineStr">
        <is>
          <t>https://www.google.com/maps/@?api=1&amp;map_action=pano&amp;viewpoint=32.873090,-117.234230&amp;heading=349</t>
        </is>
      </c>
      <c r="K529" t="inlineStr">
        <is>
          <t>https://www.google.com/maps/search/?api=1&amp;query=32.873090,-117.234230</t>
        </is>
      </c>
      <c r="L529" t="inlineStr"/>
      <c r="M529" t="inlineStr"/>
      <c r="N529" t="inlineStr"/>
      <c r="O529" t="inlineStr"/>
      <c r="P529" t="inlineStr">
        <is>
          <t>pending</t>
        </is>
      </c>
      <c r="Q529" t="inlineStr"/>
      <c r="R529" t="inlineStr"/>
      <c r="S529" t="inlineStr"/>
      <c r="T529" t="inlineStr"/>
      <c r="U529" t="inlineStr"/>
      <c r="V529">
        <f>IF(OR(L529="",S529=""),"",IF(VALUE(L529)=VALUE(S529),"Y","N"))</f>
        <v/>
      </c>
      <c r="W529">
        <f>IF(V529="Y",S529,"")</f>
        <v/>
      </c>
      <c r="X529" t="inlineStr">
        <is>
          <t>unverified: map has 25 mph (OSM tag only); is it 25 (carts OK) or 30+?</t>
        </is>
      </c>
      <c r="Y529" t="inlineStr"/>
      <c r="Z529" t="n">
        <v>1005</v>
      </c>
      <c r="AA529" t="inlineStr">
        <is>
          <t>sd</t>
        </is>
      </c>
      <c r="AB529" t="inlineStr">
        <is>
          <t>sd|32.87309,-117.23423</t>
        </is>
      </c>
    </row>
    <row r="530">
      <c r="A530" t="inlineStr">
        <is>
          <t>SD-B2-529</t>
        </is>
      </c>
      <c r="B530" t="inlineStr">
        <is>
          <t>San Diego area</t>
        </is>
      </c>
      <c r="C530" t="inlineStr">
        <is>
          <t>Park Boulevard</t>
        </is>
      </c>
      <c r="D530" t="inlineStr">
        <is>
          <t>J Street</t>
        </is>
      </c>
      <c r="E530" t="inlineStr">
        <is>
          <t>East E Street</t>
        </is>
      </c>
      <c r="F530" t="inlineStr"/>
      <c r="G530" t="n">
        <v>25</v>
      </c>
      <c r="H530" t="inlineStr">
        <is>
          <t>inferred</t>
        </is>
      </c>
      <c r="I530" t="inlineStr">
        <is>
          <t>cart+LSV</t>
        </is>
      </c>
      <c r="J530" t="inlineStr">
        <is>
          <t>https://www.google.com/maps/@?api=1&amp;map_action=pano&amp;viewpoint=32.710995,-117.153865&amp;heading=179</t>
        </is>
      </c>
      <c r="K530" t="inlineStr">
        <is>
          <t>https://www.google.com/maps/search/?api=1&amp;query=32.710995,-117.153865</t>
        </is>
      </c>
      <c r="L530" t="inlineStr"/>
      <c r="M530" t="inlineStr"/>
      <c r="N530" t="inlineStr"/>
      <c r="O530" t="inlineStr"/>
      <c r="P530" t="inlineStr">
        <is>
          <t>pending</t>
        </is>
      </c>
      <c r="Q530" t="inlineStr"/>
      <c r="R530" t="inlineStr"/>
      <c r="S530" t="inlineStr"/>
      <c r="T530" t="inlineStr"/>
      <c r="U530" t="inlineStr"/>
      <c r="V530">
        <f>IF(OR(L530="",S530=""),"",IF(VALUE(L530)=VALUE(S530),"Y","N"))</f>
        <v/>
      </c>
      <c r="W530">
        <f>IF(V530="Y",S530,"")</f>
        <v/>
      </c>
      <c r="X530" t="inlineStr">
        <is>
          <t>unverified: map has 25 mph (guessed from road type); is it 25 (carts OK) or 30+?</t>
        </is>
      </c>
      <c r="Y530" t="inlineStr"/>
      <c r="Z530" t="n">
        <v>772</v>
      </c>
      <c r="AA530" t="inlineStr">
        <is>
          <t>sd</t>
        </is>
      </c>
      <c r="AB530" t="inlineStr">
        <is>
          <t>sd|32.71099,-117.15386</t>
        </is>
      </c>
    </row>
    <row r="531">
      <c r="A531" t="inlineStr">
        <is>
          <t>SD-B2-530</t>
        </is>
      </c>
      <c r="B531" t="inlineStr">
        <is>
          <t>San Diego area</t>
        </is>
      </c>
      <c r="C531" t="inlineStr">
        <is>
          <t>Garnet Avenue</t>
        </is>
      </c>
      <c r="D531" t="inlineStr">
        <is>
          <t>(see map link)</t>
        </is>
      </c>
      <c r="E531" t="inlineStr">
        <is>
          <t>Soledad Mountain Road</t>
        </is>
      </c>
      <c r="F531" t="inlineStr">
        <is>
          <t>436403528</t>
        </is>
      </c>
      <c r="G531" t="n">
        <v>45</v>
      </c>
      <c r="H531" t="inlineStr">
        <is>
          <t>tag</t>
        </is>
      </c>
      <c r="I531" t="inlineStr">
        <is>
          <t>no</t>
        </is>
      </c>
      <c r="J531" t="inlineStr">
        <is>
          <t>https://www.google.com/maps/@?api=1&amp;map_action=pano&amp;viewpoint=32.805145,-117.223355&amp;heading=253</t>
        </is>
      </c>
      <c r="K531" t="inlineStr">
        <is>
          <t>https://www.google.com/maps/search/?api=1&amp;query=32.805145,-117.223355</t>
        </is>
      </c>
      <c r="L531" t="inlineStr"/>
      <c r="M531" t="inlineStr"/>
      <c r="N531" t="inlineStr"/>
      <c r="O531" t="inlineStr"/>
      <c r="P531" t="inlineStr">
        <is>
          <t>pending</t>
        </is>
      </c>
      <c r="Q531" t="inlineStr"/>
      <c r="R531" t="inlineStr"/>
      <c r="S531" t="inlineStr"/>
      <c r="T531" t="inlineStr"/>
      <c r="U531" t="inlineStr"/>
      <c r="V531">
        <f>IF(OR(L531="",S531=""),"",IF(VALUE(L531)=VALUE(S531),"Y","N"))</f>
        <v/>
      </c>
      <c r="W531">
        <f>IF(V531="Y",S531,"")</f>
        <v/>
      </c>
      <c r="X531" t="inlineStr">
        <is>
          <t>unverified: map has 45 mph (OSM tag only); main road: what is posted? 35 or lower opens it to LSVs</t>
        </is>
      </c>
      <c r="Y531" t="inlineStr"/>
      <c r="Z531" t="n">
        <v>836</v>
      </c>
      <c r="AA531" t="inlineStr">
        <is>
          <t>sd</t>
        </is>
      </c>
      <c r="AB531" t="inlineStr">
        <is>
          <t>sd|32.80514,-117.22335</t>
        </is>
      </c>
    </row>
    <row r="532">
      <c r="A532" t="inlineStr">
        <is>
          <t>SD-B2-531</t>
        </is>
      </c>
      <c r="B532" t="inlineStr">
        <is>
          <t>San Diego area</t>
        </is>
      </c>
      <c r="C532" t="inlineStr">
        <is>
          <t>Cedar Road</t>
        </is>
      </c>
      <c r="D532" t="inlineStr">
        <is>
          <t>West Vista Way</t>
        </is>
      </c>
      <c r="E532" t="inlineStr">
        <is>
          <t>Thomas Street</t>
        </is>
      </c>
      <c r="F532" t="inlineStr">
        <is>
          <t>5973513</t>
        </is>
      </c>
      <c r="G532" t="n">
        <v>25</v>
      </c>
      <c r="H532" t="inlineStr">
        <is>
          <t>tag</t>
        </is>
      </c>
      <c r="I532" t="inlineStr">
        <is>
          <t>cart+LSV</t>
        </is>
      </c>
      <c r="J532" t="inlineStr">
        <is>
          <t>https://www.google.com/maps/@?api=1&amp;map_action=pano&amp;viewpoint=33.190550,-117.284010&amp;heading=343</t>
        </is>
      </c>
      <c r="K532" t="inlineStr">
        <is>
          <t>https://www.google.com/maps/search/?api=1&amp;query=33.190550,-117.284010</t>
        </is>
      </c>
      <c r="L532" t="inlineStr"/>
      <c r="M532" t="inlineStr"/>
      <c r="N532" t="inlineStr"/>
      <c r="O532" t="inlineStr"/>
      <c r="P532" t="inlineStr">
        <is>
          <t>pending</t>
        </is>
      </c>
      <c r="Q532" t="inlineStr"/>
      <c r="R532" t="inlineStr"/>
      <c r="S532" t="inlineStr"/>
      <c r="T532" t="inlineStr"/>
      <c r="U532" t="inlineStr"/>
      <c r="V532">
        <f>IF(OR(L532="",S532=""),"",IF(VALUE(L532)=VALUE(S532),"Y","N"))</f>
        <v/>
      </c>
      <c r="W532">
        <f>IF(V532="Y",S532,"")</f>
        <v/>
      </c>
      <c r="X532" t="inlineStr">
        <is>
          <t>unverified: map has 25 mph (OSM tag only); is it 25 (carts OK) or 30+?</t>
        </is>
      </c>
      <c r="Y532" t="inlineStr"/>
      <c r="Z532" t="n">
        <v>1253</v>
      </c>
      <c r="AA532" t="inlineStr">
        <is>
          <t>sd</t>
        </is>
      </c>
      <c r="AB532" t="inlineStr">
        <is>
          <t>sd|33.19055,-117.28401</t>
        </is>
      </c>
    </row>
    <row r="533">
      <c r="A533" t="inlineStr">
        <is>
          <t>SD-B2-532</t>
        </is>
      </c>
      <c r="B533" t="inlineStr">
        <is>
          <t>San Diego area</t>
        </is>
      </c>
      <c r="C533" t="inlineStr">
        <is>
          <t>La Noria</t>
        </is>
      </c>
      <c r="D533" t="inlineStr">
        <is>
          <t>La Bajada</t>
        </is>
      </c>
      <c r="E533" t="inlineStr">
        <is>
          <t>El Camino Real</t>
        </is>
      </c>
      <c r="F533" t="inlineStr">
        <is>
          <t>6044184</t>
        </is>
      </c>
      <c r="G533" t="n">
        <v>40</v>
      </c>
      <c r="H533" t="inlineStr">
        <is>
          <t>mapillary</t>
        </is>
      </c>
      <c r="I533" t="inlineStr">
        <is>
          <t>no</t>
        </is>
      </c>
      <c r="J533" t="inlineStr">
        <is>
          <t>https://www.google.com/maps/@?api=1&amp;map_action=pano&amp;viewpoint=33.022250,-117.240110&amp;heading=231</t>
        </is>
      </c>
      <c r="K533" t="inlineStr">
        <is>
          <t>https://www.google.com/maps/search/?api=1&amp;query=33.022250,-117.240110</t>
        </is>
      </c>
      <c r="L533" t="inlineStr"/>
      <c r="M533" t="inlineStr"/>
      <c r="N533" t="inlineStr"/>
      <c r="O533" t="inlineStr"/>
      <c r="P533" t="inlineStr">
        <is>
          <t>pending</t>
        </is>
      </c>
      <c r="Q533" t="inlineStr"/>
      <c r="R533" t="inlineStr"/>
      <c r="S533" t="inlineStr"/>
      <c r="T533" t="inlineStr">
        <is>
          <t>Mapillary: 2 posted 40 mph sign(s) detected</t>
        </is>
      </c>
      <c r="U533" t="inlineStr">
        <is>
          <t>https://www.mapillary.com/app/?lat=33.030148&amp;lng=-117.232840&amp;z=19&amp;focus=map&amp;mapFeatureId=615293653184833</t>
        </is>
      </c>
      <c r="V533">
        <f>IF(OR(L533="",S533=""),"",IF(VALUE(L533)=VALUE(S533),"Y","N"))</f>
        <v/>
      </c>
      <c r="W533">
        <f>IF(V533="Y",S533,"")</f>
        <v/>
      </c>
      <c r="X533" t="inlineStr">
        <is>
          <t>unverified: map has 40 mph (one Mapillary sign); is it 35 (LSV OK) or 40+?</t>
        </is>
      </c>
      <c r="Y533" t="inlineStr"/>
      <c r="Z533" t="n">
        <v>1252</v>
      </c>
      <c r="AA533" t="inlineStr">
        <is>
          <t>sd</t>
        </is>
      </c>
      <c r="AB533" t="inlineStr">
        <is>
          <t>sd|33.02225,-117.24011</t>
        </is>
      </c>
    </row>
    <row r="534">
      <c r="A534" t="inlineStr">
        <is>
          <t>SD-B2-533</t>
        </is>
      </c>
      <c r="B534" t="inlineStr">
        <is>
          <t>San Diego area</t>
        </is>
      </c>
      <c r="C534" t="inlineStr">
        <is>
          <t>Pershing Drive</t>
        </is>
      </c>
      <c r="D534" t="inlineStr">
        <is>
          <t>(see map link)</t>
        </is>
      </c>
      <c r="E534" t="inlineStr">
        <is>
          <t>(see map link)</t>
        </is>
      </c>
      <c r="F534" t="inlineStr">
        <is>
          <t>1367437196</t>
        </is>
      </c>
      <c r="G534" t="inlineStr"/>
      <c r="H534" t="inlineStr">
        <is>
          <t>inferred</t>
        </is>
      </c>
      <c r="I534" t="inlineStr">
        <is>
          <t>no</t>
        </is>
      </c>
      <c r="J534" t="inlineStr">
        <is>
          <t>https://www.google.com/maps/@?api=1&amp;map_action=pano&amp;viewpoint=32.732390,-117.137200&amp;heading=203</t>
        </is>
      </c>
      <c r="K534" t="inlineStr">
        <is>
          <t>https://www.google.com/maps/search/?api=1&amp;query=32.732390,-117.137200</t>
        </is>
      </c>
      <c r="L534" t="inlineStr"/>
      <c r="M534" t="inlineStr"/>
      <c r="N534" t="inlineStr"/>
      <c r="O534" t="inlineStr"/>
      <c r="P534" t="inlineStr">
        <is>
          <t>pending</t>
        </is>
      </c>
      <c r="Q534" t="inlineStr"/>
      <c r="R534" t="inlineStr"/>
      <c r="S534" t="inlineStr"/>
      <c r="T534" t="inlineStr"/>
      <c r="U534" t="inlineStr"/>
      <c r="V534">
        <f>IF(OR(L534="",S534=""),"",IF(VALUE(L534)=VALUE(S534),"Y","N"))</f>
        <v/>
      </c>
      <c r="W534">
        <f>IF(V534="Y",S534,"")</f>
        <v/>
      </c>
      <c r="X534" t="inlineStr">
        <is>
          <t>unverified: map has no limit (guessed from road type); main road: what is posted? 35 or lower opens it to LSVs</t>
        </is>
      </c>
      <c r="Y534" t="inlineStr"/>
      <c r="Z534" t="n">
        <v>768</v>
      </c>
      <c r="AA534" t="inlineStr">
        <is>
          <t>sd</t>
        </is>
      </c>
      <c r="AB534" t="inlineStr">
        <is>
          <t>sd|32.73239,-117.13720</t>
        </is>
      </c>
    </row>
    <row r="535">
      <c r="A535" t="inlineStr">
        <is>
          <t>SD-B2-534</t>
        </is>
      </c>
      <c r="B535" t="inlineStr">
        <is>
          <t>San Diego area</t>
        </is>
      </c>
      <c r="C535" t="inlineStr">
        <is>
          <t>East Harbor Drive</t>
        </is>
      </c>
      <c r="D535" t="inlineStr">
        <is>
          <t>South 32nd Street</t>
        </is>
      </c>
      <c r="E535" t="inlineStr">
        <is>
          <t>Vesta Street</t>
        </is>
      </c>
      <c r="F535" t="inlineStr">
        <is>
          <t>1354951977</t>
        </is>
      </c>
      <c r="G535" t="n">
        <v>45</v>
      </c>
      <c r="H535" t="inlineStr">
        <is>
          <t>tag</t>
        </is>
      </c>
      <c r="I535" t="inlineStr">
        <is>
          <t>no</t>
        </is>
      </c>
      <c r="J535" t="inlineStr">
        <is>
          <t>https://www.google.com/maps/@?api=1&amp;map_action=pano&amp;viewpoint=32.682470,-117.120550&amp;heading=315</t>
        </is>
      </c>
      <c r="K535" t="inlineStr">
        <is>
          <t>https://www.google.com/maps/search/?api=1&amp;query=32.682470,-117.120550</t>
        </is>
      </c>
      <c r="L535" t="inlineStr"/>
      <c r="M535" t="inlineStr"/>
      <c r="N535" t="inlineStr"/>
      <c r="O535" t="inlineStr"/>
      <c r="P535" t="inlineStr">
        <is>
          <t>pending</t>
        </is>
      </c>
      <c r="Q535" t="inlineStr"/>
      <c r="R535" t="inlineStr"/>
      <c r="S535" t="inlineStr"/>
      <c r="T535" t="inlineStr"/>
      <c r="U535" t="inlineStr"/>
      <c r="V535">
        <f>IF(OR(L535="",S535=""),"",IF(VALUE(L535)=VALUE(S535),"Y","N"))</f>
        <v/>
      </c>
      <c r="W535">
        <f>IF(V535="Y",S535,"")</f>
        <v/>
      </c>
      <c r="X535" t="inlineStr">
        <is>
          <t>unverified: map has 45 mph (OSM tag only); main road: what is posted? 35 or lower opens it to LSVs</t>
        </is>
      </c>
      <c r="Y535" t="inlineStr"/>
      <c r="Z535" t="n">
        <v>831</v>
      </c>
      <c r="AA535" t="inlineStr">
        <is>
          <t>sd</t>
        </is>
      </c>
      <c r="AB535" t="inlineStr">
        <is>
          <t>sd|32.68247,-117.12055</t>
        </is>
      </c>
    </row>
    <row r="536">
      <c r="A536" t="inlineStr">
        <is>
          <t>SD-B2-535</t>
        </is>
      </c>
      <c r="B536" t="inlineStr">
        <is>
          <t>San Diego area</t>
        </is>
      </c>
      <c r="C536" t="inlineStr">
        <is>
          <t>Carmel View Road</t>
        </is>
      </c>
      <c r="D536" t="inlineStr">
        <is>
          <t>Ruette Alliante</t>
        </is>
      </c>
      <c r="E536" t="inlineStr">
        <is>
          <t>Caminito Cielo del Mar</t>
        </is>
      </c>
      <c r="F536" t="inlineStr">
        <is>
          <t>6050305</t>
        </is>
      </c>
      <c r="G536" t="n">
        <v>25</v>
      </c>
      <c r="H536" t="inlineStr">
        <is>
          <t>inferred</t>
        </is>
      </c>
      <c r="I536" t="inlineStr">
        <is>
          <t>cart+LSV</t>
        </is>
      </c>
      <c r="J536" t="inlineStr">
        <is>
          <t>https://www.google.com/maps/@?api=1&amp;map_action=pano&amp;viewpoint=32.943870,-117.236480&amp;heading=248</t>
        </is>
      </c>
      <c r="K536" t="inlineStr">
        <is>
          <t>https://www.google.com/maps/search/?api=1&amp;query=32.943870,-117.236480</t>
        </is>
      </c>
      <c r="L536" t="inlineStr"/>
      <c r="M536" t="inlineStr"/>
      <c r="N536" t="inlineStr"/>
      <c r="O536" t="inlineStr"/>
      <c r="P536" t="inlineStr">
        <is>
          <t>pending</t>
        </is>
      </c>
      <c r="Q536" t="inlineStr"/>
      <c r="R536" t="inlineStr"/>
      <c r="S536" t="inlineStr"/>
      <c r="T536" t="inlineStr"/>
      <c r="U536" t="inlineStr"/>
      <c r="V536">
        <f>IF(OR(L536="",S536=""),"",IF(VALUE(L536)=VALUE(S536),"Y","N"))</f>
        <v/>
      </c>
      <c r="W536">
        <f>IF(V536="Y",S536,"")</f>
        <v/>
      </c>
      <c r="X536" t="inlineStr">
        <is>
          <t>unverified: map has 25 mph (guessed from road type); is it 25 (carts OK) or 30+?</t>
        </is>
      </c>
      <c r="Y536" t="inlineStr"/>
      <c r="Z536" t="n">
        <v>958</v>
      </c>
      <c r="AA536" t="inlineStr">
        <is>
          <t>sd</t>
        </is>
      </c>
      <c r="AB536" t="inlineStr">
        <is>
          <t>sd|32.94387,-117.23648</t>
        </is>
      </c>
    </row>
    <row r="537">
      <c r="A537" t="inlineStr">
        <is>
          <t>SD-B2-536</t>
        </is>
      </c>
      <c r="B537" t="inlineStr">
        <is>
          <t>San Diego area</t>
        </is>
      </c>
      <c r="C537" t="inlineStr">
        <is>
          <t>La Jolla Mesa Drive</t>
        </is>
      </c>
      <c r="D537" t="inlineStr">
        <is>
          <t>Skylark Drive</t>
        </is>
      </c>
      <c r="E537" t="inlineStr">
        <is>
          <t>Colima Street</t>
        </is>
      </c>
      <c r="F537" t="inlineStr">
        <is>
          <t>5975576</t>
        </is>
      </c>
      <c r="G537" t="n">
        <v>25</v>
      </c>
      <c r="H537" t="inlineStr">
        <is>
          <t>inferred</t>
        </is>
      </c>
      <c r="I537" t="inlineStr">
        <is>
          <t>cart+LSV</t>
        </is>
      </c>
      <c r="J537" t="inlineStr">
        <is>
          <t>https://www.google.com/maps/@?api=1&amp;map_action=pano&amp;viewpoint=32.818040,-117.260090&amp;heading=15</t>
        </is>
      </c>
      <c r="K537" t="inlineStr">
        <is>
          <t>https://www.google.com/maps/search/?api=1&amp;query=32.818040,-117.260090</t>
        </is>
      </c>
      <c r="L537" t="inlineStr"/>
      <c r="M537" t="inlineStr"/>
      <c r="N537" t="inlineStr"/>
      <c r="O537" t="inlineStr"/>
      <c r="P537" t="inlineStr">
        <is>
          <t>pending</t>
        </is>
      </c>
      <c r="Q537" t="inlineStr"/>
      <c r="R537" t="inlineStr"/>
      <c r="S537" t="inlineStr"/>
      <c r="T537" t="inlineStr"/>
      <c r="U537" t="inlineStr"/>
      <c r="V537">
        <f>IF(OR(L537="",S537=""),"",IF(VALUE(L537)=VALUE(S537),"Y","N"))</f>
        <v/>
      </c>
      <c r="W537">
        <f>IF(V537="Y",S537,"")</f>
        <v/>
      </c>
      <c r="X537" t="inlineStr">
        <is>
          <t>unverified: map has 25 mph (guessed from road type); is it 25 (carts OK) or 30+?</t>
        </is>
      </c>
      <c r="Y537" t="inlineStr"/>
      <c r="Z537" t="n">
        <v>956</v>
      </c>
      <c r="AA537" t="inlineStr">
        <is>
          <t>sd</t>
        </is>
      </c>
      <c r="AB537" t="inlineStr">
        <is>
          <t>sd|32.81804,-117.26009</t>
        </is>
      </c>
    </row>
    <row r="538">
      <c r="A538" t="inlineStr">
        <is>
          <t>SD-B2-537</t>
        </is>
      </c>
      <c r="B538" t="inlineStr">
        <is>
          <t>San Diego area</t>
        </is>
      </c>
      <c r="C538" t="inlineStr">
        <is>
          <t>West Mission Bay Drive</t>
        </is>
      </c>
      <c r="D538" t="inlineStr">
        <is>
          <t>(see map link)</t>
        </is>
      </c>
      <c r="E538" t="inlineStr">
        <is>
          <t>(see map link)</t>
        </is>
      </c>
      <c r="F538" t="inlineStr">
        <is>
          <t>757109445</t>
        </is>
      </c>
      <c r="G538" t="inlineStr"/>
      <c r="H538" t="inlineStr">
        <is>
          <t>inferred</t>
        </is>
      </c>
      <c r="I538" t="inlineStr">
        <is>
          <t>no</t>
        </is>
      </c>
      <c r="J538" t="inlineStr">
        <is>
          <t>https://www.google.com/maps/@?api=1&amp;map_action=pano&amp;viewpoint=32.762080,-117.231010&amp;heading=308</t>
        </is>
      </c>
      <c r="K538" t="inlineStr">
        <is>
          <t>https://www.google.com/maps/search/?api=1&amp;query=32.762080,-117.231010</t>
        </is>
      </c>
      <c r="L538" t="inlineStr"/>
      <c r="M538" t="inlineStr"/>
      <c r="N538" t="inlineStr"/>
      <c r="O538" t="inlineStr"/>
      <c r="P538" t="inlineStr">
        <is>
          <t>pending</t>
        </is>
      </c>
      <c r="Q538" t="inlineStr"/>
      <c r="R538" t="inlineStr"/>
      <c r="S538" t="inlineStr"/>
      <c r="T538" t="inlineStr"/>
      <c r="U538" t="inlineStr"/>
      <c r="V538">
        <f>IF(OR(L538="",S538=""),"",IF(VALUE(L538)=VALUE(S538),"Y","N"))</f>
        <v/>
      </c>
      <c r="W538">
        <f>IF(V538="Y",S538,"")</f>
        <v/>
      </c>
      <c r="X538" t="inlineStr">
        <is>
          <t>unverified: map has no limit (guessed from road type); main road: what is posted? 35 or lower opens it to LSVs</t>
        </is>
      </c>
      <c r="Y538" t="inlineStr"/>
      <c r="Z538" t="n">
        <v>636</v>
      </c>
      <c r="AA538" t="inlineStr">
        <is>
          <t>sd</t>
        </is>
      </c>
      <c r="AB538" t="inlineStr">
        <is>
          <t>sd|32.76208,-117.23101</t>
        </is>
      </c>
    </row>
    <row r="539">
      <c r="A539" t="inlineStr">
        <is>
          <t>SD-B2-538</t>
        </is>
      </c>
      <c r="B539" t="inlineStr">
        <is>
          <t>San Diego area</t>
        </is>
      </c>
      <c r="C539" t="inlineStr">
        <is>
          <t>Shelter Island Drive</t>
        </is>
      </c>
      <c r="D539" t="inlineStr">
        <is>
          <t>(see map link)</t>
        </is>
      </c>
      <c r="E539" t="inlineStr">
        <is>
          <t>(see map link)</t>
        </is>
      </c>
      <c r="F539" t="inlineStr">
        <is>
          <t>5978809</t>
        </is>
      </c>
      <c r="G539" t="n">
        <v>25</v>
      </c>
      <c r="H539" t="inlineStr">
        <is>
          <t>tag</t>
        </is>
      </c>
      <c r="I539" t="inlineStr">
        <is>
          <t>cart+LSV</t>
        </is>
      </c>
      <c r="J539" t="inlineStr">
        <is>
          <t>https://www.google.com/maps/@?api=1&amp;map_action=pano&amp;viewpoint=32.718450,-117.221060&amp;heading=36</t>
        </is>
      </c>
      <c r="K539" t="inlineStr">
        <is>
          <t>https://www.google.com/maps/search/?api=1&amp;query=32.718450,-117.221060</t>
        </is>
      </c>
      <c r="L539" t="inlineStr"/>
      <c r="M539" t="inlineStr"/>
      <c r="N539" t="inlineStr"/>
      <c r="O539" t="inlineStr"/>
      <c r="P539" t="inlineStr">
        <is>
          <t>pending</t>
        </is>
      </c>
      <c r="Q539" t="inlineStr"/>
      <c r="R539" t="inlineStr"/>
      <c r="S539" t="inlineStr"/>
      <c r="T539" t="inlineStr"/>
      <c r="U539" t="inlineStr"/>
      <c r="V539">
        <f>IF(OR(L539="",S539=""),"",IF(VALUE(L539)=VALUE(S539),"Y","N"))</f>
        <v/>
      </c>
      <c r="W539">
        <f>IF(V539="Y",S539,"")</f>
        <v/>
      </c>
      <c r="X539" t="inlineStr">
        <is>
          <t>unverified: map has 25 mph (OSM tag only); is it 25 (carts OK) or 30+?</t>
        </is>
      </c>
      <c r="Y539" t="inlineStr"/>
      <c r="Z539" t="n">
        <v>990</v>
      </c>
      <c r="AA539" t="inlineStr">
        <is>
          <t>sd</t>
        </is>
      </c>
      <c r="AB539" t="inlineStr">
        <is>
          <t>sd|32.71845,-117.22106</t>
        </is>
      </c>
    </row>
    <row r="540">
      <c r="A540" t="inlineStr">
        <is>
          <t>SD-B2-539</t>
        </is>
      </c>
      <c r="B540" t="inlineStr">
        <is>
          <t>San Diego area</t>
        </is>
      </c>
      <c r="C540" t="inlineStr">
        <is>
          <t>Convoy Court</t>
        </is>
      </c>
      <c r="D540" t="inlineStr">
        <is>
          <t>(see map link)</t>
        </is>
      </c>
      <c r="E540" t="inlineStr">
        <is>
          <t>Ruffner Street</t>
        </is>
      </c>
      <c r="F540" t="inlineStr">
        <is>
          <t>283725216</t>
        </is>
      </c>
      <c r="G540" t="n">
        <v>25</v>
      </c>
      <c r="H540" t="inlineStr">
        <is>
          <t>inferred</t>
        </is>
      </c>
      <c r="I540" t="inlineStr">
        <is>
          <t>cart+LSV</t>
        </is>
      </c>
      <c r="J540" t="inlineStr">
        <is>
          <t>https://www.google.com/maps/@?api=1&amp;map_action=pano&amp;viewpoint=32.834640,-117.151020&amp;heading=81</t>
        </is>
      </c>
      <c r="K540" t="inlineStr">
        <is>
          <t>https://www.google.com/maps/search/?api=1&amp;query=32.834640,-117.151020</t>
        </is>
      </c>
      <c r="L540" t="inlineStr"/>
      <c r="M540" t="inlineStr"/>
      <c r="N540" t="inlineStr"/>
      <c r="O540" t="inlineStr"/>
      <c r="P540" t="inlineStr">
        <is>
          <t>pending</t>
        </is>
      </c>
      <c r="Q540" t="inlineStr"/>
      <c r="R540" t="inlineStr"/>
      <c r="S540" t="inlineStr"/>
      <c r="T540" t="inlineStr"/>
      <c r="U540" t="inlineStr"/>
      <c r="V540">
        <f>IF(OR(L540="",S540=""),"",IF(VALUE(L540)=VALUE(S540),"Y","N"))</f>
        <v/>
      </c>
      <c r="W540">
        <f>IF(V540="Y",S540,"")</f>
        <v/>
      </c>
      <c r="X540" t="inlineStr">
        <is>
          <t>unverified: map has 25 mph (guessed from road type); is it 25 (carts OK) or 30+?</t>
        </is>
      </c>
      <c r="Y540" t="inlineStr"/>
      <c r="Z540" t="n">
        <v>951</v>
      </c>
      <c r="AA540" t="inlineStr">
        <is>
          <t>sd</t>
        </is>
      </c>
      <c r="AB540" t="inlineStr">
        <is>
          <t>sd|32.83464,-117.15102</t>
        </is>
      </c>
    </row>
    <row r="541">
      <c r="A541" t="inlineStr">
        <is>
          <t>SD-B2-540</t>
        </is>
      </c>
      <c r="B541" t="inlineStr">
        <is>
          <t>San Diego area</t>
        </is>
      </c>
      <c r="C541" t="inlineStr">
        <is>
          <t>Urania Avenue</t>
        </is>
      </c>
      <c r="D541" t="inlineStr">
        <is>
          <t>Sparta Drive</t>
        </is>
      </c>
      <c r="E541" t="inlineStr">
        <is>
          <t>Sunrich Lane</t>
        </is>
      </c>
      <c r="F541" t="inlineStr">
        <is>
          <t>32676814</t>
        </is>
      </c>
      <c r="G541" t="n">
        <v>25</v>
      </c>
      <c r="H541" t="inlineStr">
        <is>
          <t>inferred</t>
        </is>
      </c>
      <c r="I541" t="inlineStr">
        <is>
          <t>cart+LSV</t>
        </is>
      </c>
      <c r="J541" t="inlineStr">
        <is>
          <t>https://www.google.com/maps/@?api=1&amp;map_action=pano&amp;viewpoint=33.067470,-117.289315&amp;heading=174</t>
        </is>
      </c>
      <c r="K541" t="inlineStr">
        <is>
          <t>https://www.google.com/maps/search/?api=1&amp;query=33.067470,-117.289315</t>
        </is>
      </c>
      <c r="L541" t="inlineStr"/>
      <c r="M541" t="inlineStr"/>
      <c r="N541" t="inlineStr"/>
      <c r="O541" t="inlineStr"/>
      <c r="P541" t="inlineStr">
        <is>
          <t>pending</t>
        </is>
      </c>
      <c r="Q541" t="inlineStr"/>
      <c r="R541" t="inlineStr"/>
      <c r="S541" t="inlineStr"/>
      <c r="T541" t="inlineStr"/>
      <c r="U541" t="inlineStr"/>
      <c r="V541">
        <f>IF(OR(L541="",S541=""),"",IF(VALUE(L541)=VALUE(S541),"Y","N"))</f>
        <v/>
      </c>
      <c r="W541">
        <f>IF(V541="Y",S541,"")</f>
        <v/>
      </c>
      <c r="X541" t="inlineStr">
        <is>
          <t>unverified: map has 25 mph (guessed from road type); is it 25 (carts OK) or 30+?</t>
        </is>
      </c>
      <c r="Y541" t="inlineStr"/>
      <c r="Z541" t="n">
        <v>949</v>
      </c>
      <c r="AA541" t="inlineStr">
        <is>
          <t>sd</t>
        </is>
      </c>
      <c r="AB541" t="inlineStr">
        <is>
          <t>sd|33.06747,-117.28932</t>
        </is>
      </c>
    </row>
    <row r="542">
      <c r="A542" t="inlineStr">
        <is>
          <t>SD-B2-541</t>
        </is>
      </c>
      <c r="B542" t="inlineStr">
        <is>
          <t>San Diego area</t>
        </is>
      </c>
      <c r="C542" t="inlineStr">
        <is>
          <t>Leucadia Boulevard</t>
        </is>
      </c>
      <c r="D542" t="inlineStr">
        <is>
          <t>(see map link)</t>
        </is>
      </c>
      <c r="E542" t="inlineStr">
        <is>
          <t>(see map link)</t>
        </is>
      </c>
      <c r="F542" t="inlineStr">
        <is>
          <t>331012917</t>
        </is>
      </c>
      <c r="G542" t="n">
        <v>45</v>
      </c>
      <c r="H542" t="inlineStr">
        <is>
          <t>mapillary</t>
        </is>
      </c>
      <c r="I542" t="inlineStr">
        <is>
          <t>no</t>
        </is>
      </c>
      <c r="J542" t="inlineStr">
        <is>
          <t>https://www.google.com/maps/@?api=1&amp;map_action=pano&amp;viewpoint=33.068320,-117.273380&amp;heading=57</t>
        </is>
      </c>
      <c r="K542" t="inlineStr">
        <is>
          <t>https://www.google.com/maps/search/?api=1&amp;query=33.068320,-117.273380</t>
        </is>
      </c>
      <c r="L542" t="inlineStr"/>
      <c r="M542" t="inlineStr"/>
      <c r="N542" t="inlineStr"/>
      <c r="O542" t="inlineStr"/>
      <c r="P542" t="inlineStr">
        <is>
          <t>pending</t>
        </is>
      </c>
      <c r="Q542" t="inlineStr"/>
      <c r="R542" t="inlineStr"/>
      <c r="S542" t="inlineStr"/>
      <c r="T542" t="inlineStr">
        <is>
          <t>Mapillary: 2 posted 45 mph sign(s) detected</t>
        </is>
      </c>
      <c r="U542" t="inlineStr">
        <is>
          <t>https://www.mapillary.com/app/?lat=33.065480&amp;lng=-117.277550&amp;z=19&amp;focus=map&amp;mapFeatureId=508053497235145</t>
        </is>
      </c>
      <c r="V542">
        <f>IF(OR(L542="",S542=""),"",IF(VALUE(L542)=VALUE(S542),"Y","N"))</f>
        <v/>
      </c>
      <c r="W542">
        <f>IF(V542="Y",S542,"")</f>
        <v/>
      </c>
      <c r="X542" t="inlineStr">
        <is>
          <t>unverified: map has 45 mph (one Mapillary sign); main road: what is posted? 35 or lower opens it to LSVs</t>
        </is>
      </c>
      <c r="Y542" t="inlineStr"/>
      <c r="Z542" t="n">
        <v>1026</v>
      </c>
      <c r="AA542" t="inlineStr">
        <is>
          <t>sd</t>
        </is>
      </c>
      <c r="AB542" t="inlineStr">
        <is>
          <t>sd|33.06832,-117.27338</t>
        </is>
      </c>
    </row>
    <row r="543">
      <c r="A543" t="inlineStr">
        <is>
          <t>SD-B2-542</t>
        </is>
      </c>
      <c r="B543" t="inlineStr">
        <is>
          <t>San Diego area</t>
        </is>
      </c>
      <c r="C543" t="inlineStr">
        <is>
          <t>Gramercy Drive</t>
        </is>
      </c>
      <c r="D543" t="inlineStr">
        <is>
          <t>(see map link)</t>
        </is>
      </c>
      <c r="E543" t="inlineStr">
        <is>
          <t>Mobley Street</t>
        </is>
      </c>
      <c r="F543" t="inlineStr">
        <is>
          <t>1465257136</t>
        </is>
      </c>
      <c r="G543" t="inlineStr"/>
      <c r="H543" t="inlineStr">
        <is>
          <t>inferred</t>
        </is>
      </c>
      <c r="I543" t="inlineStr">
        <is>
          <t>no</t>
        </is>
      </c>
      <c r="J543" t="inlineStr">
        <is>
          <t>https://www.google.com/maps/@?api=1&amp;map_action=pano&amp;viewpoint=32.802660,-117.135810&amp;heading=115</t>
        </is>
      </c>
      <c r="K543" t="inlineStr">
        <is>
          <t>https://www.google.com/maps/search/?api=1&amp;query=32.802660,-117.135810</t>
        </is>
      </c>
      <c r="L543" t="inlineStr"/>
      <c r="M543" t="inlineStr"/>
      <c r="N543" t="inlineStr"/>
      <c r="O543" t="inlineStr"/>
      <c r="P543" t="inlineStr">
        <is>
          <t>pending</t>
        </is>
      </c>
      <c r="Q543" t="inlineStr"/>
      <c r="R543" t="inlineStr"/>
      <c r="S543" t="inlineStr"/>
      <c r="T543" t="inlineStr"/>
      <c r="U543" t="inlineStr"/>
      <c r="V543">
        <f>IF(OR(L543="",S543=""),"",IF(VALUE(L543)=VALUE(S543),"Y","N"))</f>
        <v/>
      </c>
      <c r="W543">
        <f>IF(V543="Y",S543,"")</f>
        <v/>
      </c>
      <c r="X543" t="inlineStr">
        <is>
          <t>unverified: map has no limit (guessed from road type); main road: what is posted? 35 or lower opens it to LSVs</t>
        </is>
      </c>
      <c r="Y543" t="inlineStr"/>
      <c r="Z543" t="n">
        <v>757</v>
      </c>
      <c r="AA543" t="inlineStr">
        <is>
          <t>sd</t>
        </is>
      </c>
      <c r="AB543" t="inlineStr">
        <is>
          <t>sd|32.80266,-117.13581</t>
        </is>
      </c>
    </row>
    <row r="544">
      <c r="A544" t="inlineStr">
        <is>
          <t>SD-B2-543</t>
        </is>
      </c>
      <c r="B544" t="inlineStr">
        <is>
          <t>San Diego area</t>
        </is>
      </c>
      <c r="C544" t="inlineStr">
        <is>
          <t>Carmel Country Road</t>
        </is>
      </c>
      <c r="D544" t="inlineStr">
        <is>
          <t>Stone Haven Way</t>
        </is>
      </c>
      <c r="E544" t="inlineStr">
        <is>
          <t>Craven Ridge Way</t>
        </is>
      </c>
      <c r="F544" t="inlineStr">
        <is>
          <t>6008456</t>
        </is>
      </c>
      <c r="G544" t="n">
        <v>40</v>
      </c>
      <c r="H544" t="inlineStr">
        <is>
          <t>tag</t>
        </is>
      </c>
      <c r="I544" t="inlineStr">
        <is>
          <t>no</t>
        </is>
      </c>
      <c r="J544" t="inlineStr">
        <is>
          <t>https://www.google.com/maps/@?api=1&amp;map_action=pano&amp;viewpoint=32.930660,-117.198170&amp;heading=313</t>
        </is>
      </c>
      <c r="K544" t="inlineStr">
        <is>
          <t>https://www.google.com/maps/search/?api=1&amp;query=32.930660,-117.198170</t>
        </is>
      </c>
      <c r="L544" t="inlineStr"/>
      <c r="M544" t="inlineStr"/>
      <c r="N544" t="inlineStr"/>
      <c r="O544" t="inlineStr"/>
      <c r="P544" t="inlineStr">
        <is>
          <t>pending</t>
        </is>
      </c>
      <c r="Q544" t="inlineStr"/>
      <c r="R544" t="inlineStr"/>
      <c r="S544" t="inlineStr"/>
      <c r="T544" t="inlineStr"/>
      <c r="U544" t="inlineStr"/>
      <c r="V544">
        <f>IF(OR(L544="",S544=""),"",IF(VALUE(L544)=VALUE(S544),"Y","N"))</f>
        <v/>
      </c>
      <c r="W544">
        <f>IF(V544="Y",S544,"")</f>
        <v/>
      </c>
      <c r="X544" t="inlineStr">
        <is>
          <t>unverified: map has 40 mph (OSM tag only); is it 35 (LSV OK) or 40+?</t>
        </is>
      </c>
      <c r="Y544" t="inlineStr"/>
      <c r="Z544" t="n">
        <v>984</v>
      </c>
      <c r="AA544" t="inlineStr">
        <is>
          <t>sd</t>
        </is>
      </c>
      <c r="AB544" t="inlineStr">
        <is>
          <t>sd|32.93066,-117.19817</t>
        </is>
      </c>
    </row>
    <row r="545">
      <c r="A545" t="inlineStr">
        <is>
          <t>SD-B2-544</t>
        </is>
      </c>
      <c r="B545" t="inlineStr">
        <is>
          <t>San Diego area</t>
        </is>
      </c>
      <c r="C545" t="inlineStr">
        <is>
          <t>Hoover Street</t>
        </is>
      </c>
      <c r="D545" t="inlineStr">
        <is>
          <t>(see map link)</t>
        </is>
      </c>
      <c r="E545" t="inlineStr">
        <is>
          <t>Mesa Drive</t>
        </is>
      </c>
      <c r="F545" t="inlineStr">
        <is>
          <t>5991910</t>
        </is>
      </c>
      <c r="G545" t="n">
        <v>25</v>
      </c>
      <c r="H545" t="inlineStr">
        <is>
          <t>inferred</t>
        </is>
      </c>
      <c r="I545" t="inlineStr">
        <is>
          <t>cart+LSV</t>
        </is>
      </c>
      <c r="J545" t="inlineStr">
        <is>
          <t>https://www.google.com/maps/@?api=1&amp;map_action=pano&amp;viewpoint=33.199020,-117.351370&amp;heading=176</t>
        </is>
      </c>
      <c r="K545" t="inlineStr">
        <is>
          <t>https://www.google.com/maps/search/?api=1&amp;query=33.199020,-117.351370</t>
        </is>
      </c>
      <c r="L545" t="inlineStr"/>
      <c r="M545" t="inlineStr"/>
      <c r="N545" t="inlineStr"/>
      <c r="O545" t="inlineStr"/>
      <c r="P545" t="inlineStr">
        <is>
          <t>pending</t>
        </is>
      </c>
      <c r="Q545" t="inlineStr"/>
      <c r="R545" t="inlineStr"/>
      <c r="S545" t="inlineStr"/>
      <c r="T545" t="inlineStr"/>
      <c r="U545" t="inlineStr"/>
      <c r="V545">
        <f>IF(OR(L545="",S545=""),"",IF(VALUE(L545)=VALUE(S545),"Y","N"))</f>
        <v/>
      </c>
      <c r="W545">
        <f>IF(V545="Y",S545,"")</f>
        <v/>
      </c>
      <c r="X545" t="inlineStr">
        <is>
          <t>unverified: map has 25 mph (guessed from road type); is it 25 (carts OK) or 30+?</t>
        </is>
      </c>
      <c r="Y545" t="inlineStr"/>
      <c r="Z545" t="n">
        <v>946</v>
      </c>
      <c r="AA545" t="inlineStr">
        <is>
          <t>sd</t>
        </is>
      </c>
      <c r="AB545" t="inlineStr">
        <is>
          <t>sd|33.19902,-117.35137</t>
        </is>
      </c>
    </row>
    <row r="546">
      <c r="A546" t="inlineStr">
        <is>
          <t>SD-B2-545</t>
        </is>
      </c>
      <c r="B546" t="inlineStr">
        <is>
          <t>San Diego area</t>
        </is>
      </c>
      <c r="C546" t="inlineStr">
        <is>
          <t>Villa La Jolla Drive</t>
        </is>
      </c>
      <c r="D546" t="inlineStr">
        <is>
          <t>Gilman Drive</t>
        </is>
      </c>
      <c r="E546" t="inlineStr">
        <is>
          <t>Villa La Jolla Driveway</t>
        </is>
      </c>
      <c r="F546" t="inlineStr">
        <is>
          <t>103096490</t>
        </is>
      </c>
      <c r="G546" t="n">
        <v>30</v>
      </c>
      <c r="H546" t="inlineStr">
        <is>
          <t>tag</t>
        </is>
      </c>
      <c r="I546" t="inlineStr">
        <is>
          <t>LSV</t>
        </is>
      </c>
      <c r="J546" t="inlineStr">
        <is>
          <t>https://www.google.com/maps/@?api=1&amp;map_action=pano&amp;viewpoint=32.864410,-117.235150&amp;heading=69</t>
        </is>
      </c>
      <c r="K546" t="inlineStr">
        <is>
          <t>https://www.google.com/maps/search/?api=1&amp;query=32.864410,-117.235150</t>
        </is>
      </c>
      <c r="L546" t="inlineStr"/>
      <c r="M546" t="inlineStr"/>
      <c r="N546" t="inlineStr"/>
      <c r="O546" t="inlineStr"/>
      <c r="P546" t="inlineStr">
        <is>
          <t>pending</t>
        </is>
      </c>
      <c r="Q546" t="inlineStr"/>
      <c r="R546" t="inlineStr"/>
      <c r="S546" t="inlineStr"/>
      <c r="T546" t="inlineStr"/>
      <c r="U546" t="inlineStr"/>
      <c r="V546">
        <f>IF(OR(L546="",S546=""),"",IF(VALUE(L546)=VALUE(S546),"Y","N"))</f>
        <v/>
      </c>
      <c r="W546">
        <f>IF(V546="Y",S546,"")</f>
        <v/>
      </c>
      <c r="X546" t="inlineStr">
        <is>
          <t>unverified: map has 30 mph (OSM tag only); is it 25 (carts OK) or 30+?</t>
        </is>
      </c>
      <c r="Y546" t="inlineStr"/>
      <c r="Z546" t="n">
        <v>983</v>
      </c>
      <c r="AA546" t="inlineStr">
        <is>
          <t>sd</t>
        </is>
      </c>
      <c r="AB546" t="inlineStr">
        <is>
          <t>sd|32.86441,-117.23515</t>
        </is>
      </c>
    </row>
    <row r="547">
      <c r="A547" t="inlineStr">
        <is>
          <t>SD-B2-546</t>
        </is>
      </c>
      <c r="B547" t="inlineStr">
        <is>
          <t>San Diego area</t>
        </is>
      </c>
      <c r="C547" t="inlineStr">
        <is>
          <t>Waples Street</t>
        </is>
      </c>
      <c r="D547" t="inlineStr">
        <is>
          <t>Huennekens Street</t>
        </is>
      </c>
      <c r="E547" t="inlineStr">
        <is>
          <t>Weathers Place</t>
        </is>
      </c>
      <c r="F547" t="inlineStr">
        <is>
          <t>175366425</t>
        </is>
      </c>
      <c r="G547" t="n">
        <v>25</v>
      </c>
      <c r="H547" t="inlineStr">
        <is>
          <t>inferred</t>
        </is>
      </c>
      <c r="I547" t="inlineStr">
        <is>
          <t>cart+LSV</t>
        </is>
      </c>
      <c r="J547" t="inlineStr">
        <is>
          <t>https://www.google.com/maps/@?api=1&amp;map_action=pano&amp;viewpoint=32.901570,-117.184810&amp;heading=232</t>
        </is>
      </c>
      <c r="K547" t="inlineStr">
        <is>
          <t>https://www.google.com/maps/search/?api=1&amp;query=32.901570,-117.184810</t>
        </is>
      </c>
      <c r="L547" t="inlineStr"/>
      <c r="M547" t="inlineStr"/>
      <c r="N547" t="inlineStr"/>
      <c r="O547" t="inlineStr"/>
      <c r="P547" t="inlineStr">
        <is>
          <t>pending</t>
        </is>
      </c>
      <c r="Q547" t="inlineStr"/>
      <c r="R547" t="inlineStr"/>
      <c r="S547" t="inlineStr"/>
      <c r="T547" t="inlineStr"/>
      <c r="U547" t="inlineStr"/>
      <c r="V547">
        <f>IF(OR(L547="",S547=""),"",IF(VALUE(L547)=VALUE(S547),"Y","N"))</f>
        <v/>
      </c>
      <c r="W547">
        <f>IF(V547="Y",S547,"")</f>
        <v/>
      </c>
      <c r="X547" t="inlineStr">
        <is>
          <t>unverified: map has 25 mph (guessed from road type); is it 25 (carts OK) or 30+?</t>
        </is>
      </c>
      <c r="Y547" t="inlineStr"/>
      <c r="Z547" t="n">
        <v>945</v>
      </c>
      <c r="AA547" t="inlineStr">
        <is>
          <t>sd</t>
        </is>
      </c>
      <c r="AB547" t="inlineStr">
        <is>
          <t>sd|32.90157,-117.18481</t>
        </is>
      </c>
    </row>
    <row r="548">
      <c r="A548" t="inlineStr">
        <is>
          <t>SD-B2-547</t>
        </is>
      </c>
      <c r="B548" t="inlineStr">
        <is>
          <t>San Diego area</t>
        </is>
      </c>
      <c r="C548" t="inlineStr">
        <is>
          <t>Pacific Avenue</t>
        </is>
      </c>
      <c r="D548" t="inlineStr">
        <is>
          <t>Plaza Street</t>
        </is>
      </c>
      <c r="E548" t="inlineStr">
        <is>
          <t>Ocean Street</t>
        </is>
      </c>
      <c r="F548" t="inlineStr">
        <is>
          <t>5987437</t>
        </is>
      </c>
      <c r="G548" t="n">
        <v>25</v>
      </c>
      <c r="H548" t="inlineStr">
        <is>
          <t>inferred</t>
        </is>
      </c>
      <c r="I548" t="inlineStr">
        <is>
          <t>cart+LSV</t>
        </is>
      </c>
      <c r="J548" t="inlineStr">
        <is>
          <t>https://www.google.com/maps/@?api=1&amp;map_action=pano&amp;viewpoint=32.993720,-117.274650&amp;heading=355</t>
        </is>
      </c>
      <c r="K548" t="inlineStr">
        <is>
          <t>https://www.google.com/maps/search/?api=1&amp;query=32.993720,-117.274650</t>
        </is>
      </c>
      <c r="L548" t="inlineStr"/>
      <c r="M548" t="inlineStr"/>
      <c r="N548" t="inlineStr"/>
      <c r="O548" t="inlineStr"/>
      <c r="P548" t="inlineStr">
        <is>
          <t>pending</t>
        </is>
      </c>
      <c r="Q548" t="inlineStr"/>
      <c r="R548" t="inlineStr"/>
      <c r="S548" t="inlineStr"/>
      <c r="T548" t="inlineStr"/>
      <c r="U548" t="inlineStr"/>
      <c r="V548">
        <f>IF(OR(L548="",S548=""),"",IF(VALUE(L548)=VALUE(S548),"Y","N"))</f>
        <v/>
      </c>
      <c r="W548">
        <f>IF(V548="Y",S548,"")</f>
        <v/>
      </c>
      <c r="X548" t="inlineStr">
        <is>
          <t>unverified: map has 25 mph (guessed from road type); is it 25 (carts OK) or 30+?</t>
        </is>
      </c>
      <c r="Y548" t="inlineStr"/>
      <c r="Z548" t="n">
        <v>943</v>
      </c>
      <c r="AA548" t="inlineStr">
        <is>
          <t>sd</t>
        </is>
      </c>
      <c r="AB548" t="inlineStr">
        <is>
          <t>sd|32.99372,-117.27465</t>
        </is>
      </c>
    </row>
    <row r="549">
      <c r="A549" t="inlineStr">
        <is>
          <t>SD-B2-548</t>
        </is>
      </c>
      <c r="B549" t="inlineStr">
        <is>
          <t>San Diego area</t>
        </is>
      </c>
      <c r="C549" t="inlineStr">
        <is>
          <t>Gateway Road</t>
        </is>
      </c>
      <c r="D549" t="inlineStr">
        <is>
          <t>(see map link)</t>
        </is>
      </c>
      <c r="E549" t="inlineStr">
        <is>
          <t>Innovation Way</t>
        </is>
      </c>
      <c r="F549" t="inlineStr">
        <is>
          <t>1489841056</t>
        </is>
      </c>
      <c r="G549" t="n">
        <v>40</v>
      </c>
      <c r="H549" t="inlineStr">
        <is>
          <t>tag</t>
        </is>
      </c>
      <c r="I549" t="inlineStr">
        <is>
          <t>no</t>
        </is>
      </c>
      <c r="J549" t="inlineStr">
        <is>
          <t>https://www.google.com/maps/@?api=1&amp;map_action=pano&amp;viewpoint=33.127870,-117.254980&amp;heading=86</t>
        </is>
      </c>
      <c r="K549" t="inlineStr">
        <is>
          <t>https://www.google.com/maps/search/?api=1&amp;query=33.127870,-117.254980</t>
        </is>
      </c>
      <c r="L549" t="inlineStr"/>
      <c r="M549" t="inlineStr"/>
      <c r="N549" t="inlineStr"/>
      <c r="O549" t="inlineStr"/>
      <c r="P549" t="inlineStr">
        <is>
          <t>pending</t>
        </is>
      </c>
      <c r="Q549" t="inlineStr"/>
      <c r="R549" t="inlineStr"/>
      <c r="S549" t="inlineStr"/>
      <c r="T549" t="inlineStr"/>
      <c r="U549" t="inlineStr"/>
      <c r="V549">
        <f>IF(OR(L549="",S549=""),"",IF(VALUE(L549)=VALUE(S549),"Y","N"))</f>
        <v/>
      </c>
      <c r="W549">
        <f>IF(V549="Y",S549,"")</f>
        <v/>
      </c>
      <c r="X549" t="inlineStr">
        <is>
          <t>unverified: map has 40 mph (OSM tag only); is it 35 (LSV OK) or 40+?</t>
        </is>
      </c>
      <c r="Y549" t="inlineStr"/>
      <c r="Z549" t="n">
        <v>1223</v>
      </c>
      <c r="AA549" t="inlineStr">
        <is>
          <t>sd</t>
        </is>
      </c>
      <c r="AB549" t="inlineStr">
        <is>
          <t>sd|33.12787,-117.25498</t>
        </is>
      </c>
    </row>
    <row r="550">
      <c r="A550" t="inlineStr">
        <is>
          <t>SD-B2-549</t>
        </is>
      </c>
      <c r="B550" t="inlineStr">
        <is>
          <t>San Diego area</t>
        </is>
      </c>
      <c r="C550" t="inlineStr">
        <is>
          <t>Genesee Avenue</t>
        </is>
      </c>
      <c r="D550" t="inlineStr">
        <is>
          <t>Sauk Avenue</t>
        </is>
      </c>
      <c r="E550" t="inlineStr">
        <is>
          <t>Chateau Drive</t>
        </is>
      </c>
      <c r="F550" t="inlineStr">
        <is>
          <t>233473376</t>
        </is>
      </c>
      <c r="G550" t="n">
        <v>40</v>
      </c>
      <c r="H550" t="inlineStr">
        <is>
          <t>tag</t>
        </is>
      </c>
      <c r="I550" t="inlineStr">
        <is>
          <t>no</t>
        </is>
      </c>
      <c r="J550" t="inlineStr">
        <is>
          <t>https://www.google.com/maps/@?api=1&amp;map_action=pano&amp;viewpoint=32.831060,-117.194680&amp;heading=334</t>
        </is>
      </c>
      <c r="K550" t="inlineStr">
        <is>
          <t>https://www.google.com/maps/search/?api=1&amp;query=32.831060,-117.194680</t>
        </is>
      </c>
      <c r="L550" t="inlineStr"/>
      <c r="M550" t="inlineStr"/>
      <c r="N550" t="inlineStr"/>
      <c r="O550" t="inlineStr"/>
      <c r="P550" t="inlineStr">
        <is>
          <t>pending</t>
        </is>
      </c>
      <c r="Q550" t="inlineStr"/>
      <c r="R550" t="inlineStr"/>
      <c r="S550" t="inlineStr"/>
      <c r="T550" t="inlineStr"/>
      <c r="U550" t="inlineStr"/>
      <c r="V550">
        <f>IF(OR(L550="",S550=""),"",IF(VALUE(L550)=VALUE(S550),"Y","N"))</f>
        <v/>
      </c>
      <c r="W550">
        <f>IF(V550="Y",S550,"")</f>
        <v/>
      </c>
      <c r="X550" t="inlineStr">
        <is>
          <t>unverified: map has 40 mph (OSM tag only); is it 35 (LSV OK) or 40+?</t>
        </is>
      </c>
      <c r="Y550" t="inlineStr"/>
      <c r="Z550" t="n">
        <v>813</v>
      </c>
      <c r="AA550" t="inlineStr">
        <is>
          <t>sd</t>
        </is>
      </c>
      <c r="AB550" t="inlineStr">
        <is>
          <t>sd|32.83106,-117.19468</t>
        </is>
      </c>
    </row>
    <row r="551">
      <c r="A551" t="inlineStr">
        <is>
          <t>SD-B2-550</t>
        </is>
      </c>
      <c r="B551" t="inlineStr">
        <is>
          <t>San Diego area</t>
        </is>
      </c>
      <c r="C551" t="inlineStr">
        <is>
          <t>Greenbrier Drive</t>
        </is>
      </c>
      <c r="D551" t="inlineStr">
        <is>
          <t>Grace Street</t>
        </is>
      </c>
      <c r="E551" t="inlineStr">
        <is>
          <t>Oceanside Boulevard</t>
        </is>
      </c>
      <c r="F551" t="inlineStr">
        <is>
          <t>5973145</t>
        </is>
      </c>
      <c r="G551" t="n">
        <v>25</v>
      </c>
      <c r="H551" t="inlineStr">
        <is>
          <t>inferred</t>
        </is>
      </c>
      <c r="I551" t="inlineStr">
        <is>
          <t>cart+LSV</t>
        </is>
      </c>
      <c r="J551" t="inlineStr">
        <is>
          <t>https://www.google.com/maps/@?api=1&amp;map_action=pano&amp;viewpoint=33.197960,-117.359480&amp;heading=90</t>
        </is>
      </c>
      <c r="K551" t="inlineStr">
        <is>
          <t>https://www.google.com/maps/search/?api=1&amp;query=33.197960,-117.359480</t>
        </is>
      </c>
      <c r="L551" t="inlineStr"/>
      <c r="M551" t="inlineStr"/>
      <c r="N551" t="inlineStr"/>
      <c r="O551" t="inlineStr"/>
      <c r="P551" t="inlineStr">
        <is>
          <t>pending</t>
        </is>
      </c>
      <c r="Q551" t="inlineStr"/>
      <c r="R551" t="inlineStr"/>
      <c r="S551" t="inlineStr"/>
      <c r="T551" t="inlineStr"/>
      <c r="U551" t="inlineStr"/>
      <c r="V551">
        <f>IF(OR(L551="",S551=""),"",IF(VALUE(L551)=VALUE(S551),"Y","N"))</f>
        <v/>
      </c>
      <c r="W551">
        <f>IF(V551="Y",S551,"")</f>
        <v/>
      </c>
      <c r="X551" t="inlineStr">
        <is>
          <t>unverified: map has 25 mph (guessed from road type); is it 25 (carts OK) or 30+?</t>
        </is>
      </c>
      <c r="Y551" t="inlineStr"/>
      <c r="Z551" t="n">
        <v>938</v>
      </c>
      <c r="AA551" t="inlineStr">
        <is>
          <t>sd</t>
        </is>
      </c>
      <c r="AB551" t="inlineStr">
        <is>
          <t>sd|33.19796,-117.35948</t>
        </is>
      </c>
    </row>
    <row r="552">
      <c r="A552" t="inlineStr">
        <is>
          <t>SD-B2-551</t>
        </is>
      </c>
      <c r="B552" t="inlineStr">
        <is>
          <t>San Diego area</t>
        </is>
      </c>
      <c r="C552" t="inlineStr">
        <is>
          <t>Raytheon Road</t>
        </is>
      </c>
      <c r="D552" t="inlineStr">
        <is>
          <t>(see map link)</t>
        </is>
      </c>
      <c r="E552" t="inlineStr">
        <is>
          <t>Ruffner Street</t>
        </is>
      </c>
      <c r="F552" t="inlineStr">
        <is>
          <t>1525742362</t>
        </is>
      </c>
      <c r="G552" t="n">
        <v>25</v>
      </c>
      <c r="H552" t="inlineStr">
        <is>
          <t>inferred</t>
        </is>
      </c>
      <c r="I552" t="inlineStr">
        <is>
          <t>cart+LSV</t>
        </is>
      </c>
      <c r="J552" t="inlineStr">
        <is>
          <t>https://www.google.com/maps/@?api=1&amp;map_action=pano&amp;viewpoint=32.830845,-117.154895&amp;heading=90</t>
        </is>
      </c>
      <c r="K552" t="inlineStr">
        <is>
          <t>https://www.google.com/maps/search/?api=1&amp;query=32.830845,-117.154895</t>
        </is>
      </c>
      <c r="L552" t="inlineStr"/>
      <c r="M552" t="inlineStr"/>
      <c r="N552" t="inlineStr"/>
      <c r="O552" t="inlineStr"/>
      <c r="P552" t="inlineStr">
        <is>
          <t>pending</t>
        </is>
      </c>
      <c r="Q552" t="inlineStr"/>
      <c r="R552" t="inlineStr"/>
      <c r="S552" t="inlineStr"/>
      <c r="T552" t="inlineStr"/>
      <c r="U552" t="inlineStr"/>
      <c r="V552">
        <f>IF(OR(L552="",S552=""),"",IF(VALUE(L552)=VALUE(S552),"Y","N"))</f>
        <v/>
      </c>
      <c r="W552">
        <f>IF(V552="Y",S552,"")</f>
        <v/>
      </c>
      <c r="X552" t="inlineStr">
        <is>
          <t>unverified: map has 25 mph (guessed from road type); is it 25 (carts OK) or 30+?</t>
        </is>
      </c>
      <c r="Y552" t="inlineStr"/>
      <c r="Z552" t="n">
        <v>937</v>
      </c>
      <c r="AA552" t="inlineStr">
        <is>
          <t>sd</t>
        </is>
      </c>
      <c r="AB552" t="inlineStr">
        <is>
          <t>sd|32.83084,-117.15490</t>
        </is>
      </c>
    </row>
    <row r="553">
      <c r="A553" t="inlineStr">
        <is>
          <t>SD-B2-552</t>
        </is>
      </c>
      <c r="B553" t="inlineStr">
        <is>
          <t>San Diego area</t>
        </is>
      </c>
      <c r="C553" t="inlineStr">
        <is>
          <t>9th Street</t>
        </is>
      </c>
      <c r="D553" t="inlineStr">
        <is>
          <t>Downing Street</t>
        </is>
      </c>
      <c r="E553" t="inlineStr">
        <is>
          <t>Imperial Beach Boulevard</t>
        </is>
      </c>
      <c r="F553" t="inlineStr">
        <is>
          <t>153343732</t>
        </is>
      </c>
      <c r="G553" t="n">
        <v>25</v>
      </c>
      <c r="H553" t="inlineStr">
        <is>
          <t>inferred</t>
        </is>
      </c>
      <c r="I553" t="inlineStr">
        <is>
          <t>cart+LSV</t>
        </is>
      </c>
      <c r="J553" t="inlineStr">
        <is>
          <t>https://www.google.com/maps/@?api=1&amp;map_action=pano&amp;viewpoint=32.574240,-117.114410&amp;heading=181</t>
        </is>
      </c>
      <c r="K553" t="inlineStr">
        <is>
          <t>https://www.google.com/maps/search/?api=1&amp;query=32.574240,-117.114410</t>
        </is>
      </c>
      <c r="L553" t="inlineStr"/>
      <c r="M553" t="inlineStr"/>
      <c r="N553" t="inlineStr"/>
      <c r="O553" t="inlineStr"/>
      <c r="P553" t="inlineStr">
        <is>
          <t>pending</t>
        </is>
      </c>
      <c r="Q553" t="inlineStr"/>
      <c r="R553" t="inlineStr"/>
      <c r="S553" t="inlineStr"/>
      <c r="T553" t="inlineStr"/>
      <c r="U553" t="inlineStr"/>
      <c r="V553">
        <f>IF(OR(L553="",S553=""),"",IF(VALUE(L553)=VALUE(S553),"Y","N"))</f>
        <v/>
      </c>
      <c r="W553">
        <f>IF(V553="Y",S553,"")</f>
        <v/>
      </c>
      <c r="X553" t="inlineStr">
        <is>
          <t>unverified: map has 25 mph (guessed from road type); is it 25 (carts OK) or 30+?</t>
        </is>
      </c>
      <c r="Y553" t="inlineStr"/>
      <c r="Z553" t="n">
        <v>936</v>
      </c>
      <c r="AA553" t="inlineStr">
        <is>
          <t>sd</t>
        </is>
      </c>
      <c r="AB553" t="inlineStr">
        <is>
          <t>sd|32.57424,-117.11441</t>
        </is>
      </c>
    </row>
    <row r="554">
      <c r="A554" t="inlineStr">
        <is>
          <t>SD-B2-553</t>
        </is>
      </c>
      <c r="B554" t="inlineStr">
        <is>
          <t>San Diego area</t>
        </is>
      </c>
      <c r="C554" t="inlineStr">
        <is>
          <t>Clairemont Mesa Boulevard</t>
        </is>
      </c>
      <c r="D554" t="inlineStr">
        <is>
          <t>(see map link)</t>
        </is>
      </c>
      <c r="E554" t="inlineStr">
        <is>
          <t>Industrial Park Driveway</t>
        </is>
      </c>
      <c r="F554" t="inlineStr">
        <is>
          <t>436324567</t>
        </is>
      </c>
      <c r="G554" t="n">
        <v>35</v>
      </c>
      <c r="H554" t="inlineStr">
        <is>
          <t>tag</t>
        </is>
      </c>
      <c r="I554" t="inlineStr">
        <is>
          <t>LSV</t>
        </is>
      </c>
      <c r="J554" t="inlineStr">
        <is>
          <t>https://www.google.com/maps/@?api=1&amp;map_action=pano&amp;viewpoint=32.832020,-117.140100&amp;heading=109</t>
        </is>
      </c>
      <c r="K554" t="inlineStr">
        <is>
          <t>https://www.google.com/maps/search/?api=1&amp;query=32.832020,-117.140100</t>
        </is>
      </c>
      <c r="L554" t="inlineStr"/>
      <c r="M554" t="inlineStr"/>
      <c r="N554" t="inlineStr"/>
      <c r="O554" t="inlineStr"/>
      <c r="P554" t="inlineStr">
        <is>
          <t>pending</t>
        </is>
      </c>
      <c r="Q554" t="inlineStr"/>
      <c r="R554" t="inlineStr"/>
      <c r="S554" t="inlineStr"/>
      <c r="T554" t="inlineStr"/>
      <c r="U554" t="inlineStr"/>
      <c r="V554">
        <f>IF(OR(L554="",S554=""),"",IF(VALUE(L554)=VALUE(S554),"Y","N"))</f>
        <v/>
      </c>
      <c r="W554">
        <f>IF(V554="Y",S554,"")</f>
        <v/>
      </c>
      <c r="X554" t="inlineStr">
        <is>
          <t>unverified: map has 35 mph (OSM tag only); is it 35 (LSV OK) or 40+?</t>
        </is>
      </c>
      <c r="Y554" t="inlineStr"/>
      <c r="Z554" t="n">
        <v>811</v>
      </c>
      <c r="AA554" t="inlineStr">
        <is>
          <t>sd</t>
        </is>
      </c>
      <c r="AB554" t="inlineStr">
        <is>
          <t>sd|32.83202,-117.14010</t>
        </is>
      </c>
    </row>
    <row r="555">
      <c r="A555" t="inlineStr">
        <is>
          <t>SD-B2-554</t>
        </is>
      </c>
      <c r="B555" t="inlineStr">
        <is>
          <t>San Diego area</t>
        </is>
      </c>
      <c r="C555" t="inlineStr">
        <is>
          <t>Florida Street</t>
        </is>
      </c>
      <c r="D555" t="inlineStr">
        <is>
          <t>El Cajon Boulevard</t>
        </is>
      </c>
      <c r="E555" t="inlineStr">
        <is>
          <t>Howard Avenue</t>
        </is>
      </c>
      <c r="F555" t="inlineStr">
        <is>
          <t>1091079006</t>
        </is>
      </c>
      <c r="G555" t="n">
        <v>25</v>
      </c>
      <c r="H555" t="inlineStr">
        <is>
          <t>inferred</t>
        </is>
      </c>
      <c r="I555" t="inlineStr">
        <is>
          <t>cart+LSV</t>
        </is>
      </c>
      <c r="J555" t="inlineStr">
        <is>
          <t>https://www.google.com/maps/@?api=1&amp;map_action=pano&amp;viewpoint=32.760030,-117.143785&amp;heading=360</t>
        </is>
      </c>
      <c r="K555" t="inlineStr">
        <is>
          <t>https://www.google.com/maps/search/?api=1&amp;query=32.760030,-117.143785</t>
        </is>
      </c>
      <c r="L555" t="inlineStr"/>
      <c r="M555" t="inlineStr"/>
      <c r="N555" t="inlineStr"/>
      <c r="O555" t="inlineStr"/>
      <c r="P555" t="inlineStr">
        <is>
          <t>pending</t>
        </is>
      </c>
      <c r="Q555" t="inlineStr"/>
      <c r="R555" t="inlineStr"/>
      <c r="S555" t="inlineStr"/>
      <c r="T555" t="inlineStr"/>
      <c r="U555" t="inlineStr"/>
      <c r="V555">
        <f>IF(OR(L555="",S555=""),"",IF(VALUE(L555)=VALUE(S555),"Y","N"))</f>
        <v/>
      </c>
      <c r="W555">
        <f>IF(V555="Y",S555,"")</f>
        <v/>
      </c>
      <c r="X555" t="inlineStr">
        <is>
          <t>unverified: map has 25 mph (guessed from road type); is it 25 (carts OK) or 30+?</t>
        </is>
      </c>
      <c r="Y555" t="inlineStr"/>
      <c r="Z555" t="n">
        <v>933</v>
      </c>
      <c r="AA555" t="inlineStr">
        <is>
          <t>sd</t>
        </is>
      </c>
      <c r="AB555" t="inlineStr">
        <is>
          <t>sd|32.76003,-117.14379</t>
        </is>
      </c>
    </row>
    <row r="556">
      <c r="A556" t="inlineStr">
        <is>
          <t>SD-B2-555</t>
        </is>
      </c>
      <c r="B556" t="inlineStr">
        <is>
          <t>San Diego area</t>
        </is>
      </c>
      <c r="C556" t="inlineStr">
        <is>
          <t>Reagan Road</t>
        </is>
      </c>
      <c r="D556" t="inlineStr">
        <is>
          <t>New Salem Street</t>
        </is>
      </c>
      <c r="E556" t="inlineStr">
        <is>
          <t>Valdosta Avenue</t>
        </is>
      </c>
      <c r="F556" t="inlineStr">
        <is>
          <t>1167241618</t>
        </is>
      </c>
      <c r="G556" t="n">
        <v>25</v>
      </c>
      <c r="H556" t="inlineStr">
        <is>
          <t>inferred</t>
        </is>
      </c>
      <c r="I556" t="inlineStr">
        <is>
          <t>cart+LSV</t>
        </is>
      </c>
      <c r="J556" t="inlineStr">
        <is>
          <t>https://www.google.com/maps/@?api=1&amp;map_action=pano&amp;viewpoint=32.916325,-117.149440&amp;heading=179</t>
        </is>
      </c>
      <c r="K556" t="inlineStr">
        <is>
          <t>https://www.google.com/maps/search/?api=1&amp;query=32.916325,-117.149440</t>
        </is>
      </c>
      <c r="L556" t="inlineStr"/>
      <c r="M556" t="inlineStr"/>
      <c r="N556" t="inlineStr"/>
      <c r="O556" t="inlineStr"/>
      <c r="P556" t="inlineStr">
        <is>
          <t>pending</t>
        </is>
      </c>
      <c r="Q556" t="inlineStr"/>
      <c r="R556" t="inlineStr"/>
      <c r="S556" t="inlineStr"/>
      <c r="T556" t="inlineStr"/>
      <c r="U556" t="inlineStr"/>
      <c r="V556">
        <f>IF(OR(L556="",S556=""),"",IF(VALUE(L556)=VALUE(S556),"Y","N"))</f>
        <v/>
      </c>
      <c r="W556">
        <f>IF(V556="Y",S556,"")</f>
        <v/>
      </c>
      <c r="X556" t="inlineStr">
        <is>
          <t>unverified: map has 25 mph (guessed from road type); is it 25 (carts OK) or 30+?</t>
        </is>
      </c>
      <c r="Y556" t="inlineStr"/>
      <c r="Z556" t="n">
        <v>932</v>
      </c>
      <c r="AA556" t="inlineStr">
        <is>
          <t>sd</t>
        </is>
      </c>
      <c r="AB556" t="inlineStr">
        <is>
          <t>sd|32.91633,-117.14944</t>
        </is>
      </c>
    </row>
    <row r="557">
      <c r="A557" t="inlineStr">
        <is>
          <t>SD-B2-556</t>
        </is>
      </c>
      <c r="B557" t="inlineStr">
        <is>
          <t>San Diego area</t>
        </is>
      </c>
      <c r="C557" t="inlineStr">
        <is>
          <t>15th Street</t>
        </is>
      </c>
      <c r="D557" t="inlineStr">
        <is>
          <t>K Street</t>
        </is>
      </c>
      <c r="E557" t="inlineStr">
        <is>
          <t>East C Street</t>
        </is>
      </c>
      <c r="F557" t="inlineStr">
        <is>
          <t>1019973075</t>
        </is>
      </c>
      <c r="G557" t="n">
        <v>25</v>
      </c>
      <c r="H557" t="inlineStr">
        <is>
          <t>inferred</t>
        </is>
      </c>
      <c r="I557" t="inlineStr">
        <is>
          <t>cart+LSV</t>
        </is>
      </c>
      <c r="J557" t="inlineStr">
        <is>
          <t>https://www.google.com/maps/@?api=1&amp;map_action=pano&amp;viewpoint=32.716275,-117.150405&amp;heading=0</t>
        </is>
      </c>
      <c r="K557" t="inlineStr">
        <is>
          <t>https://www.google.com/maps/search/?api=1&amp;query=32.716275,-117.150405</t>
        </is>
      </c>
      <c r="L557" t="inlineStr"/>
      <c r="M557" t="inlineStr"/>
      <c r="N557" t="inlineStr"/>
      <c r="O557" t="inlineStr"/>
      <c r="P557" t="inlineStr">
        <is>
          <t>pending</t>
        </is>
      </c>
      <c r="Q557" t="inlineStr"/>
      <c r="R557" t="inlineStr"/>
      <c r="S557" t="inlineStr"/>
      <c r="T557" t="inlineStr"/>
      <c r="U557" t="inlineStr"/>
      <c r="V557">
        <f>IF(OR(L557="",S557=""),"",IF(VALUE(L557)=VALUE(S557),"Y","N"))</f>
        <v/>
      </c>
      <c r="W557">
        <f>IF(V557="Y",S557,"")</f>
        <v/>
      </c>
      <c r="X557" t="inlineStr">
        <is>
          <t>unverified: map has 25 mph (guessed from road type); is it 25 (carts OK) or 30+?</t>
        </is>
      </c>
      <c r="Y557" t="inlineStr"/>
      <c r="Z557" t="n">
        <v>932</v>
      </c>
      <c r="AA557" t="inlineStr">
        <is>
          <t>sd</t>
        </is>
      </c>
      <c r="AB557" t="inlineStr">
        <is>
          <t>sd|32.71627,-117.15041</t>
        </is>
      </c>
    </row>
    <row r="558">
      <c r="A558" t="inlineStr">
        <is>
          <t>SD-B2-557</t>
        </is>
      </c>
      <c r="B558" t="inlineStr">
        <is>
          <t>San Diego area</t>
        </is>
      </c>
      <c r="C558" t="inlineStr">
        <is>
          <t>13th Street</t>
        </is>
      </c>
      <c r="D558" t="inlineStr">
        <is>
          <t>East F Street</t>
        </is>
      </c>
      <c r="E558" t="inlineStr">
        <is>
          <t>East Broadway</t>
        </is>
      </c>
      <c r="F558" t="inlineStr">
        <is>
          <t>699172155</t>
        </is>
      </c>
      <c r="G558" t="n">
        <v>25</v>
      </c>
      <c r="H558" t="inlineStr">
        <is>
          <t>inferred</t>
        </is>
      </c>
      <c r="I558" t="inlineStr">
        <is>
          <t>cart+LSV</t>
        </is>
      </c>
      <c r="J558" t="inlineStr">
        <is>
          <t>https://www.google.com/maps/@?api=1&amp;map_action=pano&amp;viewpoint=32.708900,-117.152830&amp;heading=180</t>
        </is>
      </c>
      <c r="K558" t="inlineStr">
        <is>
          <t>https://www.google.com/maps/search/?api=1&amp;query=32.708900,-117.152830</t>
        </is>
      </c>
      <c r="L558" t="inlineStr"/>
      <c r="M558" t="inlineStr"/>
      <c r="N558" t="inlineStr"/>
      <c r="O558" t="inlineStr"/>
      <c r="P558" t="inlineStr">
        <is>
          <t>pending</t>
        </is>
      </c>
      <c r="Q558" t="inlineStr"/>
      <c r="R558" t="inlineStr"/>
      <c r="S558" t="inlineStr"/>
      <c r="T558" t="inlineStr"/>
      <c r="U558" t="inlineStr"/>
      <c r="V558">
        <f>IF(OR(L558="",S558=""),"",IF(VALUE(L558)=VALUE(S558),"Y","N"))</f>
        <v/>
      </c>
      <c r="W558">
        <f>IF(V558="Y",S558,"")</f>
        <v/>
      </c>
      <c r="X558" t="inlineStr">
        <is>
          <t>unverified: map has 25 mph (guessed from road type); is it 25 (carts OK) or 30+?</t>
        </is>
      </c>
      <c r="Y558" t="inlineStr"/>
      <c r="Z558" t="n">
        <v>932</v>
      </c>
      <c r="AA558" t="inlineStr">
        <is>
          <t>sd</t>
        </is>
      </c>
      <c r="AB558" t="inlineStr">
        <is>
          <t>sd|32.70890,-117.15283</t>
        </is>
      </c>
    </row>
    <row r="559">
      <c r="A559" t="inlineStr">
        <is>
          <t>SD-B2-558</t>
        </is>
      </c>
      <c r="B559" t="inlineStr">
        <is>
          <t>San Diego area</t>
        </is>
      </c>
      <c r="C559" t="inlineStr">
        <is>
          <t>Utah Street</t>
        </is>
      </c>
      <c r="D559" t="inlineStr">
        <is>
          <t>(see map link)</t>
        </is>
      </c>
      <c r="E559" t="inlineStr">
        <is>
          <t>Copley Avenue</t>
        </is>
      </c>
      <c r="F559" t="inlineStr">
        <is>
          <t>103914579</t>
        </is>
      </c>
      <c r="G559" t="n">
        <v>25</v>
      </c>
      <c r="H559" t="inlineStr">
        <is>
          <t>inferred</t>
        </is>
      </c>
      <c r="I559" t="inlineStr">
        <is>
          <t>cart+LSV</t>
        </is>
      </c>
      <c r="J559" t="inlineStr">
        <is>
          <t>https://www.google.com/maps/@?api=1&amp;map_action=pano&amp;viewpoint=32.760055,-117.132675&amp;heading=359</t>
        </is>
      </c>
      <c r="K559" t="inlineStr">
        <is>
          <t>https://www.google.com/maps/search/?api=1&amp;query=32.760055,-117.132675</t>
        </is>
      </c>
      <c r="L559" t="inlineStr"/>
      <c r="M559" t="inlineStr"/>
      <c r="N559" t="inlineStr"/>
      <c r="O559" t="inlineStr"/>
      <c r="P559" t="inlineStr">
        <is>
          <t>pending</t>
        </is>
      </c>
      <c r="Q559" t="inlineStr"/>
      <c r="R559" t="inlineStr"/>
      <c r="S559" t="inlineStr"/>
      <c r="T559" t="inlineStr"/>
      <c r="U559" t="inlineStr"/>
      <c r="V559">
        <f>IF(OR(L559="",S559=""),"",IF(VALUE(L559)=VALUE(S559),"Y","N"))</f>
        <v/>
      </c>
      <c r="W559">
        <f>IF(V559="Y",S559,"")</f>
        <v/>
      </c>
      <c r="X559" t="inlineStr">
        <is>
          <t>unverified: map has 25 mph (guessed from road type); is it 25 (carts OK) or 30+?</t>
        </is>
      </c>
      <c r="Y559" t="inlineStr"/>
      <c r="Z559" t="n">
        <v>932</v>
      </c>
      <c r="AA559" t="inlineStr">
        <is>
          <t>sd</t>
        </is>
      </c>
      <c r="AB559" t="inlineStr">
        <is>
          <t>sd|32.76006,-117.13268</t>
        </is>
      </c>
    </row>
    <row r="560">
      <c r="A560" t="inlineStr">
        <is>
          <t>SD-B2-559</t>
        </is>
      </c>
      <c r="B560" t="inlineStr">
        <is>
          <t>San Diego area</t>
        </is>
      </c>
      <c r="C560" t="inlineStr">
        <is>
          <t>Aero Drive</t>
        </is>
      </c>
      <c r="D560" t="inlineStr">
        <is>
          <t>(see map link)</t>
        </is>
      </c>
      <c r="E560" t="inlineStr">
        <is>
          <t>John J Montgomery Drive</t>
        </is>
      </c>
      <c r="F560" t="inlineStr">
        <is>
          <t>158308427</t>
        </is>
      </c>
      <c r="G560" t="n">
        <v>45</v>
      </c>
      <c r="H560" t="inlineStr">
        <is>
          <t>tag</t>
        </is>
      </c>
      <c r="I560" t="inlineStr">
        <is>
          <t>no</t>
        </is>
      </c>
      <c r="J560" t="inlineStr">
        <is>
          <t>https://www.google.com/maps/@?api=1&amp;map_action=pano&amp;viewpoint=32.809830,-117.134165&amp;heading=89</t>
        </is>
      </c>
      <c r="K560" t="inlineStr">
        <is>
          <t>https://www.google.com/maps/search/?api=1&amp;query=32.809830,-117.134165</t>
        </is>
      </c>
      <c r="L560" t="inlineStr"/>
      <c r="M560" t="inlineStr"/>
      <c r="N560" t="inlineStr"/>
      <c r="O560" t="inlineStr"/>
      <c r="P560" t="inlineStr">
        <is>
          <t>pending</t>
        </is>
      </c>
      <c r="Q560" t="inlineStr"/>
      <c r="R560" t="inlineStr"/>
      <c r="S560" t="inlineStr"/>
      <c r="T560" t="inlineStr"/>
      <c r="U560" t="inlineStr"/>
      <c r="V560">
        <f>IF(OR(L560="",S560=""),"",IF(VALUE(L560)=VALUE(S560),"Y","N"))</f>
        <v/>
      </c>
      <c r="W560">
        <f>IF(V560="Y",S560,"")</f>
        <v/>
      </c>
      <c r="X560" t="inlineStr">
        <is>
          <t>unverified: map has 45 mph (OSM tag only); main road: what is posted? 35 or lower opens it to LSVs</t>
        </is>
      </c>
      <c r="Y560" t="inlineStr"/>
      <c r="Z560" t="n">
        <v>807</v>
      </c>
      <c r="AA560" t="inlineStr">
        <is>
          <t>sd</t>
        </is>
      </c>
      <c r="AB560" t="inlineStr">
        <is>
          <t>sd|32.80983,-117.13416</t>
        </is>
      </c>
    </row>
    <row r="561">
      <c r="A561" t="inlineStr">
        <is>
          <t>SD-B2-560</t>
        </is>
      </c>
      <c r="B561" t="inlineStr">
        <is>
          <t>San Diego area</t>
        </is>
      </c>
      <c r="C561" t="inlineStr">
        <is>
          <t>Ingraham Street</t>
        </is>
      </c>
      <c r="D561" t="inlineStr">
        <is>
          <t>Ski Beach Way</t>
        </is>
      </c>
      <c r="E561" t="inlineStr">
        <is>
          <t>Perez Cove Way</t>
        </is>
      </c>
      <c r="F561" t="inlineStr"/>
      <c r="G561" t="n">
        <v>45</v>
      </c>
      <c r="H561" t="inlineStr">
        <is>
          <t>tag</t>
        </is>
      </c>
      <c r="I561" t="inlineStr">
        <is>
          <t>no</t>
        </is>
      </c>
      <c r="J561" t="inlineStr">
        <is>
          <t>https://www.google.com/maps/@?api=1&amp;map_action=pano&amp;viewpoint=32.770665,-117.234130&amp;heading=350</t>
        </is>
      </c>
      <c r="K561" t="inlineStr">
        <is>
          <t>https://www.google.com/maps/search/?api=1&amp;query=32.770665,-117.234130</t>
        </is>
      </c>
      <c r="L561" t="inlineStr"/>
      <c r="M561" t="inlineStr"/>
      <c r="N561" t="inlineStr"/>
      <c r="O561" t="inlineStr"/>
      <c r="P561" t="inlineStr">
        <is>
          <t>pending</t>
        </is>
      </c>
      <c r="Q561" t="inlineStr"/>
      <c r="R561" t="inlineStr"/>
      <c r="S561" t="inlineStr"/>
      <c r="T561" t="inlineStr"/>
      <c r="U561" t="inlineStr"/>
      <c r="V561">
        <f>IF(OR(L561="",S561=""),"",IF(VALUE(L561)=VALUE(S561),"Y","N"))</f>
        <v/>
      </c>
      <c r="W561">
        <f>IF(V561="Y",S561,"")</f>
        <v/>
      </c>
      <c r="X561" t="inlineStr">
        <is>
          <t>unverified: map has 45 mph (OSM tag only); main road: what is posted? 35 or lower opens it to LSVs</t>
        </is>
      </c>
      <c r="Y561" t="inlineStr"/>
      <c r="Z561" t="n">
        <v>807</v>
      </c>
      <c r="AA561" t="inlineStr">
        <is>
          <t>sd</t>
        </is>
      </c>
      <c r="AB561" t="inlineStr">
        <is>
          <t>sd|32.77067,-117.23413</t>
        </is>
      </c>
    </row>
    <row r="562">
      <c r="A562" t="inlineStr">
        <is>
          <t>SD-B2-561</t>
        </is>
      </c>
      <c r="B562" t="inlineStr">
        <is>
          <t>San Diego area</t>
        </is>
      </c>
      <c r="C562" t="inlineStr">
        <is>
          <t>Ingraham Street</t>
        </is>
      </c>
      <c r="D562" t="inlineStr">
        <is>
          <t>Garnet Avenue</t>
        </is>
      </c>
      <c r="E562" t="inlineStr">
        <is>
          <t>Beryl Street</t>
        </is>
      </c>
      <c r="F562" t="inlineStr">
        <is>
          <t>436321768</t>
        </is>
      </c>
      <c r="G562" t="inlineStr"/>
      <c r="H562" t="inlineStr">
        <is>
          <t>inferred</t>
        </is>
      </c>
      <c r="I562" t="inlineStr">
        <is>
          <t>no</t>
        </is>
      </c>
      <c r="J562" t="inlineStr">
        <is>
          <t>https://www.google.com/maps/@?api=1&amp;map_action=pano&amp;viewpoint=32.801430,-117.241370&amp;heading=344</t>
        </is>
      </c>
      <c r="K562" t="inlineStr">
        <is>
          <t>https://www.google.com/maps/search/?api=1&amp;query=32.801430,-117.241370</t>
        </is>
      </c>
      <c r="L562" t="inlineStr"/>
      <c r="M562" t="inlineStr"/>
      <c r="N562" t="inlineStr"/>
      <c r="O562" t="inlineStr"/>
      <c r="P562" t="inlineStr">
        <is>
          <t>pending</t>
        </is>
      </c>
      <c r="Q562" t="inlineStr"/>
      <c r="R562" t="inlineStr"/>
      <c r="S562" t="inlineStr"/>
      <c r="T562" t="inlineStr"/>
      <c r="U562" t="inlineStr"/>
      <c r="V562">
        <f>IF(OR(L562="",S562=""),"",IF(VALUE(L562)=VALUE(S562),"Y","N"))</f>
        <v/>
      </c>
      <c r="W562">
        <f>IF(V562="Y",S562,"")</f>
        <v/>
      </c>
      <c r="X562" t="inlineStr">
        <is>
          <t>unverified: map has no limit (guessed from road type); main road: what is posted? 35 or lower opens it to LSVs</t>
        </is>
      </c>
      <c r="Y562" t="inlineStr"/>
      <c r="Z562" t="n">
        <v>745</v>
      </c>
      <c r="AA562" t="inlineStr">
        <is>
          <t>sd</t>
        </is>
      </c>
      <c r="AB562" t="inlineStr">
        <is>
          <t>sd|32.80143,-117.24137</t>
        </is>
      </c>
    </row>
    <row r="563">
      <c r="A563" t="inlineStr">
        <is>
          <t>SD-B2-562</t>
        </is>
      </c>
      <c r="B563" t="inlineStr">
        <is>
          <t>San Diego area</t>
        </is>
      </c>
      <c r="C563" t="inlineStr">
        <is>
          <t>Gascony Road</t>
        </is>
      </c>
      <c r="D563" t="inlineStr">
        <is>
          <t>Capri Road</t>
        </is>
      </c>
      <c r="E563" t="inlineStr">
        <is>
          <t>Sky Loft Lane</t>
        </is>
      </c>
      <c r="F563" t="inlineStr">
        <is>
          <t>5961061</t>
        </is>
      </c>
      <c r="G563" t="n">
        <v>25</v>
      </c>
      <c r="H563" t="inlineStr">
        <is>
          <t>inferred</t>
        </is>
      </c>
      <c r="I563" t="inlineStr">
        <is>
          <t>cart+LSV</t>
        </is>
      </c>
      <c r="J563" t="inlineStr">
        <is>
          <t>https://www.google.com/maps/@?api=1&amp;map_action=pano&amp;viewpoint=33.080380,-117.288640&amp;heading=353</t>
        </is>
      </c>
      <c r="K563" t="inlineStr">
        <is>
          <t>https://www.google.com/maps/search/?api=1&amp;query=33.080380,-117.288640</t>
        </is>
      </c>
      <c r="L563" t="inlineStr"/>
      <c r="M563" t="inlineStr"/>
      <c r="N563" t="inlineStr"/>
      <c r="O563" t="inlineStr"/>
      <c r="P563" t="inlineStr">
        <is>
          <t>pending</t>
        </is>
      </c>
      <c r="Q563" t="inlineStr"/>
      <c r="R563" t="inlineStr"/>
      <c r="S563" t="inlineStr"/>
      <c r="T563" t="inlineStr"/>
      <c r="U563" t="inlineStr"/>
      <c r="V563">
        <f>IF(OR(L563="",S563=""),"",IF(VALUE(L563)=VALUE(S563),"Y","N"))</f>
        <v/>
      </c>
      <c r="W563">
        <f>IF(V563="Y",S563,"")</f>
        <v/>
      </c>
      <c r="X563" t="inlineStr">
        <is>
          <t>unverified: map has 25 mph (guessed from road type); is it 25 (carts OK) or 30+?</t>
        </is>
      </c>
      <c r="Y563" t="inlineStr"/>
      <c r="Z563" t="n">
        <v>931</v>
      </c>
      <c r="AA563" t="inlineStr">
        <is>
          <t>sd</t>
        </is>
      </c>
      <c r="AB563" t="inlineStr">
        <is>
          <t>sd|33.08038,-117.28864</t>
        </is>
      </c>
    </row>
    <row r="564">
      <c r="A564" t="inlineStr">
        <is>
          <t>SD-B2-563</t>
        </is>
      </c>
      <c r="B564" t="inlineStr">
        <is>
          <t>San Diego area</t>
        </is>
      </c>
      <c r="C564" t="inlineStr">
        <is>
          <t>Avenida Soledad</t>
        </is>
      </c>
      <c r="D564" t="inlineStr">
        <is>
          <t>Sitio Montilla</t>
        </is>
      </c>
      <c r="E564" t="inlineStr">
        <is>
          <t>Sitio Corazon</t>
        </is>
      </c>
      <c r="F564" t="inlineStr">
        <is>
          <t>136702090</t>
        </is>
      </c>
      <c r="G564" t="n">
        <v>25</v>
      </c>
      <c r="H564" t="inlineStr">
        <is>
          <t>inferred</t>
        </is>
      </c>
      <c r="I564" t="inlineStr">
        <is>
          <t>cart+LSV</t>
        </is>
      </c>
      <c r="J564" t="inlineStr">
        <is>
          <t>https://www.google.com/maps/@?api=1&amp;map_action=pano&amp;viewpoint=33.094630,-117.221760&amp;heading=327</t>
        </is>
      </c>
      <c r="K564" t="inlineStr">
        <is>
          <t>https://www.google.com/maps/search/?api=1&amp;query=33.094630,-117.221760</t>
        </is>
      </c>
      <c r="L564" t="inlineStr"/>
      <c r="M564" t="inlineStr"/>
      <c r="N564" t="inlineStr"/>
      <c r="O564" t="inlineStr"/>
      <c r="P564" t="inlineStr">
        <is>
          <t>pending</t>
        </is>
      </c>
      <c r="Q564" t="inlineStr"/>
      <c r="R564" t="inlineStr"/>
      <c r="S564" t="inlineStr"/>
      <c r="T564" t="inlineStr"/>
      <c r="U564" t="inlineStr"/>
      <c r="V564">
        <f>IF(OR(L564="",S564=""),"",IF(VALUE(L564)=VALUE(S564),"Y","N"))</f>
        <v/>
      </c>
      <c r="W564">
        <f>IF(V564="Y",S564,"")</f>
        <v/>
      </c>
      <c r="X564" t="inlineStr">
        <is>
          <t>unverified: map has 25 mph (guessed from road type); is it 25 (carts OK) or 30+?</t>
        </is>
      </c>
      <c r="Y564" t="inlineStr"/>
      <c r="Z564" t="n">
        <v>930</v>
      </c>
      <c r="AA564" t="inlineStr">
        <is>
          <t>sd</t>
        </is>
      </c>
      <c r="AB564" t="inlineStr">
        <is>
          <t>sd|33.09463,-117.22176</t>
        </is>
      </c>
    </row>
    <row r="565">
      <c r="A565" t="inlineStr">
        <is>
          <t>SD-B2-564</t>
        </is>
      </c>
      <c r="B565" t="inlineStr">
        <is>
          <t>San Diego area</t>
        </is>
      </c>
      <c r="C565" t="inlineStr">
        <is>
          <t>Linbrook Drive</t>
        </is>
      </c>
      <c r="D565" t="inlineStr">
        <is>
          <t>Ulric Street</t>
        </is>
      </c>
      <c r="E565" t="inlineStr">
        <is>
          <t>East Westinghouse Street</t>
        </is>
      </c>
      <c r="F565" t="inlineStr">
        <is>
          <t>6056131</t>
        </is>
      </c>
      <c r="G565" t="n">
        <v>25</v>
      </c>
      <c r="H565" t="inlineStr">
        <is>
          <t>inferred</t>
        </is>
      </c>
      <c r="I565" t="inlineStr">
        <is>
          <t>cart+LSV</t>
        </is>
      </c>
      <c r="J565" t="inlineStr">
        <is>
          <t>https://www.google.com/maps/@?api=1&amp;map_action=pano&amp;viewpoint=32.773910,-117.164890&amp;heading=69</t>
        </is>
      </c>
      <c r="K565" t="inlineStr">
        <is>
          <t>https://www.google.com/maps/search/?api=1&amp;query=32.773910,-117.164890</t>
        </is>
      </c>
      <c r="L565" t="inlineStr"/>
      <c r="M565" t="inlineStr"/>
      <c r="N565" t="inlineStr"/>
      <c r="O565" t="inlineStr"/>
      <c r="P565" t="inlineStr">
        <is>
          <t>pending</t>
        </is>
      </c>
      <c r="Q565" t="inlineStr"/>
      <c r="R565" t="inlineStr"/>
      <c r="S565" t="inlineStr"/>
      <c r="T565" t="inlineStr"/>
      <c r="U565" t="inlineStr"/>
      <c r="V565">
        <f>IF(OR(L565="",S565=""),"",IF(VALUE(L565)=VALUE(S565),"Y","N"))</f>
        <v/>
      </c>
      <c r="W565">
        <f>IF(V565="Y",S565,"")</f>
        <v/>
      </c>
      <c r="X565" t="inlineStr">
        <is>
          <t>unverified: map has 25 mph (guessed from road type); is it 25 (carts OK) or 30+?</t>
        </is>
      </c>
      <c r="Y565" t="inlineStr"/>
      <c r="Z565" t="n">
        <v>929</v>
      </c>
      <c r="AA565" t="inlineStr">
        <is>
          <t>sd</t>
        </is>
      </c>
      <c r="AB565" t="inlineStr">
        <is>
          <t>sd|32.77391,-117.16489</t>
        </is>
      </c>
    </row>
    <row r="566">
      <c r="A566" t="inlineStr">
        <is>
          <t>SD-B2-565</t>
        </is>
      </c>
      <c r="B566" t="inlineStr">
        <is>
          <t>San Diego area</t>
        </is>
      </c>
      <c r="C566" t="inlineStr">
        <is>
          <t>Catalina Boulevard</t>
        </is>
      </c>
      <c r="D566" t="inlineStr">
        <is>
          <t>(see map link)</t>
        </is>
      </c>
      <c r="E566" t="inlineStr">
        <is>
          <t>Lomaland Drive</t>
        </is>
      </c>
      <c r="F566" t="inlineStr">
        <is>
          <t>5963451</t>
        </is>
      </c>
      <c r="G566" t="n">
        <v>40</v>
      </c>
      <c r="H566" t="inlineStr">
        <is>
          <t>mapillary</t>
        </is>
      </c>
      <c r="I566" t="inlineStr">
        <is>
          <t>no</t>
        </is>
      </c>
      <c r="J566" t="inlineStr">
        <is>
          <t>https://www.google.com/maps/@?api=1&amp;map_action=pano&amp;viewpoint=32.712250,-117.248295&amp;heading=13</t>
        </is>
      </c>
      <c r="K566" t="inlineStr">
        <is>
          <t>https://www.google.com/maps/search/?api=1&amp;query=32.712250,-117.248295</t>
        </is>
      </c>
      <c r="L566" t="inlineStr"/>
      <c r="M566" t="inlineStr"/>
      <c r="N566" t="inlineStr"/>
      <c r="O566" t="inlineStr"/>
      <c r="P566" t="inlineStr">
        <is>
          <t>pending</t>
        </is>
      </c>
      <c r="Q566" t="inlineStr"/>
      <c r="R566" t="inlineStr"/>
      <c r="S566" t="inlineStr"/>
      <c r="T566" t="inlineStr">
        <is>
          <t>Mapillary: 12 posted 40 mph sign(s) detected</t>
        </is>
      </c>
      <c r="U566" t="inlineStr">
        <is>
          <t>https://www.mapillary.com/app/?lat=32.715466&amp;lng=-117.247345&amp;z=19&amp;focus=map&amp;mapFeatureId=1214022804272484</t>
        </is>
      </c>
      <c r="V566">
        <f>IF(OR(L566="",S566=""),"",IF(VALUE(L566)=VALUE(S566),"Y","N"))</f>
        <v/>
      </c>
      <c r="W566">
        <f>IF(V566="Y",S566,"")</f>
        <v/>
      </c>
      <c r="X566" t="inlineStr">
        <is>
          <t>unverified: map has 40 mph (one Mapillary sign); is it 35 (LSV OK) or 40+?</t>
        </is>
      </c>
      <c r="Y566" t="inlineStr"/>
      <c r="Z566" t="n">
        <v>1005</v>
      </c>
      <c r="AA566" t="inlineStr">
        <is>
          <t>sd</t>
        </is>
      </c>
      <c r="AB566" t="inlineStr">
        <is>
          <t>sd|32.71225,-117.24829</t>
        </is>
      </c>
    </row>
    <row r="567">
      <c r="A567" t="inlineStr">
        <is>
          <t>SD-B2-566</t>
        </is>
      </c>
      <c r="B567" t="inlineStr">
        <is>
          <t>San Diego area</t>
        </is>
      </c>
      <c r="C567" t="inlineStr">
        <is>
          <t>Tamarack Avenue</t>
        </is>
      </c>
      <c r="D567" t="inlineStr">
        <is>
          <t>(see map link)</t>
        </is>
      </c>
      <c r="E567" t="inlineStr">
        <is>
          <t>Highland Drive</t>
        </is>
      </c>
      <c r="F567" t="inlineStr">
        <is>
          <t>225875496</t>
        </is>
      </c>
      <c r="G567" t="n">
        <v>30</v>
      </c>
      <c r="H567" t="inlineStr">
        <is>
          <t>mapillary</t>
        </is>
      </c>
      <c r="I567" t="inlineStr">
        <is>
          <t>LSV</t>
        </is>
      </c>
      <c r="J567" t="inlineStr">
        <is>
          <t>https://www.google.com/maps/@?api=1&amp;map_action=pano&amp;viewpoint=33.156030,-117.328000&amp;heading=253</t>
        </is>
      </c>
      <c r="K567" t="inlineStr">
        <is>
          <t>https://www.google.com/maps/search/?api=1&amp;query=33.156030,-117.328000</t>
        </is>
      </c>
      <c r="L567" t="inlineStr"/>
      <c r="M567" t="inlineStr"/>
      <c r="N567" t="inlineStr"/>
      <c r="O567" t="inlineStr"/>
      <c r="P567" t="inlineStr">
        <is>
          <t>pending</t>
        </is>
      </c>
      <c r="Q567" t="inlineStr"/>
      <c r="R567" t="inlineStr"/>
      <c r="S567" t="inlineStr"/>
      <c r="T567" t="inlineStr">
        <is>
          <t>Mapillary: 3 posted 30 mph sign(s) detected</t>
        </is>
      </c>
      <c r="U567" t="inlineStr">
        <is>
          <t>https://www.mapillary.com/app/?lat=33.154636&amp;lng=-117.324120&amp;z=19&amp;focus=map&amp;mapFeatureId=1347680690833556</t>
        </is>
      </c>
      <c r="V567">
        <f>IF(OR(L567="",S567=""),"",IF(VALUE(L567)=VALUE(S567),"Y","N"))</f>
        <v/>
      </c>
      <c r="W567">
        <f>IF(V567="Y",S567,"")</f>
        <v/>
      </c>
      <c r="X567" t="inlineStr">
        <is>
          <t>unverified: map has 30 mph (one Mapillary sign); is it 25 (carts OK) or 30+?</t>
        </is>
      </c>
      <c r="Y567" t="inlineStr"/>
      <c r="Z567" t="n">
        <v>1204</v>
      </c>
      <c r="AA567" t="inlineStr">
        <is>
          <t>sd</t>
        </is>
      </c>
      <c r="AB567" t="inlineStr">
        <is>
          <t>sd|33.15603,-117.32800</t>
        </is>
      </c>
    </row>
    <row r="568">
      <c r="A568" t="inlineStr">
        <is>
          <t>SD-B2-567</t>
        </is>
      </c>
      <c r="B568" t="inlineStr">
        <is>
          <t>San Diego area</t>
        </is>
      </c>
      <c r="C568" t="inlineStr">
        <is>
          <t>Camino del Sur</t>
        </is>
      </c>
      <c r="D568" t="inlineStr">
        <is>
          <t>Carmel Mountain Road</t>
        </is>
      </c>
      <c r="E568" t="inlineStr">
        <is>
          <t>Merge Avenue</t>
        </is>
      </c>
      <c r="F568" t="inlineStr">
        <is>
          <t>1424970463</t>
        </is>
      </c>
      <c r="G568" t="inlineStr"/>
      <c r="H568" t="inlineStr">
        <is>
          <t>inferred</t>
        </is>
      </c>
      <c r="I568" t="inlineStr">
        <is>
          <t>no</t>
        </is>
      </c>
      <c r="J568" t="inlineStr">
        <is>
          <t>https://www.google.com/maps/@?api=1&amp;map_action=pano&amp;viewpoint=32.949530,-117.150240&amp;heading=328</t>
        </is>
      </c>
      <c r="K568" t="inlineStr">
        <is>
          <t>https://www.google.com/maps/search/?api=1&amp;query=32.949530,-117.150240</t>
        </is>
      </c>
      <c r="L568" t="inlineStr"/>
      <c r="M568" t="inlineStr"/>
      <c r="N568" t="inlineStr"/>
      <c r="O568" t="inlineStr"/>
      <c r="P568" t="inlineStr">
        <is>
          <t>pending</t>
        </is>
      </c>
      <c r="Q568" t="inlineStr"/>
      <c r="R568" t="inlineStr"/>
      <c r="S568" t="inlineStr"/>
      <c r="T568" t="inlineStr"/>
      <c r="U568" t="inlineStr"/>
      <c r="V568">
        <f>IF(OR(L568="",S568=""),"",IF(VALUE(L568)=VALUE(S568),"Y","N"))</f>
        <v/>
      </c>
      <c r="W568">
        <f>IF(V568="Y",S568,"")</f>
        <v/>
      </c>
      <c r="X568" t="inlineStr">
        <is>
          <t>unverified: map has no limit (guessed from road type); main road: what is posted? 35 or lower opens it to LSVs</t>
        </is>
      </c>
      <c r="Y568" t="inlineStr"/>
      <c r="Z568" t="n">
        <v>739</v>
      </c>
      <c r="AA568" t="inlineStr">
        <is>
          <t>sd</t>
        </is>
      </c>
      <c r="AB568" t="inlineStr">
        <is>
          <t>sd|32.94953,-117.15024</t>
        </is>
      </c>
    </row>
    <row r="569">
      <c r="A569" t="inlineStr">
        <is>
          <t>SD-B2-568</t>
        </is>
      </c>
      <c r="B569" t="inlineStr">
        <is>
          <t>San Diego area</t>
        </is>
      </c>
      <c r="C569" t="inlineStr">
        <is>
          <t>6th Avenue</t>
        </is>
      </c>
      <c r="D569" t="inlineStr">
        <is>
          <t>Thorn Street</t>
        </is>
      </c>
      <c r="E569" t="inlineStr">
        <is>
          <t>Balboa Drive</t>
        </is>
      </c>
      <c r="F569" t="inlineStr">
        <is>
          <t>32836088</t>
        </is>
      </c>
      <c r="G569" t="n">
        <v>30</v>
      </c>
      <c r="H569" t="inlineStr">
        <is>
          <t>mapillary</t>
        </is>
      </c>
      <c r="I569" t="inlineStr">
        <is>
          <t>LSV</t>
        </is>
      </c>
      <c r="J569" t="inlineStr">
        <is>
          <t>https://www.google.com/maps/@?api=1&amp;map_action=pano&amp;viewpoint=32.736100,-117.159455&amp;heading=180</t>
        </is>
      </c>
      <c r="K569" t="inlineStr">
        <is>
          <t>https://www.google.com/maps/search/?api=1&amp;query=32.736100,-117.159455</t>
        </is>
      </c>
      <c r="L569" t="inlineStr"/>
      <c r="M569" t="inlineStr"/>
      <c r="N569" t="inlineStr"/>
      <c r="O569" t="inlineStr"/>
      <c r="P569" t="inlineStr">
        <is>
          <t>pending</t>
        </is>
      </c>
      <c r="Q569" t="inlineStr"/>
      <c r="R569" t="inlineStr"/>
      <c r="S569" t="inlineStr"/>
      <c r="T569" t="inlineStr">
        <is>
          <t>Mapillary: 5 posted 30 mph sign(s) detected</t>
        </is>
      </c>
      <c r="U569" t="inlineStr">
        <is>
          <t>https://www.mapillary.com/app/?lat=32.733746&amp;lng=-117.159540&amp;z=19&amp;focus=map&amp;mapFeatureId=266987398449033</t>
        </is>
      </c>
      <c r="V569">
        <f>IF(OR(L569="",S569=""),"",IF(VALUE(L569)=VALUE(S569),"Y","N"))</f>
        <v/>
      </c>
      <c r="W569">
        <f>IF(V569="Y",S569,"")</f>
        <v/>
      </c>
      <c r="X569" t="inlineStr">
        <is>
          <t>unverified: map has 30 mph (one Mapillary sign); is it 25 (carts OK) or 30+?</t>
        </is>
      </c>
      <c r="Y569" t="inlineStr"/>
      <c r="Z569" t="n">
        <v>1001</v>
      </c>
      <c r="AA569" t="inlineStr">
        <is>
          <t>sd</t>
        </is>
      </c>
      <c r="AB569" t="inlineStr">
        <is>
          <t>sd|32.73610,-117.15946</t>
        </is>
      </c>
    </row>
    <row r="570">
      <c r="A570" t="inlineStr">
        <is>
          <t>SD-B2-569</t>
        </is>
      </c>
      <c r="B570" t="inlineStr">
        <is>
          <t>San Diego area</t>
        </is>
      </c>
      <c r="C570" t="inlineStr">
        <is>
          <t>East Island Avenue</t>
        </is>
      </c>
      <c r="D570" t="inlineStr">
        <is>
          <t>25th Street</t>
        </is>
      </c>
      <c r="E570" t="inlineStr">
        <is>
          <t>Bancroft Street</t>
        </is>
      </c>
      <c r="F570" t="inlineStr">
        <is>
          <t>236356824</t>
        </is>
      </c>
      <c r="G570" t="n">
        <v>25</v>
      </c>
      <c r="H570" t="inlineStr">
        <is>
          <t>mapillary</t>
        </is>
      </c>
      <c r="I570" t="inlineStr">
        <is>
          <t>cart+LSV</t>
        </is>
      </c>
      <c r="J570" t="inlineStr">
        <is>
          <t>https://www.google.com/maps/@?api=1&amp;map_action=pano&amp;viewpoint=32.710590,-117.128825&amp;heading=90</t>
        </is>
      </c>
      <c r="K570" t="inlineStr">
        <is>
          <t>https://www.google.com/maps/search/?api=1&amp;query=32.710590,-117.128825</t>
        </is>
      </c>
      <c r="L570" t="inlineStr"/>
      <c r="M570" t="inlineStr"/>
      <c r="N570" t="inlineStr"/>
      <c r="O570" t="inlineStr"/>
      <c r="P570" t="inlineStr">
        <is>
          <t>pending</t>
        </is>
      </c>
      <c r="Q570" t="inlineStr"/>
      <c r="R570" t="inlineStr"/>
      <c r="S570" t="inlineStr"/>
      <c r="T570" t="inlineStr">
        <is>
          <t>Mapillary: 4 posted 25 mph sign(s) detected</t>
        </is>
      </c>
      <c r="U570" t="inlineStr">
        <is>
          <t>https://www.mapillary.com/app/?lat=32.710606&amp;lng=-117.127610&amp;z=19&amp;focus=map&amp;mapFeatureId=1642834309773567</t>
        </is>
      </c>
      <c r="V570">
        <f>IF(OR(L570="",S570=""),"",IF(VALUE(L570)=VALUE(S570),"Y","N"))</f>
        <v/>
      </c>
      <c r="W570">
        <f>IF(V570="Y",S570,"")</f>
        <v/>
      </c>
      <c r="X570" t="inlineStr">
        <is>
          <t>unverified: map has 25 mph (one Mapillary sign); is it 25 (carts OK) or 30+?</t>
        </is>
      </c>
      <c r="Y570" t="inlineStr"/>
      <c r="Z570" t="n">
        <v>1517</v>
      </c>
      <c r="AA570" t="inlineStr">
        <is>
          <t>sd</t>
        </is>
      </c>
      <c r="AB570" t="inlineStr">
        <is>
          <t>sd|32.71059,-117.12883</t>
        </is>
      </c>
    </row>
    <row r="571">
      <c r="A571" t="inlineStr">
        <is>
          <t>SD-B2-570</t>
        </is>
      </c>
      <c r="B571" t="inlineStr">
        <is>
          <t>San Diego area</t>
        </is>
      </c>
      <c r="C571" t="inlineStr">
        <is>
          <t>Comstock Street</t>
        </is>
      </c>
      <c r="D571" t="inlineStr">
        <is>
          <t>(see map link)</t>
        </is>
      </c>
      <c r="E571" t="inlineStr">
        <is>
          <t>Ulric Court</t>
        </is>
      </c>
      <c r="F571" t="inlineStr">
        <is>
          <t>322803198</t>
        </is>
      </c>
      <c r="G571" t="n">
        <v>25</v>
      </c>
      <c r="H571" t="inlineStr">
        <is>
          <t>mapillary</t>
        </is>
      </c>
      <c r="I571" t="inlineStr">
        <is>
          <t>cart+LSV</t>
        </is>
      </c>
      <c r="J571" t="inlineStr">
        <is>
          <t>https://www.google.com/maps/@?api=1&amp;map_action=pano&amp;viewpoint=32.785790,-117.174330&amp;heading=344</t>
        </is>
      </c>
      <c r="K571" t="inlineStr">
        <is>
          <t>https://www.google.com/maps/search/?api=1&amp;query=32.785790,-117.174330</t>
        </is>
      </c>
      <c r="L571" t="inlineStr"/>
      <c r="M571" t="inlineStr"/>
      <c r="N571" t="inlineStr"/>
      <c r="O571" t="inlineStr"/>
      <c r="P571" t="inlineStr">
        <is>
          <t>pending</t>
        </is>
      </c>
      <c r="Q571" t="inlineStr"/>
      <c r="R571" t="inlineStr"/>
      <c r="S571" t="inlineStr"/>
      <c r="T571" t="inlineStr">
        <is>
          <t>Mapillary: 3 posted 25 mph sign(s) detected</t>
        </is>
      </c>
      <c r="U571" t="inlineStr">
        <is>
          <t>https://www.mapillary.com/app/?lat=32.791927&amp;lng=-117.175606&amp;z=19&amp;focus=map&amp;mapFeatureId=1138804381360876</t>
        </is>
      </c>
      <c r="V571">
        <f>IF(OR(L571="",S571=""),"",IF(VALUE(L571)=VALUE(S571),"Y","N"))</f>
        <v/>
      </c>
      <c r="W571">
        <f>IF(V571="Y",S571,"")</f>
        <v/>
      </c>
      <c r="X571" t="inlineStr">
        <is>
          <t>unverified: map has 25 mph (one Mapillary sign); is it 25 (carts OK) or 30+?</t>
        </is>
      </c>
      <c r="Y571" t="inlineStr"/>
      <c r="Z571" t="n">
        <v>1741</v>
      </c>
      <c r="AA571" t="inlineStr">
        <is>
          <t>sd</t>
        </is>
      </c>
      <c r="AB571" t="inlineStr">
        <is>
          <t>sd|32.78579,-117.17433</t>
        </is>
      </c>
    </row>
    <row r="572">
      <c r="A572" t="inlineStr">
        <is>
          <t>SD-B2-571</t>
        </is>
      </c>
      <c r="B572" t="inlineStr">
        <is>
          <t>San Diego area</t>
        </is>
      </c>
      <c r="C572" t="inlineStr">
        <is>
          <t>Westpark Drive</t>
        </is>
      </c>
      <c r="D572" t="inlineStr">
        <is>
          <t>6th Avenue</t>
        </is>
      </c>
      <c r="E572" t="inlineStr">
        <is>
          <t>Juniper Road</t>
        </is>
      </c>
      <c r="F572" t="inlineStr">
        <is>
          <t>583733839</t>
        </is>
      </c>
      <c r="G572" t="n">
        <v>25</v>
      </c>
      <c r="H572" t="inlineStr">
        <is>
          <t>mapillary</t>
        </is>
      </c>
      <c r="I572" t="inlineStr">
        <is>
          <t>cart+LSV</t>
        </is>
      </c>
      <c r="J572" t="inlineStr">
        <is>
          <t>https://www.google.com/maps/@?api=1&amp;map_action=pano&amp;viewpoint=32.732790,-117.158100&amp;heading=160</t>
        </is>
      </c>
      <c r="K572" t="inlineStr">
        <is>
          <t>https://www.google.com/maps/search/?api=1&amp;query=32.732790,-117.158100</t>
        </is>
      </c>
      <c r="L572" t="inlineStr"/>
      <c r="M572" t="inlineStr"/>
      <c r="N572" t="inlineStr"/>
      <c r="O572" t="inlineStr"/>
      <c r="P572" t="inlineStr">
        <is>
          <t>pending</t>
        </is>
      </c>
      <c r="Q572" t="inlineStr"/>
      <c r="R572" t="inlineStr"/>
      <c r="S572" t="inlineStr"/>
      <c r="T572" t="inlineStr">
        <is>
          <t>Mapillary: 3 posted 25 mph sign(s) detected</t>
        </is>
      </c>
      <c r="U572" t="inlineStr">
        <is>
          <t>https://www.mapillary.com/app/?lat=32.740430&amp;lng=-117.158760&amp;z=19&amp;focus=map&amp;mapFeatureId=381637309803791</t>
        </is>
      </c>
      <c r="V572">
        <f>IF(OR(L572="",S572=""),"",IF(VALUE(L572)=VALUE(S572),"Y","N"))</f>
        <v/>
      </c>
      <c r="W572">
        <f>IF(V572="Y",S572,"")</f>
        <v/>
      </c>
      <c r="X572" t="inlineStr">
        <is>
          <t>unverified: map has 25 mph (one Mapillary sign); is it 25 (carts OK) or 30+?</t>
        </is>
      </c>
      <c r="Y572" t="inlineStr"/>
      <c r="Z572" t="n">
        <v>1852</v>
      </c>
      <c r="AA572" t="inlineStr">
        <is>
          <t>sd</t>
        </is>
      </c>
      <c r="AB572" t="inlineStr">
        <is>
          <t>sd|32.73279,-117.15810</t>
        </is>
      </c>
    </row>
    <row r="573">
      <c r="A573" t="inlineStr">
        <is>
          <t>SD-B2-572</t>
        </is>
      </c>
      <c r="B573" t="inlineStr">
        <is>
          <t>San Diego area</t>
        </is>
      </c>
      <c r="C573" t="inlineStr">
        <is>
          <t>Boundary Street</t>
        </is>
      </c>
      <c r="D573" t="inlineStr">
        <is>
          <t>Upas Street</t>
        </is>
      </c>
      <c r="E573" t="inlineStr">
        <is>
          <t>Haller Street</t>
        </is>
      </c>
      <c r="F573" t="inlineStr">
        <is>
          <t>1455832361</t>
        </is>
      </c>
      <c r="G573" t="n">
        <v>25</v>
      </c>
      <c r="H573" t="inlineStr">
        <is>
          <t>mapillary</t>
        </is>
      </c>
      <c r="I573" t="inlineStr">
        <is>
          <t>cart+LSV</t>
        </is>
      </c>
      <c r="J573" t="inlineStr">
        <is>
          <t>https://www.google.com/maps/@?api=1&amp;map_action=pano&amp;viewpoint=32.729340,-117.116210&amp;heading=132</t>
        </is>
      </c>
      <c r="K573" t="inlineStr">
        <is>
          <t>https://www.google.com/maps/search/?api=1&amp;query=32.729340,-117.116210</t>
        </is>
      </c>
      <c r="L573" t="inlineStr"/>
      <c r="M573" t="inlineStr"/>
      <c r="N573" t="inlineStr"/>
      <c r="O573" t="inlineStr"/>
      <c r="P573" t="inlineStr">
        <is>
          <t>pending</t>
        </is>
      </c>
      <c r="Q573" t="inlineStr"/>
      <c r="R573" t="inlineStr"/>
      <c r="S573" t="inlineStr"/>
      <c r="T573" t="inlineStr">
        <is>
          <t>Mapillary: 5 posted 25 mph sign(s) detected</t>
        </is>
      </c>
      <c r="U573" t="inlineStr">
        <is>
          <t>https://www.mapillary.com/app/?lat=32.727110&amp;lng=-117.115240&amp;z=19&amp;focus=map&amp;mapFeatureId=1609286413806166</t>
        </is>
      </c>
      <c r="V573">
        <f>IF(OR(L573="",S573=""),"",IF(VALUE(L573)=VALUE(S573),"Y","N"))</f>
        <v/>
      </c>
      <c r="W573">
        <f>IF(V573="Y",S573,"")</f>
        <v/>
      </c>
      <c r="X573" t="inlineStr">
        <is>
          <t>unverified: map has 25 mph (one Mapillary sign); is it 25 (carts OK) or 30+?</t>
        </is>
      </c>
      <c r="Y573" t="inlineStr"/>
      <c r="Z573" t="n">
        <v>1733</v>
      </c>
      <c r="AA573" t="inlineStr">
        <is>
          <t>sd</t>
        </is>
      </c>
      <c r="AB573" t="inlineStr">
        <is>
          <t>sd|32.72934,-117.11621</t>
        </is>
      </c>
    </row>
    <row r="574">
      <c r="A574" t="inlineStr">
        <is>
          <t>SD-B2-573</t>
        </is>
      </c>
      <c r="B574" t="inlineStr">
        <is>
          <t>San Diego area</t>
        </is>
      </c>
      <c r="C574" t="inlineStr">
        <is>
          <t>Mobley Street</t>
        </is>
      </c>
      <c r="D574" t="inlineStr">
        <is>
          <t>Keir Street</t>
        </is>
      </c>
      <c r="E574" t="inlineStr">
        <is>
          <t>Winen Way</t>
        </is>
      </c>
      <c r="F574" t="inlineStr">
        <is>
          <t>1458132940</t>
        </is>
      </c>
      <c r="G574" t="n">
        <v>25</v>
      </c>
      <c r="H574" t="inlineStr">
        <is>
          <t>mapillary</t>
        </is>
      </c>
      <c r="I574" t="inlineStr">
        <is>
          <t>cart+LSV</t>
        </is>
      </c>
      <c r="J574" t="inlineStr">
        <is>
          <t>https://www.google.com/maps/@?api=1&amp;map_action=pano&amp;viewpoint=32.795380,-117.134990&amp;heading=350</t>
        </is>
      </c>
      <c r="K574" t="inlineStr">
        <is>
          <t>https://www.google.com/maps/search/?api=1&amp;query=32.795380,-117.134990</t>
        </is>
      </c>
      <c r="L574" t="inlineStr"/>
      <c r="M574" t="inlineStr"/>
      <c r="N574" t="inlineStr"/>
      <c r="O574" t="inlineStr"/>
      <c r="P574" t="inlineStr">
        <is>
          <t>pending</t>
        </is>
      </c>
      <c r="Q574" t="inlineStr"/>
      <c r="R574" t="inlineStr"/>
      <c r="S574" t="inlineStr"/>
      <c r="T574" t="inlineStr">
        <is>
          <t>Mapillary: 2 posted 25 mph sign(s) detected</t>
        </is>
      </c>
      <c r="U574" t="inlineStr">
        <is>
          <t>https://www.mapillary.com/app/?lat=32.792770&amp;lng=-117.134514&amp;z=19&amp;focus=map&amp;mapFeatureId=2139015776539667</t>
        </is>
      </c>
      <c r="V574">
        <f>IF(OR(L574="",S574=""),"",IF(VALUE(L574)=VALUE(S574),"Y","N"))</f>
        <v/>
      </c>
      <c r="W574">
        <f>IF(V574="Y",S574,"")</f>
        <v/>
      </c>
      <c r="X574" t="inlineStr">
        <is>
          <t>unverified: map has 25 mph (one Mapillary sign); is it 25 (carts OK) or 30+?</t>
        </is>
      </c>
      <c r="Y574" t="inlineStr"/>
      <c r="Z574" t="n">
        <v>1616</v>
      </c>
      <c r="AA574" t="inlineStr">
        <is>
          <t>sd</t>
        </is>
      </c>
      <c r="AB574" t="inlineStr">
        <is>
          <t>sd|32.79538,-117.13499</t>
        </is>
      </c>
    </row>
    <row r="575">
      <c r="A575" t="inlineStr">
        <is>
          <t>SD-B2-574</t>
        </is>
      </c>
      <c r="B575" t="inlineStr">
        <is>
          <t>San Diego area</t>
        </is>
      </c>
      <c r="C575" t="inlineStr">
        <is>
          <t>Ashford Street</t>
        </is>
      </c>
      <c r="D575" t="inlineStr">
        <is>
          <t>Beagle Street</t>
        </is>
      </c>
      <c r="E575" t="inlineStr">
        <is>
          <t>Ashford Court</t>
        </is>
      </c>
      <c r="F575" t="inlineStr">
        <is>
          <t>6045691</t>
        </is>
      </c>
      <c r="G575" t="n">
        <v>25</v>
      </c>
      <c r="H575" t="inlineStr">
        <is>
          <t>mapillary</t>
        </is>
      </c>
      <c r="I575" t="inlineStr">
        <is>
          <t>cart+LSV</t>
        </is>
      </c>
      <c r="J575" t="inlineStr">
        <is>
          <t>https://www.google.com/maps/@?api=1&amp;map_action=pano&amp;viewpoint=32.814880,-117.160040&amp;heading=348</t>
        </is>
      </c>
      <c r="K575" t="inlineStr">
        <is>
          <t>https://www.google.com/maps/search/?api=1&amp;query=32.814880,-117.160040</t>
        </is>
      </c>
      <c r="L575" t="inlineStr"/>
      <c r="M575" t="inlineStr"/>
      <c r="N575" t="inlineStr"/>
      <c r="O575" t="inlineStr"/>
      <c r="P575" t="inlineStr">
        <is>
          <t>pending</t>
        </is>
      </c>
      <c r="Q575" t="inlineStr"/>
      <c r="R575" t="inlineStr"/>
      <c r="S575" t="inlineStr"/>
      <c r="T575" t="inlineStr">
        <is>
          <t>Mapillary: 12 posted 25 mph sign(s) detected</t>
        </is>
      </c>
      <c r="U575" t="inlineStr">
        <is>
          <t>https://www.mapillary.com/app/?lat=32.810814&amp;lng=-117.159840&amp;z=19&amp;focus=map&amp;mapFeatureId=639454975271912</t>
        </is>
      </c>
      <c r="V575">
        <f>IF(OR(L575="",S575=""),"",IF(VALUE(L575)=VALUE(S575),"Y","N"))</f>
        <v/>
      </c>
      <c r="W575">
        <f>IF(V575="Y",S575,"")</f>
        <v/>
      </c>
      <c r="X575" t="inlineStr">
        <is>
          <t>unverified: map has 25 mph (one Mapillary sign); is it 25 (carts OK) or 30+?</t>
        </is>
      </c>
      <c r="Y575" t="inlineStr"/>
      <c r="Z575" t="n">
        <v>2155</v>
      </c>
      <c r="AA575" t="inlineStr">
        <is>
          <t>sd</t>
        </is>
      </c>
      <c r="AB575" t="inlineStr">
        <is>
          <t>sd|32.81488,-117.16004</t>
        </is>
      </c>
    </row>
    <row r="576">
      <c r="A576" t="inlineStr">
        <is>
          <t>SD-B2-575</t>
        </is>
      </c>
      <c r="B576" t="inlineStr">
        <is>
          <t>San Diego area</t>
        </is>
      </c>
      <c r="C576" t="inlineStr">
        <is>
          <t>Nancy Ridge Drive</t>
        </is>
      </c>
      <c r="D576" t="inlineStr">
        <is>
          <t>Carroll Road</t>
        </is>
      </c>
      <c r="E576" t="inlineStr">
        <is>
          <t>(see map link)</t>
        </is>
      </c>
      <c r="F576" t="inlineStr">
        <is>
          <t>592062174</t>
        </is>
      </c>
      <c r="G576" t="n">
        <v>40</v>
      </c>
      <c r="H576" t="inlineStr">
        <is>
          <t>mapillary</t>
        </is>
      </c>
      <c r="I576" t="inlineStr">
        <is>
          <t>no</t>
        </is>
      </c>
      <c r="J576" t="inlineStr">
        <is>
          <t>https://www.google.com/maps/@?api=1&amp;map_action=pano&amp;viewpoint=32.889750,-117.192370&amp;heading=352</t>
        </is>
      </c>
      <c r="K576" t="inlineStr">
        <is>
          <t>https://www.google.com/maps/search/?api=1&amp;query=32.889750,-117.192370</t>
        </is>
      </c>
      <c r="L576" t="inlineStr"/>
      <c r="M576" t="inlineStr"/>
      <c r="N576" t="inlineStr"/>
      <c r="O576" t="inlineStr"/>
      <c r="P576" t="inlineStr">
        <is>
          <t>pending</t>
        </is>
      </c>
      <c r="Q576" t="inlineStr"/>
      <c r="R576" t="inlineStr"/>
      <c r="S576" t="inlineStr"/>
      <c r="T576" t="inlineStr">
        <is>
          <t>Mapillary: 1 posted 40 mph sign(s) detected</t>
        </is>
      </c>
      <c r="U576" t="inlineStr">
        <is>
          <t>https://www.mapillary.com/app/?lat=32.888844&amp;lng=-117.186570&amp;z=19&amp;focus=map&amp;mapFeatureId=1672874056987997</t>
        </is>
      </c>
      <c r="V576">
        <f>IF(OR(L576="",S576=""),"",IF(VALUE(L576)=VALUE(S576),"Y","N"))</f>
        <v/>
      </c>
      <c r="W576">
        <f>IF(V576="Y",S576,"")</f>
        <v/>
      </c>
      <c r="X576" t="inlineStr">
        <is>
          <t>unverified: map has 40 mph (one Mapillary sign); is it 35 (LSV OK) or 40+?</t>
        </is>
      </c>
      <c r="Y576" t="inlineStr"/>
      <c r="Z576" t="n">
        <v>2227</v>
      </c>
      <c r="AA576" t="inlineStr">
        <is>
          <t>sd</t>
        </is>
      </c>
      <c r="AB576" t="inlineStr">
        <is>
          <t>sd|32.88975,-117.19237</t>
        </is>
      </c>
    </row>
    <row r="577">
      <c r="A577" t="inlineStr">
        <is>
          <t>SD-B2-576</t>
        </is>
      </c>
      <c r="B577" t="inlineStr">
        <is>
          <t>San Diego area</t>
        </is>
      </c>
      <c r="C577" t="inlineStr">
        <is>
          <t>Chateau Drive</t>
        </is>
      </c>
      <c r="D577" t="inlineStr">
        <is>
          <t>Genesee Avenue</t>
        </is>
      </c>
      <c r="E577" t="inlineStr">
        <is>
          <t>Mount Abernathy Avenue</t>
        </is>
      </c>
      <c r="F577" t="inlineStr">
        <is>
          <t>725907668</t>
        </is>
      </c>
      <c r="G577" t="n">
        <v>30</v>
      </c>
      <c r="H577" t="inlineStr">
        <is>
          <t>mapillary</t>
        </is>
      </c>
      <c r="I577" t="inlineStr">
        <is>
          <t>LSV</t>
        </is>
      </c>
      <c r="J577" t="inlineStr">
        <is>
          <t>https://www.google.com/maps/@?api=1&amp;map_action=pano&amp;viewpoint=32.825050,-117.182120&amp;heading=108</t>
        </is>
      </c>
      <c r="K577" t="inlineStr">
        <is>
          <t>https://www.google.com/maps/search/?api=1&amp;query=32.825050,-117.182120</t>
        </is>
      </c>
      <c r="L577" t="inlineStr"/>
      <c r="M577" t="inlineStr"/>
      <c r="N577" t="inlineStr"/>
      <c r="O577" t="inlineStr"/>
      <c r="P577" t="inlineStr">
        <is>
          <t>pending</t>
        </is>
      </c>
      <c r="Q577" t="inlineStr"/>
      <c r="R577" t="inlineStr"/>
      <c r="S577" t="inlineStr"/>
      <c r="T577" t="inlineStr">
        <is>
          <t>Mapillary: 9 posted 30 mph sign(s) detected</t>
        </is>
      </c>
      <c r="U577" t="inlineStr">
        <is>
          <t>https://www.mapillary.com/app/?lat=32.825510&amp;lng=-117.183464&amp;z=19&amp;focus=map&amp;mapFeatureId=302988604880069</t>
        </is>
      </c>
      <c r="V577">
        <f>IF(OR(L577="",S577=""),"",IF(VALUE(L577)=VALUE(S577),"Y","N"))</f>
        <v/>
      </c>
      <c r="W577">
        <f>IF(V577="Y",S577,"")</f>
        <v/>
      </c>
      <c r="X577" t="inlineStr">
        <is>
          <t>unverified: map has 30 mph (one Mapillary sign); is it 25 (carts OK) or 30+?</t>
        </is>
      </c>
      <c r="Y577" t="inlineStr"/>
      <c r="Z577" t="n">
        <v>1998</v>
      </c>
      <c r="AA577" t="inlineStr">
        <is>
          <t>sd</t>
        </is>
      </c>
      <c r="AB577" t="inlineStr">
        <is>
          <t>sd|32.82505,-117.18212</t>
        </is>
      </c>
    </row>
    <row r="578">
      <c r="A578" t="inlineStr">
        <is>
          <t>SD-B2-577</t>
        </is>
      </c>
      <c r="B578" t="inlineStr">
        <is>
          <t>San Diego area</t>
        </is>
      </c>
      <c r="C578" t="inlineStr">
        <is>
          <t>Del Mar Mesa Road</t>
        </is>
      </c>
      <c r="D578" t="inlineStr">
        <is>
          <t>(see map link)</t>
        </is>
      </c>
      <c r="E578" t="inlineStr">
        <is>
          <t>Lorient Court</t>
        </is>
      </c>
      <c r="F578" t="inlineStr">
        <is>
          <t>864233178</t>
        </is>
      </c>
      <c r="G578" t="n">
        <v>25</v>
      </c>
      <c r="H578" t="inlineStr">
        <is>
          <t>mapillary</t>
        </is>
      </c>
      <c r="I578" t="inlineStr">
        <is>
          <t>cart+LSV</t>
        </is>
      </c>
      <c r="J578" t="inlineStr">
        <is>
          <t>https://www.google.com/maps/@?api=1&amp;map_action=pano&amp;viewpoint=32.943810,-117.197360&amp;heading=93</t>
        </is>
      </c>
      <c r="K578" t="inlineStr">
        <is>
          <t>https://www.google.com/maps/search/?api=1&amp;query=32.943810,-117.197360</t>
        </is>
      </c>
      <c r="L578" t="inlineStr"/>
      <c r="M578" t="inlineStr"/>
      <c r="N578" t="inlineStr"/>
      <c r="O578" t="inlineStr"/>
      <c r="P578" t="inlineStr">
        <is>
          <t>pending</t>
        </is>
      </c>
      <c r="Q578" t="inlineStr"/>
      <c r="R578" t="inlineStr"/>
      <c r="S578" t="inlineStr"/>
      <c r="T578" t="inlineStr">
        <is>
          <t>Mapillary: 2 posted 25 mph sign(s) detected</t>
        </is>
      </c>
      <c r="U578" t="inlineStr">
        <is>
          <t>https://www.mapillary.com/app/?lat=32.942540&amp;lng=-117.187096&amp;z=19&amp;focus=map&amp;mapFeatureId=2849647911969488</t>
        </is>
      </c>
      <c r="V578">
        <f>IF(OR(L578="",S578=""),"",IF(VALUE(L578)=VALUE(S578),"Y","N"))</f>
        <v/>
      </c>
      <c r="W578">
        <f>IF(V578="Y",S578,"")</f>
        <v/>
      </c>
      <c r="X578" t="inlineStr">
        <is>
          <t>unverified: map has 25 mph (one Mapillary sign); is it 25 (carts OK) or 30+?</t>
        </is>
      </c>
      <c r="Y578" t="inlineStr"/>
      <c r="Z578" t="n">
        <v>1577</v>
      </c>
      <c r="AA578" t="inlineStr">
        <is>
          <t>sd</t>
        </is>
      </c>
      <c r="AB578" t="inlineStr">
        <is>
          <t>sd|32.94381,-117.19736</t>
        </is>
      </c>
    </row>
    <row r="579">
      <c r="A579" t="inlineStr">
        <is>
          <t>SD-B2-578</t>
        </is>
      </c>
      <c r="B579" t="inlineStr">
        <is>
          <t>San Diego area</t>
        </is>
      </c>
      <c r="C579" t="inlineStr">
        <is>
          <t>Rancho Diegueno Road</t>
        </is>
      </c>
      <c r="D579" t="inlineStr">
        <is>
          <t>(see map link)</t>
        </is>
      </c>
      <c r="E579" t="inlineStr">
        <is>
          <t>Rancho Santa Fe Farms Road</t>
        </is>
      </c>
      <c r="F579" t="inlineStr">
        <is>
          <t>5973639</t>
        </is>
      </c>
      <c r="G579" t="n">
        <v>40</v>
      </c>
      <c r="H579" t="inlineStr">
        <is>
          <t>mapillary</t>
        </is>
      </c>
      <c r="I579" t="inlineStr">
        <is>
          <t>no</t>
        </is>
      </c>
      <c r="J579" t="inlineStr">
        <is>
          <t>https://www.google.com/maps/@?api=1&amp;map_action=pano&amp;viewpoint=32.988400,-117.192820&amp;heading=136</t>
        </is>
      </c>
      <c r="K579" t="inlineStr">
        <is>
          <t>https://www.google.com/maps/search/?api=1&amp;query=32.988400,-117.192820</t>
        </is>
      </c>
      <c r="L579" t="inlineStr"/>
      <c r="M579" t="inlineStr"/>
      <c r="N579" t="inlineStr"/>
      <c r="O579" t="inlineStr"/>
      <c r="P579" t="inlineStr">
        <is>
          <t>pending</t>
        </is>
      </c>
      <c r="Q579" t="inlineStr"/>
      <c r="R579" t="inlineStr"/>
      <c r="S579" t="inlineStr"/>
      <c r="T579" t="inlineStr">
        <is>
          <t>Mapillary: 4 posted 40 mph sign(s) detected</t>
        </is>
      </c>
      <c r="U579" t="inlineStr">
        <is>
          <t>https://www.mapillary.com/app/?lat=32.983707&amp;lng=-117.191864&amp;z=19&amp;focus=map&amp;mapFeatureId=561622758498328</t>
        </is>
      </c>
      <c r="V579">
        <f>IF(OR(L579="",S579=""),"",IF(VALUE(L579)=VALUE(S579),"Y","N"))</f>
        <v/>
      </c>
      <c r="W579">
        <f>IF(V579="Y",S579,"")</f>
        <v/>
      </c>
      <c r="X579" t="inlineStr">
        <is>
          <t>unverified: map has 40 mph (one Mapillary sign); is it 35 (LSV OK) or 40+?</t>
        </is>
      </c>
      <c r="Y579" t="inlineStr"/>
      <c r="Z579" t="n">
        <v>1933</v>
      </c>
      <c r="AA579" t="inlineStr">
        <is>
          <t>sd</t>
        </is>
      </c>
      <c r="AB579" t="inlineStr">
        <is>
          <t>sd|32.98840,-117.19282</t>
        </is>
      </c>
    </row>
    <row r="580">
      <c r="A580" t="inlineStr">
        <is>
          <t>SD-B2-579</t>
        </is>
      </c>
      <c r="B580" t="inlineStr">
        <is>
          <t>San Diego area</t>
        </is>
      </c>
      <c r="C580" t="inlineStr">
        <is>
          <t>La Valle Plateada</t>
        </is>
      </c>
      <c r="D580" t="inlineStr">
        <is>
          <t>Paseo Delicias</t>
        </is>
      </c>
      <c r="E580" t="inlineStr">
        <is>
          <t>El Montevideo</t>
        </is>
      </c>
      <c r="F580" t="inlineStr">
        <is>
          <t>5959174</t>
        </is>
      </c>
      <c r="G580" t="n">
        <v>35</v>
      </c>
      <c r="H580" t="inlineStr">
        <is>
          <t>mapillary</t>
        </is>
      </c>
      <c r="I580" t="inlineStr">
        <is>
          <t>LSV</t>
        </is>
      </c>
      <c r="J580" t="inlineStr">
        <is>
          <t>https://www.google.com/maps/@?api=1&amp;map_action=pano&amp;viewpoint=33.023510,-117.193690&amp;heading=71</t>
        </is>
      </c>
      <c r="K580" t="inlineStr">
        <is>
          <t>https://www.google.com/maps/search/?api=1&amp;query=33.023510,-117.193690</t>
        </is>
      </c>
      <c r="L580" t="inlineStr"/>
      <c r="M580" t="inlineStr"/>
      <c r="N580" t="inlineStr"/>
      <c r="O580" t="inlineStr"/>
      <c r="P580" t="inlineStr">
        <is>
          <t>pending</t>
        </is>
      </c>
      <c r="Q580" t="inlineStr"/>
      <c r="R580" t="inlineStr"/>
      <c r="S580" t="inlineStr"/>
      <c r="T580" t="inlineStr">
        <is>
          <t>Mapillary: 4 posted 35 mph sign(s) detected</t>
        </is>
      </c>
      <c r="U580" t="inlineStr">
        <is>
          <t>https://www.mapillary.com/app/?lat=33.024372&amp;lng=-117.197370&amp;z=19&amp;focus=map&amp;mapFeatureId=564574388142693</t>
        </is>
      </c>
      <c r="V580">
        <f>IF(OR(L580="",S580=""),"",IF(VALUE(L580)=VALUE(S580),"Y","N"))</f>
        <v/>
      </c>
      <c r="W580">
        <f>IF(V580="Y",S580,"")</f>
        <v/>
      </c>
      <c r="X580" t="inlineStr">
        <is>
          <t>unverified: map has 35 mph (one Mapillary sign); is it 35 (LSV OK) or 40+?</t>
        </is>
      </c>
      <c r="Y580" t="inlineStr"/>
      <c r="Z580" t="n">
        <v>1822</v>
      </c>
      <c r="AA580" t="inlineStr">
        <is>
          <t>sd</t>
        </is>
      </c>
      <c r="AB580" t="inlineStr">
        <is>
          <t>sd|33.02351,-117.19369</t>
        </is>
      </c>
    </row>
    <row r="581">
      <c r="A581" t="inlineStr">
        <is>
          <t>SD-B2-580</t>
        </is>
      </c>
      <c r="B581" t="inlineStr">
        <is>
          <t>San Diego area</t>
        </is>
      </c>
      <c r="C581" t="inlineStr">
        <is>
          <t>El Montevideo</t>
        </is>
      </c>
      <c r="D581" t="inlineStr">
        <is>
          <t>San Elijo Avenue</t>
        </is>
      </c>
      <c r="E581" t="inlineStr">
        <is>
          <t>Via de Fortuna</t>
        </is>
      </c>
      <c r="F581" t="inlineStr">
        <is>
          <t>6004250</t>
        </is>
      </c>
      <c r="G581" t="n">
        <v>45</v>
      </c>
      <c r="H581" t="inlineStr">
        <is>
          <t>mapillary</t>
        </is>
      </c>
      <c r="I581" t="inlineStr">
        <is>
          <t>no</t>
        </is>
      </c>
      <c r="J581" t="inlineStr">
        <is>
          <t>https://www.google.com/maps/@?api=1&amp;map_action=pano&amp;viewpoint=33.037300,-117.201850&amp;heading=85</t>
        </is>
      </c>
      <c r="K581" t="inlineStr">
        <is>
          <t>https://www.google.com/maps/search/?api=1&amp;query=33.037300,-117.201850</t>
        </is>
      </c>
      <c r="L581" t="inlineStr"/>
      <c r="M581" t="inlineStr"/>
      <c r="N581" t="inlineStr"/>
      <c r="O581" t="inlineStr"/>
      <c r="P581" t="inlineStr">
        <is>
          <t>pending</t>
        </is>
      </c>
      <c r="Q581" t="inlineStr"/>
      <c r="R581" t="inlineStr"/>
      <c r="S581" t="inlineStr"/>
      <c r="T581" t="inlineStr">
        <is>
          <t>Mapillary: 10 posted 45 mph sign(s) detected</t>
        </is>
      </c>
      <c r="U581" t="inlineStr">
        <is>
          <t>https://www.mapillary.com/app/?lat=33.034145&amp;lng=-117.194275&amp;z=19&amp;focus=map&amp;mapFeatureId=3024329427848827</t>
        </is>
      </c>
      <c r="V581">
        <f>IF(OR(L581="",S581=""),"",IF(VALUE(L581)=VALUE(S581),"Y","N"))</f>
        <v/>
      </c>
      <c r="W581">
        <f>IF(V581="Y",S581,"")</f>
        <v/>
      </c>
      <c r="X581" t="inlineStr">
        <is>
          <t>unverified: map has 45 mph (one Mapillary sign); main road: what is posted? 35 or lower opens it to LSVs</t>
        </is>
      </c>
      <c r="Y581" t="inlineStr"/>
      <c r="Z581" t="n">
        <v>2431</v>
      </c>
      <c r="AA581" t="inlineStr">
        <is>
          <t>sd</t>
        </is>
      </c>
      <c r="AB581" t="inlineStr">
        <is>
          <t>sd|33.03730,-117.20185</t>
        </is>
      </c>
    </row>
    <row r="582">
      <c r="A582" t="inlineStr">
        <is>
          <t>SD-B2-581</t>
        </is>
      </c>
      <c r="B582" t="inlineStr">
        <is>
          <t>San Diego area</t>
        </is>
      </c>
      <c r="C582" t="inlineStr">
        <is>
          <t>El Camino del Norte</t>
        </is>
      </c>
      <c r="D582" t="inlineStr">
        <is>
          <t>(see map link)</t>
        </is>
      </c>
      <c r="E582" t="inlineStr">
        <is>
          <t>Val Sereno Drive</t>
        </is>
      </c>
      <c r="F582" t="inlineStr">
        <is>
          <t>33072082</t>
        </is>
      </c>
      <c r="G582" t="n">
        <v>35</v>
      </c>
      <c r="H582" t="inlineStr">
        <is>
          <t>mapillary</t>
        </is>
      </c>
      <c r="I582" t="inlineStr">
        <is>
          <t>LSV</t>
        </is>
      </c>
      <c r="J582" t="inlineStr">
        <is>
          <t>https://www.google.com/maps/@?api=1&amp;map_action=pano&amp;viewpoint=33.042190,-117.193920&amp;heading=89</t>
        </is>
      </c>
      <c r="K582" t="inlineStr">
        <is>
          <t>https://www.google.com/maps/search/?api=1&amp;query=33.042190,-117.193920</t>
        </is>
      </c>
      <c r="L582" t="inlineStr"/>
      <c r="M582" t="inlineStr"/>
      <c r="N582" t="inlineStr"/>
      <c r="O582" t="inlineStr"/>
      <c r="P582" t="inlineStr">
        <is>
          <t>pending</t>
        </is>
      </c>
      <c r="Q582" t="inlineStr"/>
      <c r="R582" t="inlineStr"/>
      <c r="S582" t="inlineStr"/>
      <c r="T582" t="inlineStr">
        <is>
          <t>Mapillary: 9 posted 35 mph sign(s) detected</t>
        </is>
      </c>
      <c r="U582" t="inlineStr">
        <is>
          <t>https://www.mapillary.com/app/?lat=33.044010&amp;lng=-117.203410&amp;z=19&amp;focus=map&amp;mapFeatureId=1382622766440085</t>
        </is>
      </c>
      <c r="V582">
        <f>IF(OR(L582="",S582=""),"",IF(VALUE(L582)=VALUE(S582),"Y","N"))</f>
        <v/>
      </c>
      <c r="W582">
        <f>IF(V582="Y",S582,"")</f>
        <v/>
      </c>
      <c r="X582" t="inlineStr">
        <is>
          <t>unverified: map has 35 mph (one Mapillary sign); is it 35 (LSV OK) or 40+?</t>
        </is>
      </c>
      <c r="Y582" t="inlineStr"/>
      <c r="Z582" t="n">
        <v>4043</v>
      </c>
      <c r="AA582" t="inlineStr">
        <is>
          <t>sd</t>
        </is>
      </c>
      <c r="AB582" t="inlineStr">
        <is>
          <t>sd|33.04219,-117.19392</t>
        </is>
      </c>
    </row>
    <row r="583">
      <c r="A583" t="inlineStr">
        <is>
          <t>SD-B2-582</t>
        </is>
      </c>
      <c r="B583" t="inlineStr">
        <is>
          <t>San Diego area</t>
        </is>
      </c>
      <c r="C583" t="inlineStr">
        <is>
          <t>Cabrillo Road</t>
        </is>
      </c>
      <c r="D583" t="inlineStr">
        <is>
          <t>(see map link)</t>
        </is>
      </c>
      <c r="E583" t="inlineStr">
        <is>
          <t>Cabrillo Memorial Drive</t>
        </is>
      </c>
      <c r="F583" t="inlineStr">
        <is>
          <t>640622055</t>
        </is>
      </c>
      <c r="G583" t="n">
        <v>25</v>
      </c>
      <c r="H583" t="inlineStr">
        <is>
          <t>mapillary</t>
        </is>
      </c>
      <c r="I583" t="inlineStr">
        <is>
          <t>cart+LSV</t>
        </is>
      </c>
      <c r="J583" t="inlineStr">
        <is>
          <t>https://www.google.com/maps/@?api=1&amp;map_action=pano&amp;viewpoint=32.672890,-117.243190&amp;heading=354</t>
        </is>
      </c>
      <c r="K583" t="inlineStr">
        <is>
          <t>https://www.google.com/maps/search/?api=1&amp;query=32.672890,-117.243190</t>
        </is>
      </c>
      <c r="L583" t="inlineStr"/>
      <c r="M583" t="inlineStr"/>
      <c r="N583" t="inlineStr"/>
      <c r="O583" t="inlineStr"/>
      <c r="P583" t="inlineStr">
        <is>
          <t>pending</t>
        </is>
      </c>
      <c r="Q583" t="inlineStr"/>
      <c r="R583" t="inlineStr"/>
      <c r="S583" t="inlineStr"/>
      <c r="T583" t="inlineStr">
        <is>
          <t>Mapillary: 2 posted 25 mph sign(s) detected</t>
        </is>
      </c>
      <c r="U583" t="inlineStr">
        <is>
          <t>https://www.mapillary.com/app/?lat=32.675950&amp;lng=-117.243700&amp;z=19&amp;focus=map&amp;mapFeatureId=307992537555120</t>
        </is>
      </c>
      <c r="V583">
        <f>IF(OR(L583="",S583=""),"",IF(VALUE(L583)=VALUE(S583),"Y","N"))</f>
        <v/>
      </c>
      <c r="W583">
        <f>IF(V583="Y",S583,"")</f>
        <v/>
      </c>
      <c r="X583" t="inlineStr">
        <is>
          <t>unverified: map has 25 mph (one Mapillary sign); is it 25 (carts OK) or 30+?</t>
        </is>
      </c>
      <c r="Y583" t="inlineStr"/>
      <c r="Z583" t="n">
        <v>2192</v>
      </c>
      <c r="AA583" t="inlineStr">
        <is>
          <t>sd</t>
        </is>
      </c>
      <c r="AB583" t="inlineStr">
        <is>
          <t>sd|32.67289,-117.24319</t>
        </is>
      </c>
    </row>
    <row r="584">
      <c r="A584" t="inlineStr">
        <is>
          <t>SD-B2-583</t>
        </is>
      </c>
      <c r="B584" t="inlineStr">
        <is>
          <t>San Diego area</t>
        </is>
      </c>
      <c r="C584" t="inlineStr">
        <is>
          <t>Rosecrans Street</t>
        </is>
      </c>
      <c r="D584" t="inlineStr">
        <is>
          <t>(see map link)</t>
        </is>
      </c>
      <c r="E584" t="inlineStr">
        <is>
          <t>Bessemer Street</t>
        </is>
      </c>
      <c r="F584" t="inlineStr">
        <is>
          <t>5957871</t>
        </is>
      </c>
      <c r="G584" t="n">
        <v>30</v>
      </c>
      <c r="H584" t="inlineStr">
        <is>
          <t>mapillary</t>
        </is>
      </c>
      <c r="I584" t="inlineStr">
        <is>
          <t>LSV</t>
        </is>
      </c>
      <c r="J584" t="inlineStr">
        <is>
          <t>https://www.google.com/maps/@?api=1&amp;map_action=pano&amp;viewpoint=32.713280,-117.237620&amp;heading=13</t>
        </is>
      </c>
      <c r="K584" t="inlineStr">
        <is>
          <t>https://www.google.com/maps/search/?api=1&amp;query=32.713280,-117.237620</t>
        </is>
      </c>
      <c r="L584" t="inlineStr"/>
      <c r="M584" t="inlineStr"/>
      <c r="N584" t="inlineStr"/>
      <c r="O584" t="inlineStr"/>
      <c r="P584" t="inlineStr">
        <is>
          <t>pending</t>
        </is>
      </c>
      <c r="Q584" t="inlineStr"/>
      <c r="R584" t="inlineStr"/>
      <c r="S584" t="inlineStr"/>
      <c r="T584" t="inlineStr">
        <is>
          <t>Mapillary: 1 posted 30 mph sign(s) detected</t>
        </is>
      </c>
      <c r="U584" t="inlineStr">
        <is>
          <t>https://www.mapillary.com/app/?lat=32.713943&amp;lng=-117.237200&amp;z=19&amp;focus=map&amp;mapFeatureId=656924823509849</t>
        </is>
      </c>
      <c r="V584">
        <f>IF(OR(L584="",S584=""),"",IF(VALUE(L584)=VALUE(S584),"Y","N"))</f>
        <v/>
      </c>
      <c r="W584">
        <f>IF(V584="Y",S584,"")</f>
        <v/>
      </c>
      <c r="X584" t="inlineStr">
        <is>
          <t>unverified: map has 30 mph (one Mapillary sign); is it 25 (carts OK) or 30+?</t>
        </is>
      </c>
      <c r="Y584" t="inlineStr"/>
      <c r="Z584" t="n">
        <v>1538</v>
      </c>
      <c r="AA584" t="inlineStr">
        <is>
          <t>sd</t>
        </is>
      </c>
      <c r="AB584" t="inlineStr">
        <is>
          <t>sd|32.71328,-117.23762</t>
        </is>
      </c>
    </row>
    <row r="585">
      <c r="A585" t="inlineStr">
        <is>
          <t>SD-B2-584</t>
        </is>
      </c>
      <c r="B585" t="inlineStr">
        <is>
          <t>San Diego area</t>
        </is>
      </c>
      <c r="C585" t="inlineStr">
        <is>
          <t>Santa Barbara Street</t>
        </is>
      </c>
      <c r="D585" t="inlineStr">
        <is>
          <t>Point Loma Avenue</t>
        </is>
      </c>
      <c r="E585" t="inlineStr">
        <is>
          <t>Catalina Boulevard</t>
        </is>
      </c>
      <c r="F585" t="inlineStr">
        <is>
          <t>1421028408</t>
        </is>
      </c>
      <c r="G585" t="n">
        <v>30</v>
      </c>
      <c r="H585" t="inlineStr">
        <is>
          <t>mapillary</t>
        </is>
      </c>
      <c r="I585" t="inlineStr">
        <is>
          <t>LSV</t>
        </is>
      </c>
      <c r="J585" t="inlineStr">
        <is>
          <t>https://www.google.com/maps/@?api=1&amp;map_action=pano&amp;viewpoint=32.724720,-117.246030&amp;heading=328</t>
        </is>
      </c>
      <c r="K585" t="inlineStr">
        <is>
          <t>https://www.google.com/maps/search/?api=1&amp;query=32.724720,-117.246030</t>
        </is>
      </c>
      <c r="L585" t="inlineStr"/>
      <c r="M585" t="inlineStr"/>
      <c r="N585" t="inlineStr"/>
      <c r="O585" t="inlineStr"/>
      <c r="P585" t="inlineStr">
        <is>
          <t>pending</t>
        </is>
      </c>
      <c r="Q585" t="inlineStr"/>
      <c r="R585" t="inlineStr"/>
      <c r="S585" t="inlineStr"/>
      <c r="T585" t="inlineStr">
        <is>
          <t>Mapillary: 2 posted 30 mph sign(s) detected</t>
        </is>
      </c>
      <c r="U585" t="inlineStr">
        <is>
          <t>https://www.mapillary.com/app/?lat=32.728000&amp;lng=-117.248480&amp;z=19&amp;focus=map&amp;mapFeatureId=626297946700822</t>
        </is>
      </c>
      <c r="V585">
        <f>IF(OR(L585="",S585=""),"",IF(VALUE(L585)=VALUE(S585),"Y","N"))</f>
        <v/>
      </c>
      <c r="W585">
        <f>IF(V585="Y",S585,"")</f>
        <v/>
      </c>
      <c r="X585" t="inlineStr">
        <is>
          <t>unverified: map has 30 mph (one Mapillary sign); is it 25 (carts OK) or 30+?</t>
        </is>
      </c>
      <c r="Y585" t="inlineStr"/>
      <c r="Z585" t="n">
        <v>2533</v>
      </c>
      <c r="AA585" t="inlineStr">
        <is>
          <t>sd</t>
        </is>
      </c>
      <c r="AB585" t="inlineStr">
        <is>
          <t>sd|32.72472,-117.24603</t>
        </is>
      </c>
    </row>
    <row r="586">
      <c r="A586" t="inlineStr">
        <is>
          <t>SD-B2-585</t>
        </is>
      </c>
      <c r="B586" t="inlineStr">
        <is>
          <t>San Diego area</t>
        </is>
      </c>
      <c r="C586" t="inlineStr">
        <is>
          <t>Narragansett Avenue</t>
        </is>
      </c>
      <c r="D586" t="inlineStr">
        <is>
          <t>Cable Street</t>
        </is>
      </c>
      <c r="E586" t="inlineStr">
        <is>
          <t>Sunset Cliffs Boulevard</t>
        </is>
      </c>
      <c r="F586" t="inlineStr">
        <is>
          <t>6047500</t>
        </is>
      </c>
      <c r="G586" t="n">
        <v>25</v>
      </c>
      <c r="H586" t="inlineStr">
        <is>
          <t>mapillary</t>
        </is>
      </c>
      <c r="I586" t="inlineStr">
        <is>
          <t>cart+LSV</t>
        </is>
      </c>
      <c r="J586" t="inlineStr">
        <is>
          <t>https://www.google.com/maps/@?api=1&amp;map_action=pano&amp;viewpoint=32.736020,-117.236790&amp;heading=144</t>
        </is>
      </c>
      <c r="K586" t="inlineStr">
        <is>
          <t>https://www.google.com/maps/search/?api=1&amp;query=32.736020,-117.236790</t>
        </is>
      </c>
      <c r="L586" t="inlineStr"/>
      <c r="M586" t="inlineStr"/>
      <c r="N586" t="inlineStr"/>
      <c r="O586" t="inlineStr"/>
      <c r="P586" t="inlineStr">
        <is>
          <t>pending</t>
        </is>
      </c>
      <c r="Q586" t="inlineStr"/>
      <c r="R586" t="inlineStr"/>
      <c r="S586" t="inlineStr"/>
      <c r="T586" t="inlineStr">
        <is>
          <t>Mapillary: 3 posted 25 mph sign(s) detected</t>
        </is>
      </c>
      <c r="U586" t="inlineStr">
        <is>
          <t>https://www.mapillary.com/app/?lat=32.740930&amp;lng=-117.245476&amp;z=19&amp;focus=map&amp;mapFeatureId=2383249768677334</t>
        </is>
      </c>
      <c r="V586">
        <f>IF(OR(L586="",S586=""),"",IF(VALUE(L586)=VALUE(S586),"Y","N"))</f>
        <v/>
      </c>
      <c r="W586">
        <f>IF(V586="Y",S586,"")</f>
        <v/>
      </c>
      <c r="X586" t="inlineStr">
        <is>
          <t>unverified: map has 25 mph (one Mapillary sign); is it 25 (carts OK) or 30+?</t>
        </is>
      </c>
      <c r="Y586" t="inlineStr"/>
      <c r="Z586" t="n">
        <v>1949</v>
      </c>
      <c r="AA586" t="inlineStr">
        <is>
          <t>sd</t>
        </is>
      </c>
      <c r="AB586" t="inlineStr">
        <is>
          <t>sd|32.73602,-117.23679</t>
        </is>
      </c>
    </row>
    <row r="587">
      <c r="A587" t="inlineStr">
        <is>
          <t>SD-B2-586</t>
        </is>
      </c>
      <c r="B587" t="inlineStr">
        <is>
          <t>San Diego area</t>
        </is>
      </c>
      <c r="C587" t="inlineStr">
        <is>
          <t>Riviera Drive</t>
        </is>
      </c>
      <c r="D587" t="inlineStr">
        <is>
          <t>Edge Cliff Drive</t>
        </is>
      </c>
      <c r="E587" t="inlineStr">
        <is>
          <t>La Cima Drive</t>
        </is>
      </c>
      <c r="F587" t="inlineStr">
        <is>
          <t>699036349</t>
        </is>
      </c>
      <c r="G587" t="n">
        <v>25</v>
      </c>
      <c r="H587" t="inlineStr">
        <is>
          <t>mapillary</t>
        </is>
      </c>
      <c r="I587" t="inlineStr">
        <is>
          <t>cart+LSV</t>
        </is>
      </c>
      <c r="J587" t="inlineStr">
        <is>
          <t>https://www.google.com/maps/@?api=1&amp;map_action=pano&amp;viewpoint=32.786540,-117.239710&amp;heading=359</t>
        </is>
      </c>
      <c r="K587" t="inlineStr">
        <is>
          <t>https://www.google.com/maps/search/?api=1&amp;query=32.786540,-117.239710</t>
        </is>
      </c>
      <c r="L587" t="inlineStr"/>
      <c r="M587" t="inlineStr"/>
      <c r="N587" t="inlineStr"/>
      <c r="O587" t="inlineStr"/>
      <c r="P587" t="inlineStr">
        <is>
          <t>pending</t>
        </is>
      </c>
      <c r="Q587" t="inlineStr"/>
      <c r="R587" t="inlineStr"/>
      <c r="S587" t="inlineStr"/>
      <c r="T587" t="inlineStr">
        <is>
          <t>Mapillary: 8 posted 25 mph sign(s) detected</t>
        </is>
      </c>
      <c r="U587" t="inlineStr">
        <is>
          <t>https://www.mapillary.com/app/?lat=32.790474&amp;lng=-117.241010&amp;z=19&amp;focus=map&amp;mapFeatureId=2905820272967523</t>
        </is>
      </c>
      <c r="V587">
        <f>IF(OR(L587="",S587=""),"",IF(VALUE(L587)=VALUE(S587),"Y","N"))</f>
        <v/>
      </c>
      <c r="W587">
        <f>IF(V587="Y",S587,"")</f>
        <v/>
      </c>
      <c r="X587" t="inlineStr">
        <is>
          <t>unverified: map has 25 mph (one Mapillary sign); is it 25 (carts OK) or 30+?</t>
        </is>
      </c>
      <c r="Y587" t="inlineStr"/>
      <c r="Z587" t="n">
        <v>1671</v>
      </c>
      <c r="AA587" t="inlineStr">
        <is>
          <t>sd</t>
        </is>
      </c>
      <c r="AB587" t="inlineStr">
        <is>
          <t>sd|32.78654,-117.23971</t>
        </is>
      </c>
    </row>
    <row r="588">
      <c r="A588" t="inlineStr">
        <is>
          <t>SD-B2-587</t>
        </is>
      </c>
      <c r="B588" t="inlineStr">
        <is>
          <t>San Diego area</t>
        </is>
      </c>
      <c r="C588" t="inlineStr">
        <is>
          <t>Pacific Beach Drive</t>
        </is>
      </c>
      <c r="D588" t="inlineStr">
        <is>
          <t>Haines Street</t>
        </is>
      </c>
      <c r="E588" t="inlineStr">
        <is>
          <t>Dawes Street</t>
        </is>
      </c>
      <c r="F588" t="inlineStr">
        <is>
          <t>5970179</t>
        </is>
      </c>
      <c r="G588" t="n">
        <v>25</v>
      </c>
      <c r="H588" t="inlineStr">
        <is>
          <t>mapillary</t>
        </is>
      </c>
      <c r="I588" t="inlineStr">
        <is>
          <t>cart+LSV</t>
        </is>
      </c>
      <c r="J588" t="inlineStr">
        <is>
          <t>https://www.google.com/maps/@?api=1&amp;map_action=pano&amp;viewpoint=32.793165,-117.243725&amp;heading=76</t>
        </is>
      </c>
      <c r="K588" t="inlineStr">
        <is>
          <t>https://www.google.com/maps/search/?api=1&amp;query=32.793165,-117.243725</t>
        </is>
      </c>
      <c r="L588" t="inlineStr"/>
      <c r="M588" t="inlineStr"/>
      <c r="N588" t="inlineStr"/>
      <c r="O588" t="inlineStr"/>
      <c r="P588" t="inlineStr">
        <is>
          <t>pending</t>
        </is>
      </c>
      <c r="Q588" t="inlineStr"/>
      <c r="R588" t="inlineStr"/>
      <c r="S588" t="inlineStr"/>
      <c r="T588" t="inlineStr">
        <is>
          <t>Mapillary: 3 posted 25 mph sign(s) detected</t>
        </is>
      </c>
      <c r="U588" t="inlineStr">
        <is>
          <t>https://www.mapillary.com/app/?lat=32.793583&amp;lng=-117.242320&amp;z=19&amp;focus=map&amp;mapFeatureId=2030467043774310</t>
        </is>
      </c>
      <c r="V588">
        <f>IF(OR(L588="",S588=""),"",IF(VALUE(L588)=VALUE(S588),"Y","N"))</f>
        <v/>
      </c>
      <c r="W588">
        <f>IF(V588="Y",S588,"")</f>
        <v/>
      </c>
      <c r="X588" t="inlineStr">
        <is>
          <t>unverified: map has 25 mph (one Mapillary sign); is it 25 (carts OK) or 30+?</t>
        </is>
      </c>
      <c r="Y588" t="inlineStr"/>
      <c r="Z588" t="n">
        <v>1789</v>
      </c>
      <c r="AA588" t="inlineStr">
        <is>
          <t>sd</t>
        </is>
      </c>
      <c r="AB588" t="inlineStr">
        <is>
          <t>sd|32.79317,-117.24373</t>
        </is>
      </c>
    </row>
    <row r="589">
      <c r="A589" t="inlineStr">
        <is>
          <t>SD-B2-588</t>
        </is>
      </c>
      <c r="B589" t="inlineStr">
        <is>
          <t>San Diego area</t>
        </is>
      </c>
      <c r="C589" t="inlineStr">
        <is>
          <t>Country Club Drive</t>
        </is>
      </c>
      <c r="D589" t="inlineStr">
        <is>
          <t>Romero Drive</t>
        </is>
      </c>
      <c r="E589" t="inlineStr">
        <is>
          <t>Mimulus Way</t>
        </is>
      </c>
      <c r="F589" t="inlineStr">
        <is>
          <t>5959099</t>
        </is>
      </c>
      <c r="G589" t="n">
        <v>25</v>
      </c>
      <c r="H589" t="inlineStr">
        <is>
          <t>mapillary</t>
        </is>
      </c>
      <c r="I589" t="inlineStr">
        <is>
          <t>cart+LSV</t>
        </is>
      </c>
      <c r="J589" t="inlineStr">
        <is>
          <t>https://www.google.com/maps/@?api=1&amp;map_action=pano&amp;viewpoint=32.837360,-117.261270&amp;heading=321</t>
        </is>
      </c>
      <c r="K589" t="inlineStr">
        <is>
          <t>https://www.google.com/maps/search/?api=1&amp;query=32.837360,-117.261270</t>
        </is>
      </c>
      <c r="L589" t="inlineStr"/>
      <c r="M589" t="inlineStr"/>
      <c r="N589" t="inlineStr"/>
      <c r="O589" t="inlineStr"/>
      <c r="P589" t="inlineStr">
        <is>
          <t>pending</t>
        </is>
      </c>
      <c r="Q589" t="inlineStr"/>
      <c r="R589" t="inlineStr"/>
      <c r="S589" t="inlineStr"/>
      <c r="T589" t="inlineStr">
        <is>
          <t>Mapillary: 1 posted 25 mph sign(s) detected</t>
        </is>
      </c>
      <c r="U589" t="inlineStr">
        <is>
          <t>https://www.mapillary.com/app/?lat=32.841255&amp;lng=-117.262520&amp;z=19&amp;focus=map&amp;mapFeatureId=1160301909120105</t>
        </is>
      </c>
      <c r="V589">
        <f>IF(OR(L589="",S589=""),"",IF(VALUE(L589)=VALUE(S589),"Y","N"))</f>
        <v/>
      </c>
      <c r="W589">
        <f>IF(V589="Y",S589,"")</f>
        <v/>
      </c>
      <c r="X589" t="inlineStr">
        <is>
          <t>unverified: map has 25 mph (one Mapillary sign); is it 25 (carts OK) or 30+?</t>
        </is>
      </c>
      <c r="Y589" t="inlineStr"/>
      <c r="Z589" t="n">
        <v>1555</v>
      </c>
      <c r="AA589" t="inlineStr">
        <is>
          <t>sd</t>
        </is>
      </c>
      <c r="AB589" t="inlineStr">
        <is>
          <t>sd|32.83736,-117.26127</t>
        </is>
      </c>
    </row>
    <row r="590">
      <c r="A590" t="inlineStr">
        <is>
          <t>SD-B2-589</t>
        </is>
      </c>
      <c r="B590" t="inlineStr">
        <is>
          <t>San Diego area</t>
        </is>
      </c>
      <c r="C590" t="inlineStr">
        <is>
          <t>Via Capri</t>
        </is>
      </c>
      <c r="D590" t="inlineStr">
        <is>
          <t>Rue Michael</t>
        </is>
      </c>
      <c r="E590" t="inlineStr">
        <is>
          <t>La Jolla Scenic Drive South</t>
        </is>
      </c>
      <c r="F590" t="inlineStr">
        <is>
          <t>1387674588</t>
        </is>
      </c>
      <c r="G590" t="n">
        <v>25</v>
      </c>
      <c r="H590" t="inlineStr">
        <is>
          <t>mapillary</t>
        </is>
      </c>
      <c r="I590" t="inlineStr">
        <is>
          <t>cart+LSV</t>
        </is>
      </c>
      <c r="J590" t="inlineStr">
        <is>
          <t>https://www.google.com/maps/@?api=1&amp;map_action=pano&amp;viewpoint=32.839550,-117.248540&amp;heading=292</t>
        </is>
      </c>
      <c r="K590" t="inlineStr">
        <is>
          <t>https://www.google.com/maps/search/?api=1&amp;query=32.839550,-117.248540</t>
        </is>
      </c>
      <c r="L590" t="inlineStr"/>
      <c r="M590" t="inlineStr"/>
      <c r="N590" t="inlineStr"/>
      <c r="O590" t="inlineStr"/>
      <c r="P590" t="inlineStr">
        <is>
          <t>pending</t>
        </is>
      </c>
      <c r="Q590" t="inlineStr"/>
      <c r="R590" t="inlineStr"/>
      <c r="S590" t="inlineStr"/>
      <c r="T590" t="inlineStr">
        <is>
          <t>Mapillary: 2 posted 25 mph sign(s) detected</t>
        </is>
      </c>
      <c r="U590" t="inlineStr">
        <is>
          <t>https://www.mapillary.com/app/?lat=32.839687&amp;lng=-117.248450&amp;z=19&amp;focus=map&amp;mapFeatureId=1011025594285542</t>
        </is>
      </c>
      <c r="V590">
        <f>IF(OR(L590="",S590=""),"",IF(VALUE(L590)=VALUE(S590),"Y","N"))</f>
        <v/>
      </c>
      <c r="W590">
        <f>IF(V590="Y",S590,"")</f>
        <v/>
      </c>
      <c r="X590" t="inlineStr">
        <is>
          <t>unverified: map has 25 mph (one Mapillary sign); is it 25 (carts OK) or 30+?</t>
        </is>
      </c>
      <c r="Y590" t="inlineStr"/>
      <c r="Z590" t="n">
        <v>1931</v>
      </c>
      <c r="AA590" t="inlineStr">
        <is>
          <t>sd</t>
        </is>
      </c>
      <c r="AB590" t="inlineStr">
        <is>
          <t>sd|32.83955,-117.24854</t>
        </is>
      </c>
    </row>
    <row r="591">
      <c r="A591" t="inlineStr">
        <is>
          <t>SD-B2-590</t>
        </is>
      </c>
      <c r="B591" t="inlineStr">
        <is>
          <t>San Diego area</t>
        </is>
      </c>
      <c r="C591" t="inlineStr">
        <is>
          <t>Soledad Road</t>
        </is>
      </c>
      <c r="D591" t="inlineStr">
        <is>
          <t>Park Drive</t>
        </is>
      </c>
      <c r="E591" t="inlineStr">
        <is>
          <t>Soledad Mountain Road</t>
        </is>
      </c>
      <c r="F591" t="inlineStr">
        <is>
          <t>5970747</t>
        </is>
      </c>
      <c r="G591" t="n">
        <v>35</v>
      </c>
      <c r="H591" t="inlineStr">
        <is>
          <t>mapillary</t>
        </is>
      </c>
      <c r="I591" t="inlineStr">
        <is>
          <t>LSV</t>
        </is>
      </c>
      <c r="J591" t="inlineStr">
        <is>
          <t>https://www.google.com/maps/@?api=1&amp;map_action=pano&amp;viewpoint=32.817030,-117.241890&amp;heading=359</t>
        </is>
      </c>
      <c r="K591" t="inlineStr">
        <is>
          <t>https://www.google.com/maps/search/?api=1&amp;query=32.817030,-117.241890</t>
        </is>
      </c>
      <c r="L591" t="inlineStr"/>
      <c r="M591" t="inlineStr"/>
      <c r="N591" t="inlineStr"/>
      <c r="O591" t="inlineStr"/>
      <c r="P591" t="inlineStr">
        <is>
          <t>pending</t>
        </is>
      </c>
      <c r="Q591" t="inlineStr"/>
      <c r="R591" t="inlineStr"/>
      <c r="S591" t="inlineStr"/>
      <c r="T591" t="inlineStr">
        <is>
          <t>Mapillary: 4 posted 35 mph sign(s) detected</t>
        </is>
      </c>
      <c r="U591" t="inlineStr">
        <is>
          <t>https://www.mapillary.com/app/?lat=32.815834&amp;lng=-117.241720&amp;z=19&amp;focus=map&amp;mapFeatureId=9502956353069937</t>
        </is>
      </c>
      <c r="V591">
        <f>IF(OR(L591="",S591=""),"",IF(VALUE(L591)=VALUE(S591),"Y","N"))</f>
        <v/>
      </c>
      <c r="W591">
        <f>IF(V591="Y",S591,"")</f>
        <v/>
      </c>
      <c r="X591" t="inlineStr">
        <is>
          <t>unverified: map has 35 mph (one Mapillary sign); is it 35 (LSV OK) or 40+?</t>
        </is>
      </c>
      <c r="Y591" t="inlineStr"/>
      <c r="Z591" t="n">
        <v>1865</v>
      </c>
      <c r="AA591" t="inlineStr">
        <is>
          <t>sd</t>
        </is>
      </c>
      <c r="AB591" t="inlineStr">
        <is>
          <t>sd|32.81703,-117.24189</t>
        </is>
      </c>
    </row>
    <row r="592">
      <c r="A592" t="inlineStr">
        <is>
          <t>SD-B2-591</t>
        </is>
      </c>
      <c r="B592" t="inlineStr">
        <is>
          <t>San Diego area</t>
        </is>
      </c>
      <c r="C592" t="inlineStr">
        <is>
          <t>Jutland Drive</t>
        </is>
      </c>
      <c r="D592" t="inlineStr">
        <is>
          <t>Morena Boulevard</t>
        </is>
      </c>
      <c r="E592" t="inlineStr">
        <is>
          <t>Massasoit Avenue</t>
        </is>
      </c>
      <c r="F592" t="inlineStr">
        <is>
          <t>6046057</t>
        </is>
      </c>
      <c r="G592" t="n">
        <v>25</v>
      </c>
      <c r="H592" t="inlineStr">
        <is>
          <t>mapillary</t>
        </is>
      </c>
      <c r="I592" t="inlineStr">
        <is>
          <t>cart+LSV</t>
        </is>
      </c>
      <c r="J592" t="inlineStr">
        <is>
          <t>https://www.google.com/maps/@?api=1&amp;map_action=pano&amp;viewpoint=32.825090,-117.226130&amp;heading=93</t>
        </is>
      </c>
      <c r="K592" t="inlineStr">
        <is>
          <t>https://www.google.com/maps/search/?api=1&amp;query=32.825090,-117.226130</t>
        </is>
      </c>
      <c r="L592" t="inlineStr"/>
      <c r="M592" t="inlineStr"/>
      <c r="N592" t="inlineStr"/>
      <c r="O592" t="inlineStr"/>
      <c r="P592" t="inlineStr">
        <is>
          <t>pending</t>
        </is>
      </c>
      <c r="Q592" t="inlineStr"/>
      <c r="R592" t="inlineStr"/>
      <c r="S592" t="inlineStr"/>
      <c r="T592" t="inlineStr">
        <is>
          <t>Mapillary: 5 posted 25 mph sign(s) detected</t>
        </is>
      </c>
      <c r="U592" t="inlineStr">
        <is>
          <t>https://www.mapillary.com/app/?lat=32.828396&amp;lng=-117.220880&amp;z=19&amp;focus=map&amp;mapFeatureId=9268157009886268</t>
        </is>
      </c>
      <c r="V592">
        <f>IF(OR(L592="",S592=""),"",IF(VALUE(L592)=VALUE(S592),"Y","N"))</f>
        <v/>
      </c>
      <c r="W592">
        <f>IF(V592="Y",S592,"")</f>
        <v/>
      </c>
      <c r="X592" t="inlineStr">
        <is>
          <t>unverified: map has 25 mph (one Mapillary sign); is it 25 (carts OK) or 30+?</t>
        </is>
      </c>
      <c r="Y592" t="inlineStr"/>
      <c r="Z592" t="n">
        <v>1738</v>
      </c>
      <c r="AA592" t="inlineStr">
        <is>
          <t>sd</t>
        </is>
      </c>
      <c r="AB592" t="inlineStr">
        <is>
          <t>sd|32.82509,-117.22613</t>
        </is>
      </c>
    </row>
    <row r="593">
      <c r="A593" t="inlineStr">
        <is>
          <t>SD-B2-592</t>
        </is>
      </c>
      <c r="B593" t="inlineStr">
        <is>
          <t>San Diego area</t>
        </is>
      </c>
      <c r="C593" t="inlineStr">
        <is>
          <t>Highland Drive</t>
        </is>
      </c>
      <c r="D593" t="inlineStr">
        <is>
          <t>Marine View Avenue</t>
        </is>
      </c>
      <c r="E593" t="inlineStr">
        <is>
          <t>North Lane</t>
        </is>
      </c>
      <c r="F593" t="inlineStr">
        <is>
          <t>837273681</t>
        </is>
      </c>
      <c r="G593" t="n">
        <v>25</v>
      </c>
      <c r="H593" t="inlineStr">
        <is>
          <t>mapillary</t>
        </is>
      </c>
      <c r="I593" t="inlineStr">
        <is>
          <t>cart+LSV</t>
        </is>
      </c>
      <c r="J593" t="inlineStr">
        <is>
          <t>https://www.google.com/maps/@?api=1&amp;map_action=pano&amp;viewpoint=32.989890,-117.244160&amp;heading=107</t>
        </is>
      </c>
      <c r="K593" t="inlineStr">
        <is>
          <t>https://www.google.com/maps/search/?api=1&amp;query=32.989890,-117.244160</t>
        </is>
      </c>
      <c r="L593" t="inlineStr"/>
      <c r="M593" t="inlineStr"/>
      <c r="N593" t="inlineStr"/>
      <c r="O593" t="inlineStr"/>
      <c r="P593" t="inlineStr">
        <is>
          <t>pending</t>
        </is>
      </c>
      <c r="Q593" t="inlineStr"/>
      <c r="R593" t="inlineStr"/>
      <c r="S593" t="inlineStr"/>
      <c r="T593" t="inlineStr">
        <is>
          <t>Mapillary: 3 posted 25 mph sign(s) detected</t>
        </is>
      </c>
      <c r="U593" t="inlineStr">
        <is>
          <t>https://www.mapillary.com/app/?lat=32.990517&amp;lng=-117.247055&amp;z=19&amp;focus=map&amp;mapFeatureId=4345063882281770</t>
        </is>
      </c>
      <c r="V593">
        <f>IF(OR(L593="",S593=""),"",IF(VALUE(L593)=VALUE(S593),"Y","N"))</f>
        <v/>
      </c>
      <c r="W593">
        <f>IF(V593="Y",S593,"")</f>
        <v/>
      </c>
      <c r="X593" t="inlineStr">
        <is>
          <t>unverified: map has 25 mph (one Mapillary sign); is it 25 (carts OK) or 30+?</t>
        </is>
      </c>
      <c r="Y593" t="inlineStr"/>
      <c r="Z593" t="n">
        <v>1574</v>
      </c>
      <c r="AA593" t="inlineStr">
        <is>
          <t>sd</t>
        </is>
      </c>
      <c r="AB593" t="inlineStr">
        <is>
          <t>sd|32.98989,-117.24416</t>
        </is>
      </c>
    </row>
    <row r="594">
      <c r="A594" t="inlineStr">
        <is>
          <t>SD-B2-593</t>
        </is>
      </c>
      <c r="B594" t="inlineStr">
        <is>
          <t>San Diego area</t>
        </is>
      </c>
      <c r="C594" t="inlineStr">
        <is>
          <t>Via de Fortuna</t>
        </is>
      </c>
      <c r="D594" t="inlineStr">
        <is>
          <t>El Mirlo</t>
        </is>
      </c>
      <c r="E594" t="inlineStr">
        <is>
          <t>El Camino del Norte</t>
        </is>
      </c>
      <c r="F594" t="inlineStr">
        <is>
          <t>5971877</t>
        </is>
      </c>
      <c r="G594" t="n">
        <v>35</v>
      </c>
      <c r="H594" t="inlineStr">
        <is>
          <t>mapillary</t>
        </is>
      </c>
      <c r="I594" t="inlineStr">
        <is>
          <t>LSV</t>
        </is>
      </c>
      <c r="J594" t="inlineStr">
        <is>
          <t>https://www.google.com/maps/@?api=1&amp;map_action=pano&amp;viewpoint=33.042110,-117.209180&amp;heading=349</t>
        </is>
      </c>
      <c r="K594" t="inlineStr">
        <is>
          <t>https://www.google.com/maps/search/?api=1&amp;query=33.042110,-117.209180</t>
        </is>
      </c>
      <c r="L594" t="inlineStr"/>
      <c r="M594" t="inlineStr"/>
      <c r="N594" t="inlineStr"/>
      <c r="O594" t="inlineStr"/>
      <c r="P594" t="inlineStr">
        <is>
          <t>pending</t>
        </is>
      </c>
      <c r="Q594" t="inlineStr"/>
      <c r="R594" t="inlineStr"/>
      <c r="S594" t="inlineStr"/>
      <c r="T594" t="inlineStr">
        <is>
          <t>Mapillary: 3 posted 35 mph sign(s) detected</t>
        </is>
      </c>
      <c r="U594" t="inlineStr">
        <is>
          <t>https://www.mapillary.com/app/?lat=33.039730&amp;lng=-117.210760&amp;z=19&amp;focus=map&amp;mapFeatureId=1066820260791782</t>
        </is>
      </c>
      <c r="V594">
        <f>IF(OR(L594="",S594=""),"",IF(VALUE(L594)=VALUE(S594),"Y","N"))</f>
        <v/>
      </c>
      <c r="W594">
        <f>IF(V594="Y",S594,"")</f>
        <v/>
      </c>
      <c r="X594" t="inlineStr">
        <is>
          <t>unverified: map has 35 mph (one Mapillary sign); is it 35 (LSV OK) or 40+?</t>
        </is>
      </c>
      <c r="Y594" t="inlineStr"/>
      <c r="Z594" t="n">
        <v>1667</v>
      </c>
      <c r="AA594" t="inlineStr">
        <is>
          <t>sd</t>
        </is>
      </c>
      <c r="AB594" t="inlineStr">
        <is>
          <t>sd|33.04211,-117.20918</t>
        </is>
      </c>
    </row>
    <row r="595">
      <c r="A595" t="inlineStr">
        <is>
          <t>SD-B2-594</t>
        </is>
      </c>
      <c r="B595" t="inlineStr">
        <is>
          <t>San Diego area</t>
        </is>
      </c>
      <c r="C595" t="inlineStr">
        <is>
          <t>El Mirlo</t>
        </is>
      </c>
      <c r="D595" t="inlineStr">
        <is>
          <t>La Bajada</t>
        </is>
      </c>
      <c r="E595" t="inlineStr">
        <is>
          <t>Via de Fortuna</t>
        </is>
      </c>
      <c r="F595" t="inlineStr">
        <is>
          <t>5975464</t>
        </is>
      </c>
      <c r="G595" t="n">
        <v>35</v>
      </c>
      <c r="H595" t="inlineStr">
        <is>
          <t>mapillary</t>
        </is>
      </c>
      <c r="I595" t="inlineStr">
        <is>
          <t>LSV</t>
        </is>
      </c>
      <c r="J595" t="inlineStr">
        <is>
          <t>https://www.google.com/maps/@?api=1&amp;map_action=pano&amp;viewpoint=33.036270,-117.223510&amp;heading=89</t>
        </is>
      </c>
      <c r="K595" t="inlineStr">
        <is>
          <t>https://www.google.com/maps/search/?api=1&amp;query=33.036270,-117.223510</t>
        </is>
      </c>
      <c r="L595" t="inlineStr"/>
      <c r="M595" t="inlineStr"/>
      <c r="N595" t="inlineStr"/>
      <c r="O595" t="inlineStr"/>
      <c r="P595" t="inlineStr">
        <is>
          <t>pending</t>
        </is>
      </c>
      <c r="Q595" t="inlineStr"/>
      <c r="R595" t="inlineStr"/>
      <c r="S595" t="inlineStr"/>
      <c r="T595" t="inlineStr">
        <is>
          <t>Mapillary: 7 posted 35 mph sign(s) detected</t>
        </is>
      </c>
      <c r="U595" t="inlineStr">
        <is>
          <t>https://www.mapillary.com/app/?lat=33.035748&amp;lng=-117.222176&amp;z=19&amp;focus=map&amp;mapFeatureId=1274180389724495</t>
        </is>
      </c>
      <c r="V595">
        <f>IF(OR(L595="",S595=""),"",IF(VALUE(L595)=VALUE(S595),"Y","N"))</f>
        <v/>
      </c>
      <c r="W595">
        <f>IF(V595="Y",S595,"")</f>
        <v/>
      </c>
      <c r="X595" t="inlineStr">
        <is>
          <t>unverified: map has 35 mph (one Mapillary sign); is it 35 (LSV OK) or 40+?</t>
        </is>
      </c>
      <c r="Y595" t="inlineStr"/>
      <c r="Z595" t="n">
        <v>1652</v>
      </c>
      <c r="AA595" t="inlineStr">
        <is>
          <t>sd</t>
        </is>
      </c>
      <c r="AB595" t="inlineStr">
        <is>
          <t>sd|33.03627,-117.22351</t>
        </is>
      </c>
    </row>
    <row r="596">
      <c r="A596" t="inlineStr">
        <is>
          <t>SD-B2-595</t>
        </is>
      </c>
      <c r="B596" t="inlineStr">
        <is>
          <t>San Diego area</t>
        </is>
      </c>
      <c r="C596" t="inlineStr">
        <is>
          <t>Rambla de Las Flores</t>
        </is>
      </c>
      <c r="D596" t="inlineStr">
        <is>
          <t>La Granada</t>
        </is>
      </c>
      <c r="E596" t="inlineStr">
        <is>
          <t>Linea del Cielo</t>
        </is>
      </c>
      <c r="F596" t="inlineStr">
        <is>
          <t>6011651</t>
        </is>
      </c>
      <c r="G596" t="n">
        <v>40</v>
      </c>
      <c r="H596" t="inlineStr">
        <is>
          <t>mapillary</t>
        </is>
      </c>
      <c r="I596" t="inlineStr">
        <is>
          <t>no</t>
        </is>
      </c>
      <c r="J596" t="inlineStr">
        <is>
          <t>https://www.google.com/maps/@?api=1&amp;map_action=pano&amp;viewpoint=33.021470,-117.228430&amp;heading=196</t>
        </is>
      </c>
      <c r="K596" t="inlineStr">
        <is>
          <t>https://www.google.com/maps/search/?api=1&amp;query=33.021470,-117.228430</t>
        </is>
      </c>
      <c r="L596" t="inlineStr"/>
      <c r="M596" t="inlineStr"/>
      <c r="N596" t="inlineStr"/>
      <c r="O596" t="inlineStr"/>
      <c r="P596" t="inlineStr">
        <is>
          <t>pending</t>
        </is>
      </c>
      <c r="Q596" t="inlineStr"/>
      <c r="R596" t="inlineStr"/>
      <c r="S596" t="inlineStr"/>
      <c r="T596" t="inlineStr">
        <is>
          <t>Mapillary: 8 posted 40 mph sign(s) detected</t>
        </is>
      </c>
      <c r="U596" t="inlineStr">
        <is>
          <t>https://www.mapillary.com/app/?lat=33.015568&amp;lng=-117.229780&amp;z=19&amp;focus=map&amp;mapFeatureId=1250307733121170</t>
        </is>
      </c>
      <c r="V596">
        <f>IF(OR(L596="",S596=""),"",IF(VALUE(L596)=VALUE(S596),"Y","N"))</f>
        <v/>
      </c>
      <c r="W596">
        <f>IF(V596="Y",S596,"")</f>
        <v/>
      </c>
      <c r="X596" t="inlineStr">
        <is>
          <t>unverified: map has 40 mph (one Mapillary sign); is it 35 (LSV OK) or 40+?</t>
        </is>
      </c>
      <c r="Y596" t="inlineStr"/>
      <c r="Z596" t="n">
        <v>2540</v>
      </c>
      <c r="AA596" t="inlineStr">
        <is>
          <t>sd</t>
        </is>
      </c>
      <c r="AB596" t="inlineStr">
        <is>
          <t>sd|33.02147,-117.22843</t>
        </is>
      </c>
    </row>
    <row r="597">
      <c r="A597" t="inlineStr">
        <is>
          <t>SD-B2-596</t>
        </is>
      </c>
      <c r="B597" t="inlineStr">
        <is>
          <t>San Diego area</t>
        </is>
      </c>
      <c r="C597" t="inlineStr">
        <is>
          <t>El Camino Real</t>
        </is>
      </c>
      <c r="D597" t="inlineStr">
        <is>
          <t>Linea del Cielo</t>
        </is>
      </c>
      <c r="E597" t="inlineStr">
        <is>
          <t>El Nido</t>
        </is>
      </c>
      <c r="F597" t="inlineStr">
        <is>
          <t>1083671947</t>
        </is>
      </c>
      <c r="G597" t="n">
        <v>45</v>
      </c>
      <c r="H597" t="inlineStr">
        <is>
          <t>tag</t>
        </is>
      </c>
      <c r="I597" t="inlineStr">
        <is>
          <t>no</t>
        </is>
      </c>
      <c r="J597" t="inlineStr">
        <is>
          <t>https://www.google.com/maps/@?api=1&amp;map_action=pano&amp;viewpoint=33.002400,-117.228540&amp;heading=272</t>
        </is>
      </c>
      <c r="K597" t="inlineStr">
        <is>
          <t>https://www.google.com/maps/search/?api=1&amp;query=33.002400,-117.228540</t>
        </is>
      </c>
      <c r="L597" t="inlineStr"/>
      <c r="M597" t="inlineStr"/>
      <c r="N597" t="inlineStr"/>
      <c r="O597" t="inlineStr"/>
      <c r="P597" t="inlineStr">
        <is>
          <t>pending</t>
        </is>
      </c>
      <c r="Q597" t="inlineStr"/>
      <c r="R597" t="inlineStr"/>
      <c r="S597" t="inlineStr"/>
      <c r="T597" t="inlineStr"/>
      <c r="U597" t="inlineStr"/>
      <c r="V597">
        <f>IF(OR(L597="",S597=""),"",IF(VALUE(L597)=VALUE(S597),"Y","N"))</f>
        <v/>
      </c>
      <c r="W597">
        <f>IF(V597="Y",S597,"")</f>
        <v/>
      </c>
      <c r="X597" t="inlineStr">
        <is>
          <t>unverified: map has 45 mph (OSM tag only); main road: what is posted? 35 or lower opens it to LSVs</t>
        </is>
      </c>
      <c r="Y597" t="inlineStr"/>
      <c r="Z597" t="n">
        <v>957</v>
      </c>
      <c r="AA597" t="inlineStr">
        <is>
          <t>sd</t>
        </is>
      </c>
      <c r="AB597" t="inlineStr">
        <is>
          <t>sd|33.00240,-117.22854</t>
        </is>
      </c>
    </row>
    <row r="598">
      <c r="A598" t="inlineStr">
        <is>
          <t>SD-B2-597</t>
        </is>
      </c>
      <c r="B598" t="inlineStr">
        <is>
          <t>San Diego area</t>
        </is>
      </c>
      <c r="C598" t="inlineStr">
        <is>
          <t>Poinsettia Lane</t>
        </is>
      </c>
      <c r="D598" t="inlineStr">
        <is>
          <t>(see map link)</t>
        </is>
      </c>
      <c r="E598" t="inlineStr">
        <is>
          <t>Paseo del Norte</t>
        </is>
      </c>
      <c r="F598" t="inlineStr">
        <is>
          <t>655532953</t>
        </is>
      </c>
      <c r="G598" t="n">
        <v>35</v>
      </c>
      <c r="H598" t="inlineStr">
        <is>
          <t>tag</t>
        </is>
      </c>
      <c r="I598" t="inlineStr">
        <is>
          <t>LSV</t>
        </is>
      </c>
      <c r="J598" t="inlineStr">
        <is>
          <t>https://www.google.com/maps/@?api=1&amp;map_action=pano&amp;viewpoint=33.102630,-117.314690&amp;heading=255</t>
        </is>
      </c>
      <c r="K598" t="inlineStr">
        <is>
          <t>https://www.google.com/maps/search/?api=1&amp;query=33.102630,-117.314690</t>
        </is>
      </c>
      <c r="L598" t="inlineStr"/>
      <c r="M598" t="inlineStr"/>
      <c r="N598" t="inlineStr"/>
      <c r="O598" t="inlineStr"/>
      <c r="P598" t="inlineStr">
        <is>
          <t>pending</t>
        </is>
      </c>
      <c r="Q598" t="inlineStr"/>
      <c r="R598" t="inlineStr"/>
      <c r="S598" t="inlineStr"/>
      <c r="T598" t="inlineStr"/>
      <c r="U598" t="inlineStr"/>
      <c r="V598">
        <f>IF(OR(L598="",S598=""),"",IF(VALUE(L598)=VALUE(S598),"Y","N"))</f>
        <v/>
      </c>
      <c r="W598">
        <f>IF(V598="Y",S598,"")</f>
        <v/>
      </c>
      <c r="X598" t="inlineStr">
        <is>
          <t>unverified: map has 35 mph (OSM tag only); is it 35 (LSV OK) or 40+?</t>
        </is>
      </c>
      <c r="Y598" t="inlineStr"/>
      <c r="Z598" t="n">
        <v>957</v>
      </c>
      <c r="AA598" t="inlineStr">
        <is>
          <t>sd</t>
        </is>
      </c>
      <c r="AB598" t="inlineStr">
        <is>
          <t>sd|33.10263,-117.31469</t>
        </is>
      </c>
    </row>
    <row r="599">
      <c r="A599" t="inlineStr">
        <is>
          <t>SD-B2-598</t>
        </is>
      </c>
      <c r="B599" t="inlineStr">
        <is>
          <t>San Diego area</t>
        </is>
      </c>
      <c r="C599" t="inlineStr">
        <is>
          <t>Marine View Avenue</t>
        </is>
      </c>
      <c r="D599" t="inlineStr">
        <is>
          <t>San Andres Drive</t>
        </is>
      </c>
      <c r="E599" t="inlineStr">
        <is>
          <t>Highland Drive</t>
        </is>
      </c>
      <c r="F599" t="inlineStr">
        <is>
          <t>127595930</t>
        </is>
      </c>
      <c r="G599" t="n">
        <v>25</v>
      </c>
      <c r="H599" t="inlineStr">
        <is>
          <t>inferred</t>
        </is>
      </c>
      <c r="I599" t="inlineStr">
        <is>
          <t>cart+LSV</t>
        </is>
      </c>
      <c r="J599" t="inlineStr">
        <is>
          <t>https://www.google.com/maps/@?api=1&amp;map_action=pano&amp;viewpoint=32.993330,-117.255640&amp;heading=195</t>
        </is>
      </c>
      <c r="K599" t="inlineStr">
        <is>
          <t>https://www.google.com/maps/search/?api=1&amp;query=32.993330,-117.255640</t>
        </is>
      </c>
      <c r="L599" t="inlineStr"/>
      <c r="M599" t="inlineStr"/>
      <c r="N599" t="inlineStr"/>
      <c r="O599" t="inlineStr"/>
      <c r="P599" t="inlineStr">
        <is>
          <t>pending</t>
        </is>
      </c>
      <c r="Q599" t="inlineStr"/>
      <c r="R599" t="inlineStr"/>
      <c r="S599" t="inlineStr"/>
      <c r="T599" t="inlineStr"/>
      <c r="U599" t="inlineStr"/>
      <c r="V599">
        <f>IF(OR(L599="",S599=""),"",IF(VALUE(L599)=VALUE(S599),"Y","N"))</f>
        <v/>
      </c>
      <c r="W599">
        <f>IF(V599="Y",S599,"")</f>
        <v/>
      </c>
      <c r="X599" t="inlineStr">
        <is>
          <t>unverified: map has 25 mph (guessed from road type); is it 25 (carts OK) or 30+?</t>
        </is>
      </c>
      <c r="Y599" t="inlineStr"/>
      <c r="Z599" t="n">
        <v>920</v>
      </c>
      <c r="AA599" t="inlineStr">
        <is>
          <t>sd</t>
        </is>
      </c>
      <c r="AB599" t="inlineStr">
        <is>
          <t>sd|32.99333,-117.25564</t>
        </is>
      </c>
    </row>
    <row r="600">
      <c r="A600" t="inlineStr">
        <is>
          <t>SD-B2-599</t>
        </is>
      </c>
      <c r="B600" t="inlineStr">
        <is>
          <t>San Diego area</t>
        </is>
      </c>
      <c r="C600" t="inlineStr">
        <is>
          <t>Sun Valley Road</t>
        </is>
      </c>
      <c r="D600" t="inlineStr">
        <is>
          <t>Ladera Sarina</t>
        </is>
      </c>
      <c r="E600" t="inlineStr">
        <is>
          <t>Lomas Santa Fe Drive</t>
        </is>
      </c>
      <c r="F600" t="inlineStr">
        <is>
          <t>5974125</t>
        </is>
      </c>
      <c r="G600" t="n">
        <v>35</v>
      </c>
      <c r="H600" t="inlineStr">
        <is>
          <t>mapillary</t>
        </is>
      </c>
      <c r="I600" t="inlineStr">
        <is>
          <t>LSV</t>
        </is>
      </c>
      <c r="J600" t="inlineStr">
        <is>
          <t>https://www.google.com/maps/@?api=1&amp;map_action=pano&amp;viewpoint=32.994160,-117.232330&amp;heading=117</t>
        </is>
      </c>
      <c r="K600" t="inlineStr">
        <is>
          <t>https://www.google.com/maps/search/?api=1&amp;query=32.994160,-117.232330</t>
        </is>
      </c>
      <c r="L600" t="inlineStr"/>
      <c r="M600" t="inlineStr"/>
      <c r="N600" t="inlineStr"/>
      <c r="O600" t="inlineStr"/>
      <c r="P600" t="inlineStr">
        <is>
          <t>pending</t>
        </is>
      </c>
      <c r="Q600" t="inlineStr"/>
      <c r="R600" t="inlineStr"/>
      <c r="S600" t="inlineStr"/>
      <c r="T600" t="inlineStr">
        <is>
          <t>Mapillary: 2 posted 35 mph sign(s) detected</t>
        </is>
      </c>
      <c r="U600" t="inlineStr">
        <is>
          <t>https://www.mapillary.com/app/?lat=32.995373&amp;lng=-117.236530&amp;z=19&amp;focus=map&amp;mapFeatureId=2848148762162778</t>
        </is>
      </c>
      <c r="V600">
        <f>IF(OR(L600="",S600=""),"",IF(VALUE(L600)=VALUE(S600),"Y","N"))</f>
        <v/>
      </c>
      <c r="W600">
        <f>IF(V600="Y",S600,"")</f>
        <v/>
      </c>
      <c r="X600" t="inlineStr">
        <is>
          <t>unverified: map has 35 mph (one Mapillary sign); is it 35 (LSV OK) or 40+?</t>
        </is>
      </c>
      <c r="Y600" t="inlineStr"/>
      <c r="Z600" t="n">
        <v>1494</v>
      </c>
      <c r="AA600" t="inlineStr">
        <is>
          <t>sd</t>
        </is>
      </c>
      <c r="AB600" t="inlineStr">
        <is>
          <t>sd|32.99416,-117.23233</t>
        </is>
      </c>
    </row>
    <row r="601">
      <c r="A601" t="inlineStr">
        <is>
          <t>SD-B2-600</t>
        </is>
      </c>
      <c r="B601" t="inlineStr">
        <is>
          <t>San Diego area</t>
        </is>
      </c>
      <c r="C601" t="inlineStr">
        <is>
          <t>Sports Arena Boulevard</t>
        </is>
      </c>
      <c r="D601" t="inlineStr">
        <is>
          <t>Hancock Street</t>
        </is>
      </c>
      <c r="E601" t="inlineStr">
        <is>
          <t>Kemper Street</t>
        </is>
      </c>
      <c r="F601" t="inlineStr">
        <is>
          <t>1223632154</t>
        </is>
      </c>
      <c r="G601" t="n">
        <v>35</v>
      </c>
      <c r="H601" t="inlineStr">
        <is>
          <t>tag</t>
        </is>
      </c>
      <c r="I601" t="inlineStr">
        <is>
          <t>LSV</t>
        </is>
      </c>
      <c r="J601" t="inlineStr">
        <is>
          <t>https://www.google.com/maps/@?api=1&amp;map_action=pano&amp;viewpoint=32.754420,-117.215370&amp;heading=282</t>
        </is>
      </c>
      <c r="K601" t="inlineStr">
        <is>
          <t>https://www.google.com/maps/search/?api=1&amp;query=32.754420,-117.215370</t>
        </is>
      </c>
      <c r="L601" t="inlineStr"/>
      <c r="M601" t="inlineStr"/>
      <c r="N601" t="inlineStr"/>
      <c r="O601" t="inlineStr"/>
      <c r="P601" t="inlineStr">
        <is>
          <t>pending</t>
        </is>
      </c>
      <c r="Q601" t="inlineStr"/>
      <c r="R601" t="inlineStr"/>
      <c r="S601" t="inlineStr"/>
      <c r="T601" t="inlineStr"/>
      <c r="U601" t="inlineStr"/>
      <c r="V601">
        <f>IF(OR(L601="",S601=""),"",IF(VALUE(L601)=VALUE(S601),"Y","N"))</f>
        <v/>
      </c>
      <c r="W601">
        <f>IF(V601="Y",S601,"")</f>
        <v/>
      </c>
      <c r="X601" t="inlineStr">
        <is>
          <t>unverified: map has 35 mph (OSM tag only); is it 35 (LSV OK) or 40+?</t>
        </is>
      </c>
      <c r="Y601" t="inlineStr"/>
      <c r="Z601" t="n">
        <v>955</v>
      </c>
      <c r="AA601" t="inlineStr">
        <is>
          <t>sd</t>
        </is>
      </c>
      <c r="AB601" t="inlineStr">
        <is>
          <t>sd|32.75442,-117.21537</t>
        </is>
      </c>
    </row>
    <row r="602">
      <c r="A602" t="inlineStr">
        <is>
          <t>SD-B2-601</t>
        </is>
      </c>
      <c r="B602" t="inlineStr">
        <is>
          <t>San Diego area</t>
        </is>
      </c>
      <c r="C602" t="inlineStr">
        <is>
          <t>Paseo Delicias</t>
        </is>
      </c>
      <c r="D602" t="inlineStr">
        <is>
          <t>El Montevideo</t>
        </is>
      </c>
      <c r="E602" t="inlineStr">
        <is>
          <t>La Valle Plateada</t>
        </is>
      </c>
      <c r="F602" t="inlineStr">
        <is>
          <t>840008622</t>
        </is>
      </c>
      <c r="G602" t="n">
        <v>40</v>
      </c>
      <c r="H602" t="inlineStr">
        <is>
          <t>mapillary</t>
        </is>
      </c>
      <c r="I602" t="inlineStr">
        <is>
          <t>no</t>
        </is>
      </c>
      <c r="J602" t="inlineStr">
        <is>
          <t>https://www.google.com/maps/@?api=1&amp;map_action=pano&amp;viewpoint=33.026680,-117.194690&amp;heading=227</t>
        </is>
      </c>
      <c r="K602" t="inlineStr">
        <is>
          <t>https://www.google.com/maps/search/?api=1&amp;query=33.026680,-117.194690</t>
        </is>
      </c>
      <c r="L602" t="inlineStr"/>
      <c r="M602" t="inlineStr"/>
      <c r="N602" t="inlineStr"/>
      <c r="O602" t="inlineStr"/>
      <c r="P602" t="inlineStr">
        <is>
          <t>pending</t>
        </is>
      </c>
      <c r="Q602" t="inlineStr"/>
      <c r="R602" t="inlineStr"/>
      <c r="S602" t="inlineStr"/>
      <c r="T602" t="inlineStr">
        <is>
          <t>Mapillary: 1 posted 40 mph sign(s) detected</t>
        </is>
      </c>
      <c r="U602" t="inlineStr">
        <is>
          <t>https://www.mapillary.com/app/?lat=33.029600&amp;lng=-117.191340&amp;z=19&amp;focus=map&amp;mapFeatureId=189511713266572</t>
        </is>
      </c>
      <c r="V602">
        <f>IF(OR(L602="",S602=""),"",IF(VALUE(L602)=VALUE(S602),"Y","N"))</f>
        <v/>
      </c>
      <c r="W602">
        <f>IF(V602="Y",S602,"")</f>
        <v/>
      </c>
      <c r="X602" t="inlineStr">
        <is>
          <t>unverified: map has 40 mph (one Mapillary sign); is it 35 (LSV OK) or 40+?</t>
        </is>
      </c>
      <c r="Y602" t="inlineStr"/>
      <c r="Z602" t="n">
        <v>994</v>
      </c>
      <c r="AA602" t="inlineStr">
        <is>
          <t>sd</t>
        </is>
      </c>
      <c r="AB602" t="inlineStr">
        <is>
          <t>sd|33.02668,-117.19469</t>
        </is>
      </c>
    </row>
    <row r="603">
      <c r="A603" t="inlineStr">
        <is>
          <t>SD-B2-602</t>
        </is>
      </c>
      <c r="B603" t="inlineStr">
        <is>
          <t>San Diego area</t>
        </is>
      </c>
      <c r="C603" t="inlineStr">
        <is>
          <t>Solana Hills Drive</t>
        </is>
      </c>
      <c r="D603" t="inlineStr">
        <is>
          <t>Lomas Santa Fe Drive</t>
        </is>
      </c>
      <c r="E603" t="inlineStr">
        <is>
          <t>San Rodolfo Drive</t>
        </is>
      </c>
      <c r="F603" t="inlineStr">
        <is>
          <t>1342366615</t>
        </is>
      </c>
      <c r="G603" t="n">
        <v>25</v>
      </c>
      <c r="H603" t="inlineStr">
        <is>
          <t>inferred</t>
        </is>
      </c>
      <c r="I603" t="inlineStr">
        <is>
          <t>cart+LSV</t>
        </is>
      </c>
      <c r="J603" t="inlineStr">
        <is>
          <t>https://www.google.com/maps/@?api=1&amp;map_action=pano&amp;viewpoint=32.997280,-117.257930&amp;heading=51</t>
        </is>
      </c>
      <c r="K603" t="inlineStr">
        <is>
          <t>https://www.google.com/maps/search/?api=1&amp;query=32.997280,-117.257930</t>
        </is>
      </c>
      <c r="L603" t="inlineStr"/>
      <c r="M603" t="inlineStr"/>
      <c r="N603" t="inlineStr"/>
      <c r="O603" t="inlineStr"/>
      <c r="P603" t="inlineStr">
        <is>
          <t>pending</t>
        </is>
      </c>
      <c r="Q603" t="inlineStr"/>
      <c r="R603" t="inlineStr"/>
      <c r="S603" t="inlineStr"/>
      <c r="T603" t="inlineStr"/>
      <c r="U603" t="inlineStr"/>
      <c r="V603">
        <f>IF(OR(L603="",S603=""),"",IF(VALUE(L603)=VALUE(S603),"Y","N"))</f>
        <v/>
      </c>
      <c r="W603">
        <f>IF(V603="Y",S603,"")</f>
        <v/>
      </c>
      <c r="X603" t="inlineStr">
        <is>
          <t>unverified: map has 25 mph (guessed from road type); is it 25 (carts OK) or 30+?</t>
        </is>
      </c>
      <c r="Y603" t="inlineStr"/>
      <c r="Z603" t="n">
        <v>917</v>
      </c>
      <c r="AA603" t="inlineStr">
        <is>
          <t>sd</t>
        </is>
      </c>
      <c r="AB603" t="inlineStr">
        <is>
          <t>sd|32.99728,-117.25793</t>
        </is>
      </c>
    </row>
    <row r="604">
      <c r="A604" t="inlineStr">
        <is>
          <t>SD-B2-603</t>
        </is>
      </c>
      <c r="B604" t="inlineStr">
        <is>
          <t>San Diego area</t>
        </is>
      </c>
      <c r="C604" t="inlineStr">
        <is>
          <t>Greyling Drive</t>
        </is>
      </c>
      <c r="D604" t="inlineStr">
        <is>
          <t>Raejean Avenue</t>
        </is>
      </c>
      <c r="E604" t="inlineStr">
        <is>
          <t>Gramercy Drive</t>
        </is>
      </c>
      <c r="F604" t="inlineStr">
        <is>
          <t>5966258</t>
        </is>
      </c>
      <c r="G604" t="n">
        <v>25</v>
      </c>
      <c r="H604" t="inlineStr">
        <is>
          <t>mapillary</t>
        </is>
      </c>
      <c r="I604" t="inlineStr">
        <is>
          <t>cart+LSV</t>
        </is>
      </c>
      <c r="J604" t="inlineStr">
        <is>
          <t>https://www.google.com/maps/@?api=1&amp;map_action=pano&amp;viewpoint=32.795640,-117.142785&amp;heading=25</t>
        </is>
      </c>
      <c r="K604" t="inlineStr">
        <is>
          <t>https://www.google.com/maps/search/?api=1&amp;query=32.795640,-117.142785</t>
        </is>
      </c>
      <c r="L604" t="inlineStr"/>
      <c r="M604" t="inlineStr"/>
      <c r="N604" t="inlineStr"/>
      <c r="O604" t="inlineStr"/>
      <c r="P604" t="inlineStr">
        <is>
          <t>pending</t>
        </is>
      </c>
      <c r="Q604" t="inlineStr"/>
      <c r="R604" t="inlineStr"/>
      <c r="S604" t="inlineStr"/>
      <c r="T604" t="inlineStr">
        <is>
          <t>Mapillary: 9 posted 25 mph sign(s) detected</t>
        </is>
      </c>
      <c r="U604" t="inlineStr">
        <is>
          <t>https://www.mapillary.com/app/?lat=32.800194&amp;lng=-117.140970&amp;z=19&amp;focus=map&amp;mapFeatureId=643807394766665</t>
        </is>
      </c>
      <c r="V604">
        <f>IF(OR(L604="",S604=""),"",IF(VALUE(L604)=VALUE(S604),"Y","N"))</f>
        <v/>
      </c>
      <c r="W604">
        <f>IF(V604="Y",S604,"")</f>
        <v/>
      </c>
      <c r="X604" t="inlineStr">
        <is>
          <t>unverified: map has 25 mph (one Mapillary sign); is it 25 (carts OK) or 30+?</t>
        </is>
      </c>
      <c r="Y604" t="inlineStr"/>
      <c r="Z604" t="n">
        <v>1490</v>
      </c>
      <c r="AA604" t="inlineStr">
        <is>
          <t>sd</t>
        </is>
      </c>
      <c r="AB604" t="inlineStr">
        <is>
          <t>sd|32.79564,-117.14279</t>
        </is>
      </c>
    </row>
    <row r="605">
      <c r="A605" t="inlineStr">
        <is>
          <t>SD-B2-604</t>
        </is>
      </c>
      <c r="B605" t="inlineStr">
        <is>
          <t>San Diego area</t>
        </is>
      </c>
      <c r="C605" t="inlineStr">
        <is>
          <t>Hurlbut Street</t>
        </is>
      </c>
      <c r="D605" t="inlineStr">
        <is>
          <t>Jordan Place</t>
        </is>
      </c>
      <c r="E605" t="inlineStr">
        <is>
          <t>Hurlbut Place</t>
        </is>
      </c>
      <c r="F605" t="inlineStr">
        <is>
          <t>1458132942</t>
        </is>
      </c>
      <c r="G605" t="n">
        <v>25</v>
      </c>
      <c r="H605" t="inlineStr">
        <is>
          <t>inferred</t>
        </is>
      </c>
      <c r="I605" t="inlineStr">
        <is>
          <t>cart+LSV</t>
        </is>
      </c>
      <c r="J605" t="inlineStr">
        <is>
          <t>https://www.google.com/maps/@?api=1&amp;map_action=pano&amp;viewpoint=32.804520,-117.148550&amp;heading=68</t>
        </is>
      </c>
      <c r="K605" t="inlineStr">
        <is>
          <t>https://www.google.com/maps/search/?api=1&amp;query=32.804520,-117.148550</t>
        </is>
      </c>
      <c r="L605" t="inlineStr"/>
      <c r="M605" t="inlineStr"/>
      <c r="N605" t="inlineStr"/>
      <c r="O605" t="inlineStr"/>
      <c r="P605" t="inlineStr">
        <is>
          <t>pending</t>
        </is>
      </c>
      <c r="Q605" t="inlineStr"/>
      <c r="R605" t="inlineStr"/>
      <c r="S605" t="inlineStr"/>
      <c r="T605" t="inlineStr"/>
      <c r="U605" t="inlineStr"/>
      <c r="V605">
        <f>IF(OR(L605="",S605=""),"",IF(VALUE(L605)=VALUE(S605),"Y","N"))</f>
        <v/>
      </c>
      <c r="W605">
        <f>IF(V605="Y",S605,"")</f>
        <v/>
      </c>
      <c r="X605" t="inlineStr">
        <is>
          <t>unverified: map has 25 mph (guessed from road type); is it 25 (carts OK) or 30+?</t>
        </is>
      </c>
      <c r="Y605" t="inlineStr"/>
      <c r="Z605" t="n">
        <v>916</v>
      </c>
      <c r="AA605" t="inlineStr">
        <is>
          <t>sd</t>
        </is>
      </c>
      <c r="AB605" t="inlineStr">
        <is>
          <t>sd|32.80452,-117.14855</t>
        </is>
      </c>
    </row>
    <row r="606">
      <c r="A606" t="inlineStr">
        <is>
          <t>SD-B2-605</t>
        </is>
      </c>
      <c r="B606" t="inlineStr">
        <is>
          <t>San Diego area</t>
        </is>
      </c>
      <c r="C606" t="inlineStr">
        <is>
          <t>Coolidge Avenue</t>
        </is>
      </c>
      <c r="D606" t="inlineStr">
        <is>
          <t>West Plaza Boulevard</t>
        </is>
      </c>
      <c r="E606" t="inlineStr">
        <is>
          <t>West 9th Street</t>
        </is>
      </c>
      <c r="F606" t="inlineStr">
        <is>
          <t>6030038</t>
        </is>
      </c>
      <c r="G606" t="n">
        <v>25</v>
      </c>
      <c r="H606" t="inlineStr">
        <is>
          <t>inferred</t>
        </is>
      </c>
      <c r="I606" t="inlineStr">
        <is>
          <t>cart+LSV</t>
        </is>
      </c>
      <c r="J606" t="inlineStr">
        <is>
          <t>https://www.google.com/maps/@?api=1&amp;map_action=pano&amp;viewpoint=32.669370,-117.107830&amp;heading=162</t>
        </is>
      </c>
      <c r="K606" t="inlineStr">
        <is>
          <t>https://www.google.com/maps/search/?api=1&amp;query=32.669370,-117.107830</t>
        </is>
      </c>
      <c r="L606" t="inlineStr"/>
      <c r="M606" t="inlineStr"/>
      <c r="N606" t="inlineStr"/>
      <c r="O606" t="inlineStr"/>
      <c r="P606" t="inlineStr">
        <is>
          <t>pending</t>
        </is>
      </c>
      <c r="Q606" t="inlineStr"/>
      <c r="R606" t="inlineStr"/>
      <c r="S606" t="inlineStr"/>
      <c r="T606" t="inlineStr"/>
      <c r="U606" t="inlineStr"/>
      <c r="V606">
        <f>IF(OR(L606="",S606=""),"",IF(VALUE(L606)=VALUE(S606),"Y","N"))</f>
        <v/>
      </c>
      <c r="W606">
        <f>IF(V606="Y",S606,"")</f>
        <v/>
      </c>
      <c r="X606" t="inlineStr">
        <is>
          <t>unverified: map has 25 mph (guessed from road type); is it 25 (carts OK) or 30+?</t>
        </is>
      </c>
      <c r="Y606" t="inlineStr"/>
      <c r="Z606" t="n">
        <v>915</v>
      </c>
      <c r="AA606" t="inlineStr">
        <is>
          <t>sd</t>
        </is>
      </c>
      <c r="AB606" t="inlineStr">
        <is>
          <t>sd|32.66937,-117.10783</t>
        </is>
      </c>
    </row>
    <row r="607">
      <c r="A607" t="inlineStr">
        <is>
          <t>SD-B2-606</t>
        </is>
      </c>
      <c r="B607" t="inlineStr">
        <is>
          <t>San Diego area</t>
        </is>
      </c>
      <c r="C607" t="inlineStr">
        <is>
          <t>Paseo del Norte</t>
        </is>
      </c>
      <c r="D607" t="inlineStr">
        <is>
          <t>Camino de Las Ondas</t>
        </is>
      </c>
      <c r="E607" t="inlineStr">
        <is>
          <t>Lowder Lane</t>
        </is>
      </c>
      <c r="F607" t="inlineStr">
        <is>
          <t>1457086208</t>
        </is>
      </c>
      <c r="G607" t="inlineStr"/>
      <c r="H607" t="inlineStr">
        <is>
          <t>inferred</t>
        </is>
      </c>
      <c r="I607" t="inlineStr">
        <is>
          <t>no</t>
        </is>
      </c>
      <c r="J607" t="inlineStr">
        <is>
          <t>https://www.google.com/maps/@?api=1&amp;map_action=pano&amp;viewpoint=33.105480,-117.308530&amp;heading=173</t>
        </is>
      </c>
      <c r="K607" t="inlineStr">
        <is>
          <t>https://www.google.com/maps/search/?api=1&amp;query=33.105480,-117.308530</t>
        </is>
      </c>
      <c r="L607" t="inlineStr"/>
      <c r="M607" t="inlineStr"/>
      <c r="N607" t="inlineStr"/>
      <c r="O607" t="inlineStr"/>
      <c r="P607" t="inlineStr">
        <is>
          <t>pending</t>
        </is>
      </c>
      <c r="Q607" t="inlineStr"/>
      <c r="R607" t="inlineStr"/>
      <c r="S607" t="inlineStr"/>
      <c r="T607" t="inlineStr"/>
      <c r="U607" t="inlineStr"/>
      <c r="V607">
        <f>IF(OR(L607="",S607=""),"",IF(VALUE(L607)=VALUE(S607),"Y","N"))</f>
        <v/>
      </c>
      <c r="W607">
        <f>IF(V607="Y",S607,"")</f>
        <v/>
      </c>
      <c r="X607" t="inlineStr">
        <is>
          <t>unverified: map has no limit (guessed from road type); main road: what is posted? 35 or lower opens it to LSVs</t>
        </is>
      </c>
      <c r="Y607" t="inlineStr"/>
      <c r="Z607" t="n">
        <v>730</v>
      </c>
      <c r="AA607" t="inlineStr">
        <is>
          <t>sd</t>
        </is>
      </c>
      <c r="AB607" t="inlineStr">
        <is>
          <t>sd|33.10548,-117.30853</t>
        </is>
      </c>
    </row>
    <row r="608">
      <c r="A608" t="inlineStr">
        <is>
          <t>SD-B2-607</t>
        </is>
      </c>
      <c r="B608" t="inlineStr">
        <is>
          <t>San Diego area</t>
        </is>
      </c>
      <c r="C608" t="inlineStr">
        <is>
          <t>South Oceanside Boulevard</t>
        </is>
      </c>
      <c r="D608" t="inlineStr">
        <is>
          <t>Commerce Street</t>
        </is>
      </c>
      <c r="E608" t="inlineStr">
        <is>
          <t>Crouch Street</t>
        </is>
      </c>
      <c r="F608" t="inlineStr">
        <is>
          <t>122352697</t>
        </is>
      </c>
      <c r="G608" t="n">
        <v>25</v>
      </c>
      <c r="H608" t="inlineStr">
        <is>
          <t>inferred</t>
        </is>
      </c>
      <c r="I608" t="inlineStr">
        <is>
          <t>cart+LSV</t>
        </is>
      </c>
      <c r="J608" t="inlineStr">
        <is>
          <t>https://www.google.com/maps/@?api=1&amp;map_action=pano&amp;viewpoint=33.193890,-117.354310&amp;heading=248</t>
        </is>
      </c>
      <c r="K608" t="inlineStr">
        <is>
          <t>https://www.google.com/maps/search/?api=1&amp;query=33.193890,-117.354310</t>
        </is>
      </c>
      <c r="L608" t="inlineStr"/>
      <c r="M608" t="inlineStr"/>
      <c r="N608" t="inlineStr"/>
      <c r="O608" t="inlineStr"/>
      <c r="P608" t="inlineStr">
        <is>
          <t>pending</t>
        </is>
      </c>
      <c r="Q608" t="inlineStr"/>
      <c r="R608" t="inlineStr"/>
      <c r="S608" t="inlineStr"/>
      <c r="T608" t="inlineStr"/>
      <c r="U608" t="inlineStr"/>
      <c r="V608">
        <f>IF(OR(L608="",S608=""),"",IF(VALUE(L608)=VALUE(S608),"Y","N"))</f>
        <v/>
      </c>
      <c r="W608">
        <f>IF(V608="Y",S608,"")</f>
        <v/>
      </c>
      <c r="X608" t="inlineStr">
        <is>
          <t>unverified: map has 25 mph (guessed from road type); is it 25 (carts OK) or 30+?</t>
        </is>
      </c>
      <c r="Y608" t="inlineStr"/>
      <c r="Z608" t="n">
        <v>912</v>
      </c>
      <c r="AA608" t="inlineStr">
        <is>
          <t>sd</t>
        </is>
      </c>
      <c r="AB608" t="inlineStr">
        <is>
          <t>sd|33.19389,-117.35431</t>
        </is>
      </c>
    </row>
    <row r="609">
      <c r="A609" t="inlineStr">
        <is>
          <t>SD-B2-608</t>
        </is>
      </c>
      <c r="B609" t="inlineStr">
        <is>
          <t>San Diego area</t>
        </is>
      </c>
      <c r="C609" t="inlineStr">
        <is>
          <t>Mira Mesa Boulevard</t>
        </is>
      </c>
      <c r="D609" t="inlineStr">
        <is>
          <t>(see map link)</t>
        </is>
      </c>
      <c r="E609" t="inlineStr">
        <is>
          <t>Target Drwy</t>
        </is>
      </c>
      <c r="F609" t="inlineStr">
        <is>
          <t>1525752893</t>
        </is>
      </c>
      <c r="G609" t="n">
        <v>45</v>
      </c>
      <c r="H609" t="inlineStr">
        <is>
          <t>tag</t>
        </is>
      </c>
      <c r="I609" t="inlineStr">
        <is>
          <t>no</t>
        </is>
      </c>
      <c r="J609" t="inlineStr">
        <is>
          <t>https://www.google.com/maps/@?api=1&amp;map_action=pano&amp;viewpoint=32.911390,-117.153850&amp;heading=60</t>
        </is>
      </c>
      <c r="K609" t="inlineStr">
        <is>
          <t>https://www.google.com/maps/search/?api=1&amp;query=32.911390,-117.153850</t>
        </is>
      </c>
      <c r="L609" t="inlineStr"/>
      <c r="M609" t="inlineStr"/>
      <c r="N609" t="inlineStr"/>
      <c r="O609" t="inlineStr"/>
      <c r="P609" t="inlineStr">
        <is>
          <t>pending</t>
        </is>
      </c>
      <c r="Q609" t="inlineStr"/>
      <c r="R609" t="inlineStr"/>
      <c r="S609" t="inlineStr"/>
      <c r="T609" t="inlineStr"/>
      <c r="U609" t="inlineStr"/>
      <c r="V609">
        <f>IF(OR(L609="",S609=""),"",IF(VALUE(L609)=VALUE(S609),"Y","N"))</f>
        <v/>
      </c>
      <c r="W609">
        <f>IF(V609="Y",S609,"")</f>
        <v/>
      </c>
      <c r="X609" t="inlineStr">
        <is>
          <t>unverified: map has 45 mph (OSM tag only); main road: what is posted? 35 or lower opens it to LSVs</t>
        </is>
      </c>
      <c r="Y609" t="inlineStr"/>
      <c r="Z609" t="n">
        <v>789</v>
      </c>
      <c r="AA609" t="inlineStr">
        <is>
          <t>sd</t>
        </is>
      </c>
      <c r="AB609" t="inlineStr">
        <is>
          <t>sd|32.91139,-117.15385</t>
        </is>
      </c>
    </row>
    <row r="610">
      <c r="A610" t="inlineStr">
        <is>
          <t>SD-B2-609</t>
        </is>
      </c>
      <c r="B610" t="inlineStr">
        <is>
          <t>San Diego area</t>
        </is>
      </c>
      <c r="C610" t="inlineStr">
        <is>
          <t>Calle Timiteo</t>
        </is>
      </c>
      <c r="D610" t="inlineStr">
        <is>
          <t>Caminto Malaga</t>
        </is>
      </c>
      <c r="E610" t="inlineStr">
        <is>
          <t>La Costa Avenue</t>
        </is>
      </c>
      <c r="F610" t="inlineStr">
        <is>
          <t>5985608</t>
        </is>
      </c>
      <c r="G610" t="n">
        <v>25</v>
      </c>
      <c r="H610" t="inlineStr">
        <is>
          <t>inferred</t>
        </is>
      </c>
      <c r="I610" t="inlineStr">
        <is>
          <t>cart+LSV</t>
        </is>
      </c>
      <c r="J610" t="inlineStr">
        <is>
          <t>https://www.google.com/maps/@?api=1&amp;map_action=pano&amp;viewpoint=33.078370,-117.234870&amp;heading=265</t>
        </is>
      </c>
      <c r="K610" t="inlineStr">
        <is>
          <t>https://www.google.com/maps/search/?api=1&amp;query=33.078370,-117.234870</t>
        </is>
      </c>
      <c r="L610" t="inlineStr"/>
      <c r="M610" t="inlineStr"/>
      <c r="N610" t="inlineStr"/>
      <c r="O610" t="inlineStr"/>
      <c r="P610" t="inlineStr">
        <is>
          <t>pending</t>
        </is>
      </c>
      <c r="Q610" t="inlineStr"/>
      <c r="R610" t="inlineStr"/>
      <c r="S610" t="inlineStr"/>
      <c r="T610" t="inlineStr"/>
      <c r="U610" t="inlineStr"/>
      <c r="V610">
        <f>IF(OR(L610="",S610=""),"",IF(VALUE(L610)=VALUE(S610),"Y","N"))</f>
        <v/>
      </c>
      <c r="W610">
        <f>IF(V610="Y",S610,"")</f>
        <v/>
      </c>
      <c r="X610" t="inlineStr">
        <is>
          <t>unverified: map has 25 mph (guessed from road type); is it 25 (carts OK) or 30+?</t>
        </is>
      </c>
      <c r="Y610" t="inlineStr"/>
      <c r="Z610" t="n">
        <v>906</v>
      </c>
      <c r="AA610" t="inlineStr">
        <is>
          <t>sd</t>
        </is>
      </c>
      <c r="AB610" t="inlineStr">
        <is>
          <t>sd|33.07837,-117.23487</t>
        </is>
      </c>
    </row>
    <row r="611">
      <c r="A611" t="inlineStr">
        <is>
          <t>SD-B2-610</t>
        </is>
      </c>
      <c r="B611" t="inlineStr">
        <is>
          <t>San Diego area</t>
        </is>
      </c>
      <c r="C611" t="inlineStr">
        <is>
          <t>Monument Road</t>
        </is>
      </c>
      <c r="D611" t="inlineStr">
        <is>
          <t>(see map link)</t>
        </is>
      </c>
      <c r="E611" t="inlineStr">
        <is>
          <t>(see map link)</t>
        </is>
      </c>
      <c r="F611" t="inlineStr">
        <is>
          <t>5939366</t>
        </is>
      </c>
      <c r="G611" t="n">
        <v>25</v>
      </c>
      <c r="H611" t="inlineStr">
        <is>
          <t>inferred</t>
        </is>
      </c>
      <c r="I611" t="inlineStr">
        <is>
          <t>cart+LSV</t>
        </is>
      </c>
      <c r="J611" t="inlineStr">
        <is>
          <t>https://www.google.com/maps/@?api=1&amp;map_action=pano&amp;viewpoint=32.536470,-117.115040&amp;heading=246</t>
        </is>
      </c>
      <c r="K611" t="inlineStr">
        <is>
          <t>https://www.google.com/maps/search/?api=1&amp;query=32.536470,-117.115040</t>
        </is>
      </c>
      <c r="L611" t="inlineStr"/>
      <c r="M611" t="inlineStr"/>
      <c r="N611" t="inlineStr"/>
      <c r="O611" t="inlineStr"/>
      <c r="P611" t="inlineStr">
        <is>
          <t>pending</t>
        </is>
      </c>
      <c r="Q611" t="inlineStr"/>
      <c r="R611" t="inlineStr"/>
      <c r="S611" t="inlineStr"/>
      <c r="T611" t="inlineStr"/>
      <c r="U611" t="inlineStr"/>
      <c r="V611">
        <f>IF(OR(L611="",S611=""),"",IF(VALUE(L611)=VALUE(S611),"Y","N"))</f>
        <v/>
      </c>
      <c r="W611">
        <f>IF(V611="Y",S611,"")</f>
        <v/>
      </c>
      <c r="X611" t="inlineStr">
        <is>
          <t>unverified: map has 25 mph (guessed from road type); is it 25 (carts OK) or 30+?</t>
        </is>
      </c>
      <c r="Y611" t="inlineStr"/>
      <c r="Z611" t="n">
        <v>2086</v>
      </c>
      <c r="AA611" t="inlineStr">
        <is>
          <t>sd</t>
        </is>
      </c>
      <c r="AB611" t="inlineStr">
        <is>
          <t>sd|32.53647,-117.11504</t>
        </is>
      </c>
    </row>
    <row r="612">
      <c r="A612" t="inlineStr">
        <is>
          <t>SD-B2-611</t>
        </is>
      </c>
      <c r="B612" t="inlineStr">
        <is>
          <t>San Diego area</t>
        </is>
      </c>
      <c r="C612" t="inlineStr">
        <is>
          <t>Camino del Rio South</t>
        </is>
      </c>
      <c r="D612" t="inlineStr">
        <is>
          <t>(see map link)</t>
        </is>
      </c>
      <c r="E612" t="inlineStr">
        <is>
          <t>Texas Street</t>
        </is>
      </c>
      <c r="F612" t="inlineStr">
        <is>
          <t>1091079010</t>
        </is>
      </c>
      <c r="G612" t="n">
        <v>25</v>
      </c>
      <c r="H612" t="inlineStr">
        <is>
          <t>inferred</t>
        </is>
      </c>
      <c r="I612" t="inlineStr">
        <is>
          <t>cart+LSV</t>
        </is>
      </c>
      <c r="J612" t="inlineStr">
        <is>
          <t>https://www.google.com/maps/@?api=1&amp;map_action=pano&amp;viewpoint=32.765410,-117.152430&amp;heading=65</t>
        </is>
      </c>
      <c r="K612" t="inlineStr">
        <is>
          <t>https://www.google.com/maps/search/?api=1&amp;query=32.765410,-117.152430</t>
        </is>
      </c>
      <c r="L612" t="inlineStr"/>
      <c r="M612" t="inlineStr"/>
      <c r="N612" t="inlineStr"/>
      <c r="O612" t="inlineStr"/>
      <c r="P612" t="inlineStr">
        <is>
          <t>pending</t>
        </is>
      </c>
      <c r="Q612" t="inlineStr"/>
      <c r="R612" t="inlineStr"/>
      <c r="S612" t="inlineStr"/>
      <c r="T612" t="inlineStr"/>
      <c r="U612" t="inlineStr"/>
      <c r="V612">
        <f>IF(OR(L612="",S612=""),"",IF(VALUE(L612)=VALUE(S612),"Y","N"))</f>
        <v/>
      </c>
      <c r="W612">
        <f>IF(V612="Y",S612,"")</f>
        <v/>
      </c>
      <c r="X612" t="inlineStr">
        <is>
          <t>unverified: map has 25 mph (guessed from road type); is it 25 (carts OK) or 30+?</t>
        </is>
      </c>
      <c r="Y612" t="inlineStr"/>
      <c r="Z612" t="n">
        <v>2563</v>
      </c>
      <c r="AA612" t="inlineStr">
        <is>
          <t>sd</t>
        </is>
      </c>
      <c r="AB612" t="inlineStr">
        <is>
          <t>sd|32.76541,-117.15243</t>
        </is>
      </c>
    </row>
    <row r="613">
      <c r="A613" t="inlineStr">
        <is>
          <t>SD-B2-612</t>
        </is>
      </c>
      <c r="B613" t="inlineStr">
        <is>
          <t>San Diego area</t>
        </is>
      </c>
      <c r="C613" t="inlineStr">
        <is>
          <t>Flintkote Avenue</t>
        </is>
      </c>
      <c r="D613" t="inlineStr">
        <is>
          <t>Estuary Way</t>
        </is>
      </c>
      <c r="E613" t="inlineStr">
        <is>
          <t>Dunhill Street</t>
        </is>
      </c>
      <c r="F613" t="inlineStr">
        <is>
          <t>662931135</t>
        </is>
      </c>
      <c r="G613" t="n">
        <v>25</v>
      </c>
      <c r="H613" t="inlineStr">
        <is>
          <t>inferred</t>
        </is>
      </c>
      <c r="I613" t="inlineStr">
        <is>
          <t>cart+LSV</t>
        </is>
      </c>
      <c r="J613" t="inlineStr">
        <is>
          <t>https://www.google.com/maps/@?api=1&amp;map_action=pano&amp;viewpoint=32.909540,-117.234020&amp;heading=323</t>
        </is>
      </c>
      <c r="K613" t="inlineStr">
        <is>
          <t>https://www.google.com/maps/search/?api=1&amp;query=32.909540,-117.234020</t>
        </is>
      </c>
      <c r="L613" t="inlineStr"/>
      <c r="M613" t="inlineStr"/>
      <c r="N613" t="inlineStr"/>
      <c r="O613" t="inlineStr"/>
      <c r="P613" t="inlineStr">
        <is>
          <t>pending</t>
        </is>
      </c>
      <c r="Q613" t="inlineStr"/>
      <c r="R613" t="inlineStr"/>
      <c r="S613" t="inlineStr"/>
      <c r="T613" t="inlineStr"/>
      <c r="U613" t="inlineStr"/>
      <c r="V613">
        <f>IF(OR(L613="",S613=""),"",IF(VALUE(L613)=VALUE(S613),"Y","N"))</f>
        <v/>
      </c>
      <c r="W613">
        <f>IF(V613="Y",S613,"")</f>
        <v/>
      </c>
      <c r="X613" t="inlineStr">
        <is>
          <t>unverified: map has 25 mph (guessed from road type); is it 25 (carts OK) or 30+?</t>
        </is>
      </c>
      <c r="Y613" t="inlineStr"/>
      <c r="Z613" t="n">
        <v>1506</v>
      </c>
      <c r="AA613" t="inlineStr">
        <is>
          <t>sd</t>
        </is>
      </c>
      <c r="AB613" t="inlineStr">
        <is>
          <t>sd|32.90954,-117.23402</t>
        </is>
      </c>
    </row>
    <row r="614">
      <c r="A614" t="inlineStr">
        <is>
          <t>SD-B2-613</t>
        </is>
      </c>
      <c r="B614" t="inlineStr">
        <is>
          <t>San Diego area</t>
        </is>
      </c>
      <c r="C614" t="inlineStr">
        <is>
          <t>Leucadia Boulevard</t>
        </is>
      </c>
      <c r="D614" t="inlineStr">
        <is>
          <t>Garden View Road</t>
        </is>
      </c>
      <c r="E614" t="inlineStr">
        <is>
          <t>(see map link)</t>
        </is>
      </c>
      <c r="F614" t="inlineStr">
        <is>
          <t>436276105</t>
        </is>
      </c>
      <c r="G614" t="n">
        <v>45</v>
      </c>
      <c r="H614" t="inlineStr">
        <is>
          <t>mapillary</t>
        </is>
      </c>
      <c r="I614" t="inlineStr">
        <is>
          <t>no</t>
        </is>
      </c>
      <c r="J614" t="inlineStr">
        <is>
          <t>https://www.google.com/maps/@?api=1&amp;map_action=pano&amp;viewpoint=33.068220,-117.273810&amp;heading=242</t>
        </is>
      </c>
      <c r="K614" t="inlineStr">
        <is>
          <t>https://www.google.com/maps/search/?api=1&amp;query=33.068220,-117.273810</t>
        </is>
      </c>
      <c r="L614" t="inlineStr"/>
      <c r="M614" t="inlineStr"/>
      <c r="N614" t="inlineStr"/>
      <c r="O614" t="inlineStr"/>
      <c r="P614" t="inlineStr">
        <is>
          <t>pending</t>
        </is>
      </c>
      <c r="Q614" t="inlineStr"/>
      <c r="R614" t="inlineStr"/>
      <c r="S614" t="inlineStr"/>
      <c r="T614" t="inlineStr">
        <is>
          <t>Mapillary: 1 posted 45 mph sign(s) detected</t>
        </is>
      </c>
      <c r="U614" t="inlineStr">
        <is>
          <t>https://www.mapillary.com/app/?lat=33.068882&amp;lng=-117.268974&amp;z=19&amp;focus=map&amp;mapFeatureId=483519589565686</t>
        </is>
      </c>
      <c r="V614">
        <f>IF(OR(L614="",S614=""),"",IF(VALUE(L614)=VALUE(S614),"Y","N"))</f>
        <v/>
      </c>
      <c r="W614">
        <f>IF(V614="Y",S614,"")</f>
        <v/>
      </c>
      <c r="X614" t="inlineStr">
        <is>
          <t>unverified: map has 45 mph (one Mapillary sign); main road: what is posted? 35 or lower opens it to LSVs</t>
        </is>
      </c>
      <c r="Y614" t="inlineStr"/>
      <c r="Z614" t="n">
        <v>975</v>
      </c>
      <c r="AA614" t="inlineStr">
        <is>
          <t>sd</t>
        </is>
      </c>
      <c r="AB614" t="inlineStr">
        <is>
          <t>sd|33.06822,-117.27381</t>
        </is>
      </c>
    </row>
    <row r="615">
      <c r="A615" t="inlineStr">
        <is>
          <t>SD-B2-614</t>
        </is>
      </c>
      <c r="B615" t="inlineStr">
        <is>
          <t>San Diego area</t>
        </is>
      </c>
      <c r="C615" t="inlineStr">
        <is>
          <t>G Avenue</t>
        </is>
      </c>
      <c r="D615" t="inlineStr">
        <is>
          <t>Encino Row</t>
        </is>
      </c>
      <c r="E615" t="inlineStr">
        <is>
          <t>8th Street</t>
        </is>
      </c>
      <c r="F615" t="inlineStr">
        <is>
          <t>1495753325</t>
        </is>
      </c>
      <c r="G615" t="n">
        <v>25</v>
      </c>
      <c r="H615" t="inlineStr">
        <is>
          <t>inferred</t>
        </is>
      </c>
      <c r="I615" t="inlineStr">
        <is>
          <t>cart+LSV</t>
        </is>
      </c>
      <c r="J615" t="inlineStr">
        <is>
          <t>https://www.google.com/maps/@?api=1&amp;map_action=pano&amp;viewpoint=32.689935,-117.183115&amp;heading=206</t>
        </is>
      </c>
      <c r="K615" t="inlineStr">
        <is>
          <t>https://www.google.com/maps/search/?api=1&amp;query=32.689935,-117.183115</t>
        </is>
      </c>
      <c r="L615" t="inlineStr"/>
      <c r="M615" t="inlineStr"/>
      <c r="N615" t="inlineStr"/>
      <c r="O615" t="inlineStr"/>
      <c r="P615" t="inlineStr">
        <is>
          <t>pending</t>
        </is>
      </c>
      <c r="Q615" t="inlineStr"/>
      <c r="R615" t="inlineStr"/>
      <c r="S615" t="inlineStr"/>
      <c r="T615" t="inlineStr"/>
      <c r="U615" t="inlineStr"/>
      <c r="V615">
        <f>IF(OR(L615="",S615=""),"",IF(VALUE(L615)=VALUE(S615),"Y","N"))</f>
        <v/>
      </c>
      <c r="W615">
        <f>IF(V615="Y",S615,"")</f>
        <v/>
      </c>
      <c r="X615" t="inlineStr">
        <is>
          <t>unverified: map has 25 mph (guessed from road type); is it 25 (carts OK) or 30+?</t>
        </is>
      </c>
      <c r="Y615" t="inlineStr"/>
      <c r="Z615" t="n">
        <v>900</v>
      </c>
      <c r="AA615" t="inlineStr">
        <is>
          <t>sd</t>
        </is>
      </c>
      <c r="AB615" t="inlineStr">
        <is>
          <t>sd|32.68993,-117.18312</t>
        </is>
      </c>
    </row>
    <row r="616">
      <c r="A616" t="inlineStr">
        <is>
          <t>SD-B2-615</t>
        </is>
      </c>
      <c r="B616" t="inlineStr">
        <is>
          <t>San Diego area</t>
        </is>
      </c>
      <c r="C616" t="inlineStr">
        <is>
          <t>Health Center Drive</t>
        </is>
      </c>
      <c r="D616" t="inlineStr">
        <is>
          <t>Stephen Birch Lane</t>
        </is>
      </c>
      <c r="E616" t="inlineStr">
        <is>
          <t>Annrae Street</t>
        </is>
      </c>
      <c r="F616" t="inlineStr">
        <is>
          <t>1326479262</t>
        </is>
      </c>
      <c r="G616" t="inlineStr"/>
      <c r="H616" t="inlineStr">
        <is>
          <t>inferred</t>
        </is>
      </c>
      <c r="I616" t="inlineStr">
        <is>
          <t>no</t>
        </is>
      </c>
      <c r="J616" t="inlineStr">
        <is>
          <t>https://www.google.com/maps/@?api=1&amp;map_action=pano&amp;viewpoint=32.797250,-117.156630&amp;heading=17</t>
        </is>
      </c>
      <c r="K616" t="inlineStr">
        <is>
          <t>https://www.google.com/maps/search/?api=1&amp;query=32.797250,-117.156630</t>
        </is>
      </c>
      <c r="L616" t="inlineStr"/>
      <c r="M616" t="inlineStr"/>
      <c r="N616" t="inlineStr"/>
      <c r="O616" t="inlineStr"/>
      <c r="P616" t="inlineStr">
        <is>
          <t>pending</t>
        </is>
      </c>
      <c r="Q616" t="inlineStr"/>
      <c r="R616" t="inlineStr"/>
      <c r="S616" t="inlineStr"/>
      <c r="T616" t="inlineStr"/>
      <c r="U616" t="inlineStr"/>
      <c r="V616">
        <f>IF(OR(L616="",S616=""),"",IF(VALUE(L616)=VALUE(S616),"Y","N"))</f>
        <v/>
      </c>
      <c r="W616">
        <f>IF(V616="Y",S616,"")</f>
        <v/>
      </c>
      <c r="X616" t="inlineStr">
        <is>
          <t>unverified: map has no limit (guessed from road type); main road: what is posted? 35 or lower opens it to LSVs</t>
        </is>
      </c>
      <c r="Y616" t="inlineStr"/>
      <c r="Z616" t="n">
        <v>720</v>
      </c>
      <c r="AA616" t="inlineStr">
        <is>
          <t>sd</t>
        </is>
      </c>
      <c r="AB616" t="inlineStr">
        <is>
          <t>sd|32.79725,-117.15663</t>
        </is>
      </c>
    </row>
    <row r="617">
      <c r="A617" t="inlineStr">
        <is>
          <t>SD-B2-616</t>
        </is>
      </c>
      <c r="B617" t="inlineStr">
        <is>
          <t>San Diego area</t>
        </is>
      </c>
      <c r="C617" t="inlineStr">
        <is>
          <t>Balboa Avenue</t>
        </is>
      </c>
      <c r="D617" t="inlineStr">
        <is>
          <t>(see map link)</t>
        </is>
      </c>
      <c r="E617" t="inlineStr">
        <is>
          <t>Charger Boulevard</t>
        </is>
      </c>
      <c r="F617" t="inlineStr">
        <is>
          <t>340230586</t>
        </is>
      </c>
      <c r="G617" t="n">
        <v>45</v>
      </c>
      <c r="H617" t="inlineStr">
        <is>
          <t>tag</t>
        </is>
      </c>
      <c r="I617" t="inlineStr">
        <is>
          <t>no</t>
        </is>
      </c>
      <c r="J617" t="inlineStr">
        <is>
          <t>https://www.google.com/maps/@?api=1&amp;map_action=pano&amp;viewpoint=32.821795,-117.161005&amp;heading=270</t>
        </is>
      </c>
      <c r="K617" t="inlineStr">
        <is>
          <t>https://www.google.com/maps/search/?api=1&amp;query=32.821795,-117.161005</t>
        </is>
      </c>
      <c r="L617" t="inlineStr"/>
      <c r="M617" t="inlineStr"/>
      <c r="N617" t="inlineStr"/>
      <c r="O617" t="inlineStr"/>
      <c r="P617" t="inlineStr">
        <is>
          <t>pending</t>
        </is>
      </c>
      <c r="Q617" t="inlineStr"/>
      <c r="R617" t="inlineStr"/>
      <c r="S617" t="inlineStr"/>
      <c r="T617" t="inlineStr"/>
      <c r="U617" t="inlineStr"/>
      <c r="V617">
        <f>IF(OR(L617="",S617=""),"",IF(VALUE(L617)=VALUE(S617),"Y","N"))</f>
        <v/>
      </c>
      <c r="W617">
        <f>IF(V617="Y",S617,"")</f>
        <v/>
      </c>
      <c r="X617" t="inlineStr">
        <is>
          <t>unverified: map has 45 mph (OSM tag only); main road: what is posted? 35 or lower opens it to LSVs</t>
        </is>
      </c>
      <c r="Y617" t="inlineStr"/>
      <c r="Z617" t="n">
        <v>779</v>
      </c>
      <c r="AA617" t="inlineStr">
        <is>
          <t>sd</t>
        </is>
      </c>
      <c r="AB617" t="inlineStr">
        <is>
          <t>sd|32.82180,-117.16100</t>
        </is>
      </c>
    </row>
    <row r="618">
      <c r="A618" t="inlineStr">
        <is>
          <t>SD-B2-617</t>
        </is>
      </c>
      <c r="B618" t="inlineStr">
        <is>
          <t>San Diego area</t>
        </is>
      </c>
      <c r="C618" t="inlineStr">
        <is>
          <t>Mount Acadia Boulevard</t>
        </is>
      </c>
      <c r="D618" t="inlineStr">
        <is>
          <t>Via Aquario</t>
        </is>
      </c>
      <c r="E618" t="inlineStr">
        <is>
          <t>Mount Ararat Drive</t>
        </is>
      </c>
      <c r="F618" t="inlineStr">
        <is>
          <t>5971368</t>
        </is>
      </c>
      <c r="G618" t="n">
        <v>30</v>
      </c>
      <c r="H618" t="inlineStr">
        <is>
          <t>mapillary</t>
        </is>
      </c>
      <c r="I618" t="inlineStr">
        <is>
          <t>LSV</t>
        </is>
      </c>
      <c r="J618" t="inlineStr">
        <is>
          <t>https://www.google.com/maps/@?api=1&amp;map_action=pano&amp;viewpoint=32.808830,-117.181170&amp;heading=10</t>
        </is>
      </c>
      <c r="K618" t="inlineStr">
        <is>
          <t>https://www.google.com/maps/search/?api=1&amp;query=32.808830,-117.181170</t>
        </is>
      </c>
      <c r="L618" t="inlineStr"/>
      <c r="M618" t="inlineStr"/>
      <c r="N618" t="inlineStr"/>
      <c r="O618" t="inlineStr"/>
      <c r="P618" t="inlineStr">
        <is>
          <t>pending</t>
        </is>
      </c>
      <c r="Q618" t="inlineStr"/>
      <c r="R618" t="inlineStr"/>
      <c r="S618" t="inlineStr"/>
      <c r="T618" t="inlineStr">
        <is>
          <t>Mapillary: 1 posted 30 mph sign(s) detected</t>
        </is>
      </c>
      <c r="U618" t="inlineStr">
        <is>
          <t>https://www.mapillary.com/app/?lat=32.807230&amp;lng=-117.182370&amp;z=19&amp;focus=map&amp;mapFeatureId=1151185866482872</t>
        </is>
      </c>
      <c r="V618">
        <f>IF(OR(L618="",S618=""),"",IF(VALUE(L618)=VALUE(S618),"Y","N"))</f>
        <v/>
      </c>
      <c r="W618">
        <f>IF(V618="Y",S618,"")</f>
        <v/>
      </c>
      <c r="X618" t="inlineStr">
        <is>
          <t>unverified: map has 30 mph (one Mapillary sign); is it 25 (carts OK) or 30+?</t>
        </is>
      </c>
      <c r="Y618" t="inlineStr"/>
      <c r="Z618" t="n">
        <v>1169</v>
      </c>
      <c r="AA618" t="inlineStr">
        <is>
          <t>sd</t>
        </is>
      </c>
      <c r="AB618" t="inlineStr">
        <is>
          <t>sd|32.80883,-117.18117</t>
        </is>
      </c>
    </row>
    <row r="619">
      <c r="A619" t="inlineStr">
        <is>
          <t>SD-B2-618</t>
        </is>
      </c>
      <c r="B619" t="inlineStr">
        <is>
          <t>San Diego area</t>
        </is>
      </c>
      <c r="C619" t="inlineStr">
        <is>
          <t>Balboa Avenue</t>
        </is>
      </c>
      <c r="D619" t="inlineStr">
        <is>
          <t>Mount Culebra Avenue</t>
        </is>
      </c>
      <c r="E619" t="inlineStr">
        <is>
          <t>(see map link)</t>
        </is>
      </c>
      <c r="F619" t="inlineStr">
        <is>
          <t>238523889</t>
        </is>
      </c>
      <c r="G619" t="n">
        <v>45</v>
      </c>
      <c r="H619" t="inlineStr">
        <is>
          <t>mapillary</t>
        </is>
      </c>
      <c r="I619" t="inlineStr">
        <is>
          <t>no</t>
        </is>
      </c>
      <c r="J619" t="inlineStr">
        <is>
          <t>https://www.google.com/maps/@?api=1&amp;map_action=pano&amp;viewpoint=32.815100,-117.193310&amp;heading=231</t>
        </is>
      </c>
      <c r="K619" t="inlineStr">
        <is>
          <t>https://www.google.com/maps/search/?api=1&amp;query=32.815100,-117.193310</t>
        </is>
      </c>
      <c r="L619" t="inlineStr"/>
      <c r="M619" t="inlineStr"/>
      <c r="N619" t="inlineStr"/>
      <c r="O619" t="inlineStr"/>
      <c r="P619" t="inlineStr">
        <is>
          <t>pending</t>
        </is>
      </c>
      <c r="Q619" t="inlineStr"/>
      <c r="R619" t="inlineStr"/>
      <c r="S619" t="inlineStr"/>
      <c r="T619" t="inlineStr">
        <is>
          <t>Mapillary: 1 posted 45 mph sign(s) detected</t>
        </is>
      </c>
      <c r="U619" t="inlineStr">
        <is>
          <t>https://www.mapillary.com/app/?lat=32.815680&amp;lng=-117.192620&amp;z=19&amp;focus=map&amp;mapFeatureId=219607206636756</t>
        </is>
      </c>
      <c r="V619">
        <f>IF(OR(L619="",S619=""),"",IF(VALUE(L619)=VALUE(S619),"Y","N"))</f>
        <v/>
      </c>
      <c r="W619">
        <f>IF(V619="Y",S619,"")</f>
        <v/>
      </c>
      <c r="X619" t="inlineStr">
        <is>
          <t>unverified: map has 45 mph (one Mapillary sign); main road: what is posted? 35 or lower opens it to LSVs</t>
        </is>
      </c>
      <c r="Y619" t="inlineStr"/>
      <c r="Z619" t="n">
        <v>973</v>
      </c>
      <c r="AA619" t="inlineStr">
        <is>
          <t>sd</t>
        </is>
      </c>
      <c r="AB619" t="inlineStr">
        <is>
          <t>sd|32.81510,-117.19331</t>
        </is>
      </c>
    </row>
    <row r="620">
      <c r="A620" t="inlineStr">
        <is>
          <t>SD-B2-619</t>
        </is>
      </c>
      <c r="B620" t="inlineStr">
        <is>
          <t>San Diego area</t>
        </is>
      </c>
      <c r="C620" t="inlineStr">
        <is>
          <t>Paseo de Las Flores</t>
        </is>
      </c>
      <c r="D620" t="inlineStr">
        <is>
          <t>Lynwood Drive</t>
        </is>
      </c>
      <c r="E620" t="inlineStr">
        <is>
          <t>Quail Gardens Drive</t>
        </is>
      </c>
      <c r="F620" t="inlineStr">
        <is>
          <t>32777606</t>
        </is>
      </c>
      <c r="G620" t="n">
        <v>25</v>
      </c>
      <c r="H620" t="inlineStr">
        <is>
          <t>inferred</t>
        </is>
      </c>
      <c r="I620" t="inlineStr">
        <is>
          <t>cart+LSV</t>
        </is>
      </c>
      <c r="J620" t="inlineStr">
        <is>
          <t>https://www.google.com/maps/@?api=1&amp;map_action=pano&amp;viewpoint=33.064070,-117.274360&amp;heading=342</t>
        </is>
      </c>
      <c r="K620" t="inlineStr">
        <is>
          <t>https://www.google.com/maps/search/?api=1&amp;query=33.064070,-117.274360</t>
        </is>
      </c>
      <c r="L620" t="inlineStr"/>
      <c r="M620" t="inlineStr"/>
      <c r="N620" t="inlineStr"/>
      <c r="O620" t="inlineStr"/>
      <c r="P620" t="inlineStr">
        <is>
          <t>pending</t>
        </is>
      </c>
      <c r="Q620" t="inlineStr"/>
      <c r="R620" t="inlineStr"/>
      <c r="S620" t="inlineStr"/>
      <c r="T620" t="inlineStr"/>
      <c r="U620" t="inlineStr"/>
      <c r="V620">
        <f>IF(OR(L620="",S620=""),"",IF(VALUE(L620)=VALUE(S620),"Y","N"))</f>
        <v/>
      </c>
      <c r="W620">
        <f>IF(V620="Y",S620,"")</f>
        <v/>
      </c>
      <c r="X620" t="inlineStr">
        <is>
          <t>unverified: map has 25 mph (guessed from road type); is it 25 (carts OK) or 30+?</t>
        </is>
      </c>
      <c r="Y620" t="inlineStr"/>
      <c r="Z620" t="n">
        <v>898</v>
      </c>
      <c r="AA620" t="inlineStr">
        <is>
          <t>sd</t>
        </is>
      </c>
      <c r="AB620" t="inlineStr">
        <is>
          <t>sd|33.06407,-117.27436</t>
        </is>
      </c>
    </row>
    <row r="621">
      <c r="A621" t="inlineStr">
        <is>
          <t>SD-B2-620</t>
        </is>
      </c>
      <c r="B621" t="inlineStr">
        <is>
          <t>San Diego area</t>
        </is>
      </c>
      <c r="C621" t="inlineStr">
        <is>
          <t>Civita Boulevard</t>
        </is>
      </c>
      <c r="D621" t="inlineStr">
        <is>
          <t>Russell Park Way</t>
        </is>
      </c>
      <c r="E621" t="inlineStr">
        <is>
          <t>Franklin Ridge Road</t>
        </is>
      </c>
      <c r="F621" t="inlineStr">
        <is>
          <t>1078821205</t>
        </is>
      </c>
      <c r="G621" t="n">
        <v>25</v>
      </c>
      <c r="H621" t="inlineStr">
        <is>
          <t>tag</t>
        </is>
      </c>
      <c r="I621" t="inlineStr">
        <is>
          <t>cart+LSV</t>
        </is>
      </c>
      <c r="J621" t="inlineStr">
        <is>
          <t>https://www.google.com/maps/@?api=1&amp;map_action=pano&amp;viewpoint=32.777990,-117.146400&amp;heading=232</t>
        </is>
      </c>
      <c r="K621" t="inlineStr">
        <is>
          <t>https://www.google.com/maps/search/?api=1&amp;query=32.777990,-117.146400</t>
        </is>
      </c>
      <c r="L621" t="inlineStr"/>
      <c r="M621" t="inlineStr"/>
      <c r="N621" t="inlineStr"/>
      <c r="O621" t="inlineStr"/>
      <c r="P621" t="inlineStr">
        <is>
          <t>pending</t>
        </is>
      </c>
      <c r="Q621" t="inlineStr"/>
      <c r="R621" t="inlineStr"/>
      <c r="S621" t="inlineStr"/>
      <c r="T621" t="inlineStr"/>
      <c r="U621" t="inlineStr"/>
      <c r="V621">
        <f>IF(OR(L621="",S621=""),"",IF(VALUE(L621)=VALUE(S621),"Y","N"))</f>
        <v/>
      </c>
      <c r="W621">
        <f>IF(V621="Y",S621,"")</f>
        <v/>
      </c>
      <c r="X621" t="inlineStr">
        <is>
          <t>unverified: map has 25 mph (OSM tag only); is it 25 (carts OK) or 30+?</t>
        </is>
      </c>
      <c r="Y621" t="inlineStr"/>
      <c r="Z621" t="n">
        <v>933</v>
      </c>
      <c r="AA621" t="inlineStr">
        <is>
          <t>sd</t>
        </is>
      </c>
      <c r="AB621" t="inlineStr">
        <is>
          <t>sd|32.77799,-117.14640</t>
        </is>
      </c>
    </row>
    <row r="622">
      <c r="A622" t="inlineStr">
        <is>
          <t>SD-B2-621</t>
        </is>
      </c>
      <c r="B622" t="inlineStr">
        <is>
          <t>San Diego area</t>
        </is>
      </c>
      <c r="C622" t="inlineStr">
        <is>
          <t>Avenida de Acacias</t>
        </is>
      </c>
      <c r="D622" t="inlineStr">
        <is>
          <t>El Tordo</t>
        </is>
      </c>
      <c r="E622" t="inlineStr">
        <is>
          <t>San Elijo Avenue</t>
        </is>
      </c>
      <c r="F622" t="inlineStr">
        <is>
          <t>345629388</t>
        </is>
      </c>
      <c r="G622" t="n">
        <v>40</v>
      </c>
      <c r="H622" t="inlineStr">
        <is>
          <t>mapillary</t>
        </is>
      </c>
      <c r="I622" t="inlineStr">
        <is>
          <t>no</t>
        </is>
      </c>
      <c r="J622" t="inlineStr">
        <is>
          <t>https://www.google.com/maps/@?api=1&amp;map_action=pano&amp;viewpoint=33.022620,-117.205240&amp;heading=22</t>
        </is>
      </c>
      <c r="K622" t="inlineStr">
        <is>
          <t>https://www.google.com/maps/search/?api=1&amp;query=33.022620,-117.205240</t>
        </is>
      </c>
      <c r="L622" t="inlineStr"/>
      <c r="M622" t="inlineStr"/>
      <c r="N622" t="inlineStr"/>
      <c r="O622" t="inlineStr"/>
      <c r="P622" t="inlineStr">
        <is>
          <t>pending</t>
        </is>
      </c>
      <c r="Q622" t="inlineStr"/>
      <c r="R622" t="inlineStr"/>
      <c r="S622" t="inlineStr"/>
      <c r="T622" t="inlineStr">
        <is>
          <t>Mapillary: 12 posted 40 mph sign(s) detected</t>
        </is>
      </c>
      <c r="U622" t="inlineStr">
        <is>
          <t>https://www.mapillary.com/app/?lat=33.025490&amp;lng=-117.205050&amp;z=19&amp;focus=map&amp;mapFeatureId=264520298893019</t>
        </is>
      </c>
      <c r="V622">
        <f>IF(OR(L622="",S622=""),"",IF(VALUE(L622)=VALUE(S622),"Y","N"))</f>
        <v/>
      </c>
      <c r="W622">
        <f>IF(V622="Y",S622,"")</f>
        <v/>
      </c>
      <c r="X622" t="inlineStr">
        <is>
          <t>unverified: map has 40 mph (one Mapillary sign); is it 35 (LSV OK) or 40+?</t>
        </is>
      </c>
      <c r="Y622" t="inlineStr"/>
      <c r="Z622" t="n">
        <v>1457</v>
      </c>
      <c r="AA622" t="inlineStr">
        <is>
          <t>sd</t>
        </is>
      </c>
      <c r="AB622" t="inlineStr">
        <is>
          <t>sd|33.02262,-117.20524</t>
        </is>
      </c>
    </row>
    <row r="623">
      <c r="A623" t="inlineStr">
        <is>
          <t>SD-B2-622</t>
        </is>
      </c>
      <c r="B623" t="inlineStr">
        <is>
          <t>San Diego area</t>
        </is>
      </c>
      <c r="C623" t="inlineStr">
        <is>
          <t>Mount Abernathy Avenue</t>
        </is>
      </c>
      <c r="D623" t="inlineStr">
        <is>
          <t>(see map link)</t>
        </is>
      </c>
      <c r="E623" t="inlineStr">
        <is>
          <t>Cannington Drive</t>
        </is>
      </c>
      <c r="F623" t="inlineStr">
        <is>
          <t>178598354</t>
        </is>
      </c>
      <c r="G623" t="n">
        <v>30</v>
      </c>
      <c r="H623" t="inlineStr">
        <is>
          <t>mapillary</t>
        </is>
      </c>
      <c r="I623" t="inlineStr">
        <is>
          <t>LSV</t>
        </is>
      </c>
      <c r="J623" t="inlineStr">
        <is>
          <t>https://www.google.com/maps/@?api=1&amp;map_action=pano&amp;viewpoint=32.830995,-117.171410&amp;heading=2</t>
        </is>
      </c>
      <c r="K623" t="inlineStr">
        <is>
          <t>https://www.google.com/maps/search/?api=1&amp;query=32.830995,-117.171410</t>
        </is>
      </c>
      <c r="L623" t="inlineStr"/>
      <c r="M623" t="inlineStr"/>
      <c r="N623" t="inlineStr"/>
      <c r="O623" t="inlineStr"/>
      <c r="P623" t="inlineStr">
        <is>
          <t>pending</t>
        </is>
      </c>
      <c r="Q623" t="inlineStr"/>
      <c r="R623" t="inlineStr"/>
      <c r="S623" t="inlineStr"/>
      <c r="T623" t="inlineStr">
        <is>
          <t>Mapillary: 2 posted 30 mph sign(s) detected</t>
        </is>
      </c>
      <c r="U623" t="inlineStr">
        <is>
          <t>https://www.mapillary.com/app/?lat=32.826122&amp;lng=-117.173120&amp;z=19&amp;focus=map&amp;mapFeatureId=325649662243180</t>
        </is>
      </c>
      <c r="V623">
        <f>IF(OR(L623="",S623=""),"",IF(VALUE(L623)=VALUE(S623),"Y","N"))</f>
        <v/>
      </c>
      <c r="W623">
        <f>IF(V623="Y",S623,"")</f>
        <v/>
      </c>
      <c r="X623" t="inlineStr">
        <is>
          <t>unverified: map has 30 mph (one Mapillary sign); is it 25 (carts OK) or 30+?</t>
        </is>
      </c>
      <c r="Y623" t="inlineStr"/>
      <c r="Z623" t="n">
        <v>1163</v>
      </c>
      <c r="AA623" t="inlineStr">
        <is>
          <t>sd</t>
        </is>
      </c>
      <c r="AB623" t="inlineStr">
        <is>
          <t>sd|32.83100,-117.17141</t>
        </is>
      </c>
    </row>
    <row r="624">
      <c r="A624" t="inlineStr">
        <is>
          <t>SD-B2-623</t>
        </is>
      </c>
      <c r="B624" t="inlineStr">
        <is>
          <t>San Diego area</t>
        </is>
      </c>
      <c r="C624" t="inlineStr">
        <is>
          <t>McKinley Avenue</t>
        </is>
      </c>
      <c r="D624" t="inlineStr">
        <is>
          <t>West 14th Street</t>
        </is>
      </c>
      <c r="E624" t="inlineStr">
        <is>
          <t>West 23rd Street</t>
        </is>
      </c>
      <c r="F624" t="inlineStr">
        <is>
          <t>6005954</t>
        </is>
      </c>
      <c r="G624" t="n">
        <v>25</v>
      </c>
      <c r="H624" t="inlineStr">
        <is>
          <t>inferred</t>
        </is>
      </c>
      <c r="I624" t="inlineStr">
        <is>
          <t>cart+LSV</t>
        </is>
      </c>
      <c r="J624" t="inlineStr">
        <is>
          <t>https://www.google.com/maps/@?api=1&amp;map_action=pano&amp;viewpoint=32.666110,-117.111075&amp;heading=162</t>
        </is>
      </c>
      <c r="K624" t="inlineStr">
        <is>
          <t>https://www.google.com/maps/search/?api=1&amp;query=32.666110,-117.111075</t>
        </is>
      </c>
      <c r="L624" t="inlineStr"/>
      <c r="M624" t="inlineStr"/>
      <c r="N624" t="inlineStr"/>
      <c r="O624" t="inlineStr"/>
      <c r="P624" t="inlineStr">
        <is>
          <t>pending</t>
        </is>
      </c>
      <c r="Q624" t="inlineStr"/>
      <c r="R624" t="inlineStr"/>
      <c r="S624" t="inlineStr"/>
      <c r="T624" t="inlineStr"/>
      <c r="U624" t="inlineStr"/>
      <c r="V624">
        <f>IF(OR(L624="",S624=""),"",IF(VALUE(L624)=VALUE(S624),"Y","N"))</f>
        <v/>
      </c>
      <c r="W624">
        <f>IF(V624="Y",S624,"")</f>
        <v/>
      </c>
      <c r="X624" t="inlineStr">
        <is>
          <t>unverified: map has 25 mph (guessed from road type); is it 25 (carts OK) or 30+?</t>
        </is>
      </c>
      <c r="Y624" t="inlineStr"/>
      <c r="Z624" t="n">
        <v>890</v>
      </c>
      <c r="AA624" t="inlineStr">
        <is>
          <t>sd</t>
        </is>
      </c>
      <c r="AB624" t="inlineStr">
        <is>
          <t>sd|32.66611,-117.11107</t>
        </is>
      </c>
    </row>
    <row r="625">
      <c r="A625" t="inlineStr">
        <is>
          <t>SD-B2-624</t>
        </is>
      </c>
      <c r="B625" t="inlineStr">
        <is>
          <t>San Diego area</t>
        </is>
      </c>
      <c r="C625" t="inlineStr">
        <is>
          <t>Cordova Street</t>
        </is>
      </c>
      <c r="D625" t="inlineStr">
        <is>
          <t>Ladera Street</t>
        </is>
      </c>
      <c r="E625" t="inlineStr">
        <is>
          <t>Sunset Cliffs Boulevard</t>
        </is>
      </c>
      <c r="F625" t="inlineStr">
        <is>
          <t>6051289</t>
        </is>
      </c>
      <c r="G625" t="n">
        <v>25</v>
      </c>
      <c r="H625" t="inlineStr">
        <is>
          <t>inferred</t>
        </is>
      </c>
      <c r="I625" t="inlineStr">
        <is>
          <t>cart+LSV</t>
        </is>
      </c>
      <c r="J625" t="inlineStr">
        <is>
          <t>https://www.google.com/maps/@?api=1&amp;map_action=pano&amp;viewpoint=32.726285,-117.255545&amp;heading=12</t>
        </is>
      </c>
      <c r="K625" t="inlineStr">
        <is>
          <t>https://www.google.com/maps/search/?api=1&amp;query=32.726285,-117.255545</t>
        </is>
      </c>
      <c r="L625" t="inlineStr"/>
      <c r="M625" t="inlineStr"/>
      <c r="N625" t="inlineStr"/>
      <c r="O625" t="inlineStr"/>
      <c r="P625" t="inlineStr">
        <is>
          <t>pending</t>
        </is>
      </c>
      <c r="Q625" t="inlineStr"/>
      <c r="R625" t="inlineStr"/>
      <c r="S625" t="inlineStr"/>
      <c r="T625" t="inlineStr"/>
      <c r="U625" t="inlineStr"/>
      <c r="V625">
        <f>IF(OR(L625="",S625=""),"",IF(VALUE(L625)=VALUE(S625),"Y","N"))</f>
        <v/>
      </c>
      <c r="W625">
        <f>IF(V625="Y",S625,"")</f>
        <v/>
      </c>
      <c r="X625" t="inlineStr">
        <is>
          <t>unverified: map has 25 mph (guessed from road type); is it 25 (carts OK) or 30+?</t>
        </is>
      </c>
      <c r="Y625" t="inlineStr"/>
      <c r="Z625" t="n">
        <v>889</v>
      </c>
      <c r="AA625" t="inlineStr">
        <is>
          <t>sd</t>
        </is>
      </c>
      <c r="AB625" t="inlineStr">
        <is>
          <t>sd|32.72629,-117.25555</t>
        </is>
      </c>
    </row>
    <row r="626">
      <c r="A626" t="inlineStr">
        <is>
          <t>SD-B2-625</t>
        </is>
      </c>
      <c r="B626" t="inlineStr">
        <is>
          <t>San Diego area</t>
        </is>
      </c>
      <c r="C626" t="inlineStr">
        <is>
          <t>Lytton Street</t>
        </is>
      </c>
      <c r="D626" t="inlineStr">
        <is>
          <t>Locust Street</t>
        </is>
      </c>
      <c r="E626" t="inlineStr">
        <is>
          <t>Rosecrans Street</t>
        </is>
      </c>
      <c r="F626" t="inlineStr">
        <is>
          <t>617501108</t>
        </is>
      </c>
      <c r="G626" t="inlineStr"/>
      <c r="H626" t="inlineStr">
        <is>
          <t>inferred</t>
        </is>
      </c>
      <c r="I626" t="inlineStr">
        <is>
          <t>no</t>
        </is>
      </c>
      <c r="J626" t="inlineStr">
        <is>
          <t>https://www.google.com/maps/@?api=1&amp;map_action=pano&amp;viewpoint=32.743785,-117.211820&amp;heading=125</t>
        </is>
      </c>
      <c r="K626" t="inlineStr">
        <is>
          <t>https://www.google.com/maps/search/?api=1&amp;query=32.743785,-117.211820</t>
        </is>
      </c>
      <c r="L626" t="inlineStr"/>
      <c r="M626" t="inlineStr"/>
      <c r="N626" t="inlineStr"/>
      <c r="O626" t="inlineStr"/>
      <c r="P626" t="inlineStr">
        <is>
          <t>pending</t>
        </is>
      </c>
      <c r="Q626" t="inlineStr"/>
      <c r="R626" t="inlineStr"/>
      <c r="S626" t="inlineStr"/>
      <c r="T626" t="inlineStr"/>
      <c r="U626" t="inlineStr"/>
      <c r="V626">
        <f>IF(OR(L626="",S626=""),"",IF(VALUE(L626)=VALUE(S626),"Y","N"))</f>
        <v/>
      </c>
      <c r="W626">
        <f>IF(V626="Y",S626,"")</f>
        <v/>
      </c>
      <c r="X626" t="inlineStr">
        <is>
          <t>unverified: map has no limit (guessed from road type); main road: what is posted? 35 or lower opens it to LSVs</t>
        </is>
      </c>
      <c r="Y626" t="inlineStr"/>
      <c r="Z626" t="n">
        <v>711</v>
      </c>
      <c r="AA626" t="inlineStr">
        <is>
          <t>sd</t>
        </is>
      </c>
      <c r="AB626" t="inlineStr">
        <is>
          <t>sd|32.74379,-117.21182</t>
        </is>
      </c>
    </row>
    <row r="627">
      <c r="A627" t="inlineStr">
        <is>
          <t>SD-B2-626</t>
        </is>
      </c>
      <c r="B627" t="inlineStr">
        <is>
          <t>San Diego area</t>
        </is>
      </c>
      <c r="C627" t="inlineStr">
        <is>
          <t>Vista de la Tierra</t>
        </is>
      </c>
      <c r="D627" t="inlineStr">
        <is>
          <t>Caminito Daniella</t>
        </is>
      </c>
      <c r="E627" t="inlineStr">
        <is>
          <t>Ladera Sarina</t>
        </is>
      </c>
      <c r="F627" t="inlineStr">
        <is>
          <t>34093451</t>
        </is>
      </c>
      <c r="G627" t="n">
        <v>25</v>
      </c>
      <c r="H627" t="inlineStr">
        <is>
          <t>inferred</t>
        </is>
      </c>
      <c r="I627" t="inlineStr">
        <is>
          <t>cart+LSV</t>
        </is>
      </c>
      <c r="J627" t="inlineStr">
        <is>
          <t>https://www.google.com/maps/@?api=1&amp;map_action=pano&amp;viewpoint=32.986700,-117.233310&amp;heading=64</t>
        </is>
      </c>
      <c r="K627" t="inlineStr">
        <is>
          <t>https://www.google.com/maps/search/?api=1&amp;query=32.986700,-117.233310</t>
        </is>
      </c>
      <c r="L627" t="inlineStr"/>
      <c r="M627" t="inlineStr"/>
      <c r="N627" t="inlineStr"/>
      <c r="O627" t="inlineStr"/>
      <c r="P627" t="inlineStr">
        <is>
          <t>pending</t>
        </is>
      </c>
      <c r="Q627" t="inlineStr"/>
      <c r="R627" t="inlineStr"/>
      <c r="S627" t="inlineStr"/>
      <c r="T627" t="inlineStr"/>
      <c r="U627" t="inlineStr"/>
      <c r="V627">
        <f>IF(OR(L627="",S627=""),"",IF(VALUE(L627)=VALUE(S627),"Y","N"))</f>
        <v/>
      </c>
      <c r="W627">
        <f>IF(V627="Y",S627,"")</f>
        <v/>
      </c>
      <c r="X627" t="inlineStr">
        <is>
          <t>unverified: map has 25 mph (guessed from road type); is it 25 (carts OK) or 30+?</t>
        </is>
      </c>
      <c r="Y627" t="inlineStr"/>
      <c r="Z627" t="n">
        <v>888</v>
      </c>
      <c r="AA627" t="inlineStr">
        <is>
          <t>sd</t>
        </is>
      </c>
      <c r="AB627" t="inlineStr">
        <is>
          <t>sd|32.98670,-117.23331</t>
        </is>
      </c>
    </row>
    <row r="628">
      <c r="A628" t="inlineStr">
        <is>
          <t>SD-B2-627</t>
        </is>
      </c>
      <c r="B628" t="inlineStr">
        <is>
          <t>San Diego area</t>
        </is>
      </c>
      <c r="C628" t="inlineStr">
        <is>
          <t>Sea World Drive</t>
        </is>
      </c>
      <c r="D628" t="inlineStr">
        <is>
          <t>Friars Road</t>
        </is>
      </c>
      <c r="E628" t="inlineStr">
        <is>
          <t>Pacific Highway</t>
        </is>
      </c>
      <c r="F628" t="inlineStr">
        <is>
          <t>948288939</t>
        </is>
      </c>
      <c r="G628" t="n">
        <v>45</v>
      </c>
      <c r="H628" t="inlineStr">
        <is>
          <t>tag</t>
        </is>
      </c>
      <c r="I628" t="inlineStr">
        <is>
          <t>no</t>
        </is>
      </c>
      <c r="J628" t="inlineStr">
        <is>
          <t>https://www.google.com/maps/@?api=1&amp;map_action=pano&amp;viewpoint=32.764980,-117.208720&amp;heading=18</t>
        </is>
      </c>
      <c r="K628" t="inlineStr">
        <is>
          <t>https://www.google.com/maps/search/?api=1&amp;query=32.764980,-117.208720</t>
        </is>
      </c>
      <c r="L628" t="inlineStr"/>
      <c r="M628" t="inlineStr"/>
      <c r="N628" t="inlineStr"/>
      <c r="O628" t="inlineStr"/>
      <c r="P628" t="inlineStr">
        <is>
          <t>pending</t>
        </is>
      </c>
      <c r="Q628" t="inlineStr"/>
      <c r="R628" t="inlineStr"/>
      <c r="S628" t="inlineStr"/>
      <c r="T628" t="inlineStr"/>
      <c r="U628" t="inlineStr"/>
      <c r="V628">
        <f>IF(OR(L628="",S628=""),"",IF(VALUE(L628)=VALUE(S628),"Y","N"))</f>
        <v/>
      </c>
      <c r="W628">
        <f>IF(V628="Y",S628,"")</f>
        <v/>
      </c>
      <c r="X628" t="inlineStr">
        <is>
          <t>unverified: map has 45 mph (OSM tag only); main road: what is posted? 35 or lower opens it to LSVs</t>
        </is>
      </c>
      <c r="Y628" t="inlineStr"/>
      <c r="Z628" t="n">
        <v>769</v>
      </c>
      <c r="AA628" t="inlineStr">
        <is>
          <t>sd</t>
        </is>
      </c>
      <c r="AB628" t="inlineStr">
        <is>
          <t>sd|32.76498,-117.20872</t>
        </is>
      </c>
    </row>
    <row r="629">
      <c r="A629" t="inlineStr">
        <is>
          <t>SD-B2-628</t>
        </is>
      </c>
      <c r="B629" t="inlineStr">
        <is>
          <t>San Diego area</t>
        </is>
      </c>
      <c r="C629" t="inlineStr">
        <is>
          <t>Tech Way</t>
        </is>
      </c>
      <c r="D629" t="inlineStr">
        <is>
          <t>(see map link)</t>
        </is>
      </c>
      <c r="E629" t="inlineStr">
        <is>
          <t>Paramount Drive</t>
        </is>
      </c>
      <c r="F629" t="inlineStr">
        <is>
          <t>1038767913</t>
        </is>
      </c>
      <c r="G629" t="n">
        <v>45</v>
      </c>
      <c r="H629" t="inlineStr">
        <is>
          <t>tag</t>
        </is>
      </c>
      <c r="I629" t="inlineStr">
        <is>
          <t>no</t>
        </is>
      </c>
      <c r="J629" t="inlineStr">
        <is>
          <t>https://www.google.com/maps/@?api=1&amp;map_action=pano&amp;viewpoint=32.823860,-117.137000&amp;heading=90</t>
        </is>
      </c>
      <c r="K629" t="inlineStr">
        <is>
          <t>https://www.google.com/maps/search/?api=1&amp;query=32.823860,-117.137000</t>
        </is>
      </c>
      <c r="L629" t="inlineStr"/>
      <c r="M629" t="inlineStr"/>
      <c r="N629" t="inlineStr"/>
      <c r="O629" t="inlineStr"/>
      <c r="P629" t="inlineStr">
        <is>
          <t>pending</t>
        </is>
      </c>
      <c r="Q629" t="inlineStr"/>
      <c r="R629" t="inlineStr"/>
      <c r="S629" t="inlineStr"/>
      <c r="T629" t="inlineStr"/>
      <c r="U629" t="inlineStr"/>
      <c r="V629">
        <f>IF(OR(L629="",S629=""),"",IF(VALUE(L629)=VALUE(S629),"Y","N"))</f>
        <v/>
      </c>
      <c r="W629">
        <f>IF(V629="Y",S629,"")</f>
        <v/>
      </c>
      <c r="X629" t="inlineStr">
        <is>
          <t>unverified: map has 45 mph (OSM tag only); main road: what is posted? 35 or lower opens it to LSVs</t>
        </is>
      </c>
      <c r="Y629" t="inlineStr"/>
      <c r="Z629" t="n">
        <v>1152</v>
      </c>
      <c r="AA629" t="inlineStr">
        <is>
          <t>sd</t>
        </is>
      </c>
      <c r="AB629" t="inlineStr">
        <is>
          <t>sd|32.82386,-117.13700</t>
        </is>
      </c>
    </row>
    <row r="630">
      <c r="A630" t="inlineStr">
        <is>
          <t>SD-B2-629</t>
        </is>
      </c>
      <c r="B630" t="inlineStr">
        <is>
          <t>San Diego area</t>
        </is>
      </c>
      <c r="C630" t="inlineStr">
        <is>
          <t>California Street</t>
        </is>
      </c>
      <c r="D630" t="inlineStr">
        <is>
          <t>Alvarado Street</t>
        </is>
      </c>
      <c r="E630" t="inlineStr">
        <is>
          <t>Soto Street</t>
        </is>
      </c>
      <c r="F630" t="inlineStr">
        <is>
          <t>5985701</t>
        </is>
      </c>
      <c r="G630" t="n">
        <v>25</v>
      </c>
      <c r="H630" t="inlineStr">
        <is>
          <t>inferred</t>
        </is>
      </c>
      <c r="I630" t="inlineStr">
        <is>
          <t>cart+LSV</t>
        </is>
      </c>
      <c r="J630" t="inlineStr">
        <is>
          <t>https://www.google.com/maps/@?api=1&amp;map_action=pano&amp;viewpoint=33.182760,-117.360925&amp;heading=55</t>
        </is>
      </c>
      <c r="K630" t="inlineStr">
        <is>
          <t>https://www.google.com/maps/search/?api=1&amp;query=33.182760,-117.360925</t>
        </is>
      </c>
      <c r="L630" t="inlineStr"/>
      <c r="M630" t="inlineStr"/>
      <c r="N630" t="inlineStr"/>
      <c r="O630" t="inlineStr"/>
      <c r="P630" t="inlineStr">
        <is>
          <t>pending</t>
        </is>
      </c>
      <c r="Q630" t="inlineStr"/>
      <c r="R630" t="inlineStr"/>
      <c r="S630" t="inlineStr"/>
      <c r="T630" t="inlineStr"/>
      <c r="U630" t="inlineStr"/>
      <c r="V630">
        <f>IF(OR(L630="",S630=""),"",IF(VALUE(L630)=VALUE(S630),"Y","N"))</f>
        <v/>
      </c>
      <c r="W630">
        <f>IF(V630="Y",S630,"")</f>
        <v/>
      </c>
      <c r="X630" t="inlineStr">
        <is>
          <t>unverified: map has 25 mph (guessed from road type); is it 25 (carts OK) or 30+?</t>
        </is>
      </c>
      <c r="Y630" t="inlineStr"/>
      <c r="Z630" t="n">
        <v>886</v>
      </c>
      <c r="AA630" t="inlineStr">
        <is>
          <t>sd</t>
        </is>
      </c>
      <c r="AB630" t="inlineStr">
        <is>
          <t>sd|33.18276,-117.36092</t>
        </is>
      </c>
    </row>
    <row r="631">
      <c r="A631" t="inlineStr">
        <is>
          <t>SD-B2-630</t>
        </is>
      </c>
      <c r="B631" t="inlineStr">
        <is>
          <t>San Diego area</t>
        </is>
      </c>
      <c r="C631" t="inlineStr">
        <is>
          <t>Nimitz Boulevard</t>
        </is>
      </c>
      <c r="D631" t="inlineStr">
        <is>
          <t>(see map link)</t>
        </is>
      </c>
      <c r="E631" t="inlineStr">
        <is>
          <t>Rosecrans Street</t>
        </is>
      </c>
      <c r="F631" t="inlineStr">
        <is>
          <t>636846328</t>
        </is>
      </c>
      <c r="G631" t="inlineStr"/>
      <c r="H631" t="inlineStr">
        <is>
          <t>inferred</t>
        </is>
      </c>
      <c r="I631" t="inlineStr">
        <is>
          <t>no</t>
        </is>
      </c>
      <c r="J631" t="inlineStr">
        <is>
          <t>https://www.google.com/maps/@?api=1&amp;map_action=pano&amp;viewpoint=32.726810,-117.222785&amp;heading=306</t>
        </is>
      </c>
      <c r="K631" t="inlineStr">
        <is>
          <t>https://www.google.com/maps/search/?api=1&amp;query=32.726810,-117.222785</t>
        </is>
      </c>
      <c r="L631" t="inlineStr"/>
      <c r="M631" t="inlineStr"/>
      <c r="N631" t="inlineStr"/>
      <c r="O631" t="inlineStr"/>
      <c r="P631" t="inlineStr">
        <is>
          <t>pending</t>
        </is>
      </c>
      <c r="Q631" t="inlineStr"/>
      <c r="R631" t="inlineStr"/>
      <c r="S631" t="inlineStr"/>
      <c r="T631" t="inlineStr"/>
      <c r="U631" t="inlineStr"/>
      <c r="V631">
        <f>IF(OR(L631="",S631=""),"",IF(VALUE(L631)=VALUE(S631),"Y","N"))</f>
        <v/>
      </c>
      <c r="W631">
        <f>IF(V631="Y",S631,"")</f>
        <v/>
      </c>
      <c r="X631" t="inlineStr">
        <is>
          <t>unverified: map has no limit (guessed from road type); main road: what is posted? 35 or lower opens it to LSVs</t>
        </is>
      </c>
      <c r="Y631" t="inlineStr"/>
      <c r="Z631" t="n">
        <v>590</v>
      </c>
      <c r="AA631" t="inlineStr">
        <is>
          <t>sd</t>
        </is>
      </c>
      <c r="AB631" t="inlineStr">
        <is>
          <t>sd|32.72681,-117.22279</t>
        </is>
      </c>
    </row>
    <row r="632">
      <c r="A632" t="inlineStr">
        <is>
          <t>SD-B2-631</t>
        </is>
      </c>
      <c r="B632" t="inlineStr">
        <is>
          <t>San Diego area</t>
        </is>
      </c>
      <c r="C632" t="inlineStr">
        <is>
          <t>Sunset Cliffs Boulevard</t>
        </is>
      </c>
      <c r="D632" t="inlineStr">
        <is>
          <t>Sea World Drive</t>
        </is>
      </c>
      <c r="E632" t="inlineStr">
        <is>
          <t>Ocean Beach Freeway</t>
        </is>
      </c>
      <c r="F632" t="inlineStr">
        <is>
          <t>25526766</t>
        </is>
      </c>
      <c r="G632" t="n">
        <v>45</v>
      </c>
      <c r="H632" t="inlineStr">
        <is>
          <t>tag</t>
        </is>
      </c>
      <c r="I632" t="inlineStr">
        <is>
          <t>no</t>
        </is>
      </c>
      <c r="J632" t="inlineStr">
        <is>
          <t>https://www.google.com/maps/@?api=1&amp;map_action=pano&amp;viewpoint=32.757730,-117.234120&amp;heading=29</t>
        </is>
      </c>
      <c r="K632" t="inlineStr">
        <is>
          <t>https://www.google.com/maps/search/?api=1&amp;query=32.757730,-117.234120</t>
        </is>
      </c>
      <c r="L632" t="inlineStr"/>
      <c r="M632" t="inlineStr"/>
      <c r="N632" t="inlineStr"/>
      <c r="O632" t="inlineStr"/>
      <c r="P632" t="inlineStr">
        <is>
          <t>pending</t>
        </is>
      </c>
      <c r="Q632" t="inlineStr"/>
      <c r="R632" t="inlineStr"/>
      <c r="S632" t="inlineStr"/>
      <c r="T632" t="inlineStr"/>
      <c r="U632" t="inlineStr"/>
      <c r="V632">
        <f>IF(OR(L632="",S632=""),"",IF(VALUE(L632)=VALUE(S632),"Y","N"))</f>
        <v/>
      </c>
      <c r="W632">
        <f>IF(V632="Y",S632,"")</f>
        <v/>
      </c>
      <c r="X632" t="inlineStr">
        <is>
          <t>unverified: map has 45 mph (OSM tag only); main road: what is posted? 35 or lower opens it to LSVs</t>
        </is>
      </c>
      <c r="Y632" t="inlineStr"/>
      <c r="Z632" t="n">
        <v>767</v>
      </c>
      <c r="AA632" t="inlineStr">
        <is>
          <t>sd</t>
        </is>
      </c>
      <c r="AB632" t="inlineStr">
        <is>
          <t>sd|32.75773,-117.23412</t>
        </is>
      </c>
    </row>
    <row r="633">
      <c r="A633" t="inlineStr">
        <is>
          <t>SD-B2-632</t>
        </is>
      </c>
      <c r="B633" t="inlineStr">
        <is>
          <t>San Diego area</t>
        </is>
      </c>
      <c r="C633" t="inlineStr">
        <is>
          <t>Milton Street</t>
        </is>
      </c>
      <c r="D633" t="inlineStr">
        <is>
          <t>Hartford Street</t>
        </is>
      </c>
      <c r="E633" t="inlineStr">
        <is>
          <t>Galveston Street</t>
        </is>
      </c>
      <c r="F633" t="inlineStr">
        <is>
          <t>5963212</t>
        </is>
      </c>
      <c r="G633" t="n">
        <v>25</v>
      </c>
      <c r="H633" t="inlineStr">
        <is>
          <t>mapillary</t>
        </is>
      </c>
      <c r="I633" t="inlineStr">
        <is>
          <t>cart+LSV</t>
        </is>
      </c>
      <c r="J633" t="inlineStr">
        <is>
          <t>https://www.google.com/maps/@?api=1&amp;map_action=pano&amp;viewpoint=32.782950,-117.196285&amp;heading=128</t>
        </is>
      </c>
      <c r="K633" t="inlineStr">
        <is>
          <t>https://www.google.com/maps/search/?api=1&amp;query=32.782950,-117.196285</t>
        </is>
      </c>
      <c r="L633" t="inlineStr"/>
      <c r="M633" t="inlineStr"/>
      <c r="N633" t="inlineStr"/>
      <c r="O633" t="inlineStr"/>
      <c r="P633" t="inlineStr">
        <is>
          <t>pending</t>
        </is>
      </c>
      <c r="Q633" t="inlineStr"/>
      <c r="R633" t="inlineStr"/>
      <c r="S633" t="inlineStr"/>
      <c r="T633" t="inlineStr">
        <is>
          <t>Mapillary: 2 posted 25 mph sign(s) detected</t>
        </is>
      </c>
      <c r="U633" t="inlineStr">
        <is>
          <t>https://www.mapillary.com/app/?lat=32.782722&amp;lng=-117.189970&amp;z=19&amp;focus=map&amp;mapFeatureId=1530605607633068</t>
        </is>
      </c>
      <c r="V633">
        <f>IF(OR(L633="",S633=""),"",IF(VALUE(L633)=VALUE(S633),"Y","N"))</f>
        <v/>
      </c>
      <c r="W633">
        <f>IF(V633="Y",S633,"")</f>
        <v/>
      </c>
      <c r="X633" t="inlineStr">
        <is>
          <t>unverified: map has 25 mph (one Mapillary sign); is it 25 (carts OK) or 30+?</t>
        </is>
      </c>
      <c r="Y633" t="inlineStr"/>
      <c r="Z633" t="n">
        <v>1147</v>
      </c>
      <c r="AA633" t="inlineStr">
        <is>
          <t>sd</t>
        </is>
      </c>
      <c r="AB633" t="inlineStr">
        <is>
          <t>sd|32.78295,-117.19629</t>
        </is>
      </c>
    </row>
    <row r="634">
      <c r="A634" t="inlineStr">
        <is>
          <t>SD-B2-633</t>
        </is>
      </c>
      <c r="B634" t="inlineStr">
        <is>
          <t>San Diego area</t>
        </is>
      </c>
      <c r="C634" t="inlineStr">
        <is>
          <t>Soledad Mountain Road</t>
        </is>
      </c>
      <c r="D634" t="inlineStr">
        <is>
          <t>(see map link)</t>
        </is>
      </c>
      <c r="E634" t="inlineStr">
        <is>
          <t>Felspar Street</t>
        </is>
      </c>
      <c r="F634" t="inlineStr">
        <is>
          <t>577319073</t>
        </is>
      </c>
      <c r="G634" t="inlineStr"/>
      <c r="H634" t="inlineStr">
        <is>
          <t>inferred</t>
        </is>
      </c>
      <c r="I634" t="inlineStr">
        <is>
          <t>no</t>
        </is>
      </c>
      <c r="J634" t="inlineStr">
        <is>
          <t>https://www.google.com/maps/@?api=1&amp;map_action=pano&amp;viewpoint=32.807830,-117.226000&amp;heading=303</t>
        </is>
      </c>
      <c r="K634" t="inlineStr">
        <is>
          <t>https://www.google.com/maps/search/?api=1&amp;query=32.807830,-117.226000</t>
        </is>
      </c>
      <c r="L634" t="inlineStr"/>
      <c r="M634" t="inlineStr"/>
      <c r="N634" t="inlineStr"/>
      <c r="O634" t="inlineStr"/>
      <c r="P634" t="inlineStr">
        <is>
          <t>pending</t>
        </is>
      </c>
      <c r="Q634" t="inlineStr"/>
      <c r="R634" t="inlineStr"/>
      <c r="S634" t="inlineStr"/>
      <c r="T634" t="inlineStr"/>
      <c r="U634" t="inlineStr"/>
      <c r="V634">
        <f>IF(OR(L634="",S634=""),"",IF(VALUE(L634)=VALUE(S634),"Y","N"))</f>
        <v/>
      </c>
      <c r="W634">
        <f>IF(V634="Y",S634,"")</f>
        <v/>
      </c>
      <c r="X634" t="inlineStr">
        <is>
          <t>unverified: map has no limit (guessed from road type); main road: what is posted? 35 or lower opens it to LSVs</t>
        </is>
      </c>
      <c r="Y634" t="inlineStr"/>
      <c r="Z634" t="n">
        <v>705</v>
      </c>
      <c r="AA634" t="inlineStr">
        <is>
          <t>sd</t>
        </is>
      </c>
      <c r="AB634" t="inlineStr">
        <is>
          <t>sd|32.80783,-117.22600</t>
        </is>
      </c>
    </row>
    <row r="635">
      <c r="A635" t="inlineStr">
        <is>
          <t>SD-B2-634</t>
        </is>
      </c>
      <c r="B635" t="inlineStr">
        <is>
          <t>San Diego area</t>
        </is>
      </c>
      <c r="C635" t="inlineStr">
        <is>
          <t>Quarter Mile Drive</t>
        </is>
      </c>
      <c r="D635" t="inlineStr">
        <is>
          <t>Long Run Drive</t>
        </is>
      </c>
      <c r="E635" t="inlineStr">
        <is>
          <t>Hartfield Avenue</t>
        </is>
      </c>
      <c r="F635" t="inlineStr">
        <is>
          <t>260059637</t>
        </is>
      </c>
      <c r="G635" t="n">
        <v>25</v>
      </c>
      <c r="H635" t="inlineStr">
        <is>
          <t>inferred</t>
        </is>
      </c>
      <c r="I635" t="inlineStr">
        <is>
          <t>cart+LSV</t>
        </is>
      </c>
      <c r="J635" t="inlineStr">
        <is>
          <t>https://www.google.com/maps/@?api=1&amp;map_action=pano&amp;viewpoint=32.956495,-117.232355&amp;heading=93</t>
        </is>
      </c>
      <c r="K635" t="inlineStr">
        <is>
          <t>https://www.google.com/maps/search/?api=1&amp;query=32.956495,-117.232355</t>
        </is>
      </c>
      <c r="L635" t="inlineStr"/>
      <c r="M635" t="inlineStr"/>
      <c r="N635" t="inlineStr"/>
      <c r="O635" t="inlineStr"/>
      <c r="P635" t="inlineStr">
        <is>
          <t>pending</t>
        </is>
      </c>
      <c r="Q635" t="inlineStr"/>
      <c r="R635" t="inlineStr"/>
      <c r="S635" t="inlineStr"/>
      <c r="T635" t="inlineStr"/>
      <c r="U635" t="inlineStr"/>
      <c r="V635">
        <f>IF(OR(L635="",S635=""),"",IF(VALUE(L635)=VALUE(S635),"Y","N"))</f>
        <v/>
      </c>
      <c r="W635">
        <f>IF(V635="Y",S635,"")</f>
        <v/>
      </c>
      <c r="X635" t="inlineStr">
        <is>
          <t>unverified: map has 25 mph (guessed from road type); is it 25 (carts OK) or 30+?</t>
        </is>
      </c>
      <c r="Y635" t="inlineStr"/>
      <c r="Z635" t="n">
        <v>881</v>
      </c>
      <c r="AA635" t="inlineStr">
        <is>
          <t>sd</t>
        </is>
      </c>
      <c r="AB635" t="inlineStr">
        <is>
          <t>sd|32.95650,-117.23236</t>
        </is>
      </c>
    </row>
    <row r="636">
      <c r="A636" t="inlineStr">
        <is>
          <t>SD-B2-635</t>
        </is>
      </c>
      <c r="B636" t="inlineStr">
        <is>
          <t>San Diego area</t>
        </is>
      </c>
      <c r="C636" t="inlineStr">
        <is>
          <t>Olive Avenue</t>
        </is>
      </c>
      <c r="D636" t="inlineStr">
        <is>
          <t>D Avenue</t>
        </is>
      </c>
      <c r="E636" t="inlineStr">
        <is>
          <t>Alameda Boulevard</t>
        </is>
      </c>
      <c r="F636" t="inlineStr">
        <is>
          <t>1211566230</t>
        </is>
      </c>
      <c r="G636" t="n">
        <v>25</v>
      </c>
      <c r="H636" t="inlineStr">
        <is>
          <t>inferred</t>
        </is>
      </c>
      <c r="I636" t="inlineStr">
        <is>
          <t>cart+LSV</t>
        </is>
      </c>
      <c r="J636" t="inlineStr">
        <is>
          <t>https://www.google.com/maps/@?api=1&amp;map_action=pano&amp;viewpoint=32.688205,-117.186380&amp;heading=251</t>
        </is>
      </c>
      <c r="K636" t="inlineStr">
        <is>
          <t>https://www.google.com/maps/search/?api=1&amp;query=32.688205,-117.186380</t>
        </is>
      </c>
      <c r="L636" t="inlineStr"/>
      <c r="M636" t="inlineStr"/>
      <c r="N636" t="inlineStr"/>
      <c r="O636" t="inlineStr"/>
      <c r="P636" t="inlineStr">
        <is>
          <t>pending</t>
        </is>
      </c>
      <c r="Q636" t="inlineStr"/>
      <c r="R636" t="inlineStr"/>
      <c r="S636" t="inlineStr"/>
      <c r="T636" t="inlineStr"/>
      <c r="U636" t="inlineStr"/>
      <c r="V636">
        <f>IF(OR(L636="",S636=""),"",IF(VALUE(L636)=VALUE(S636),"Y","N"))</f>
        <v/>
      </c>
      <c r="W636">
        <f>IF(V636="Y",S636,"")</f>
        <v/>
      </c>
      <c r="X636" t="inlineStr">
        <is>
          <t>unverified: map has 25 mph (guessed from road type); is it 25 (carts OK) or 30+?</t>
        </is>
      </c>
      <c r="Y636" t="inlineStr"/>
      <c r="Z636" t="n">
        <v>880</v>
      </c>
      <c r="AA636" t="inlineStr">
        <is>
          <t>sd</t>
        </is>
      </c>
      <c r="AB636" t="inlineStr">
        <is>
          <t>sd|32.68820,-117.18638</t>
        </is>
      </c>
    </row>
    <row r="637">
      <c r="A637" t="inlineStr">
        <is>
          <t>SD-B2-636</t>
        </is>
      </c>
      <c r="B637" t="inlineStr">
        <is>
          <t>San Diego area</t>
        </is>
      </c>
      <c r="C637" t="inlineStr">
        <is>
          <t>Cardeno Drive</t>
        </is>
      </c>
      <c r="D637" t="inlineStr">
        <is>
          <t>Caminito Empresa</t>
        </is>
      </c>
      <c r="E637" t="inlineStr">
        <is>
          <t>Via Cabrera</t>
        </is>
      </c>
      <c r="F637" t="inlineStr">
        <is>
          <t>684197953</t>
        </is>
      </c>
      <c r="G637" t="n">
        <v>30</v>
      </c>
      <c r="H637" t="inlineStr">
        <is>
          <t>mapillary</t>
        </is>
      </c>
      <c r="I637" t="inlineStr">
        <is>
          <t>LSV</t>
        </is>
      </c>
      <c r="J637" t="inlineStr">
        <is>
          <t>https://www.google.com/maps/@?api=1&amp;map_action=pano&amp;viewpoint=32.830150,-117.247540&amp;heading=341</t>
        </is>
      </c>
      <c r="K637" t="inlineStr">
        <is>
          <t>https://www.google.com/maps/search/?api=1&amp;query=32.830150,-117.247540</t>
        </is>
      </c>
      <c r="L637" t="inlineStr"/>
      <c r="M637" t="inlineStr"/>
      <c r="N637" t="inlineStr"/>
      <c r="O637" t="inlineStr"/>
      <c r="P637" t="inlineStr">
        <is>
          <t>pending</t>
        </is>
      </c>
      <c r="Q637" t="inlineStr"/>
      <c r="R637" t="inlineStr"/>
      <c r="S637" t="inlineStr"/>
      <c r="T637" t="inlineStr">
        <is>
          <t>Mapillary: 1 posted 30 mph sign(s) detected</t>
        </is>
      </c>
      <c r="U637" t="inlineStr">
        <is>
          <t>https://www.mapillary.com/app/?lat=32.825684&amp;lng=-117.247320&amp;z=19&amp;focus=map&amp;mapFeatureId=1700380254164834</t>
        </is>
      </c>
      <c r="V637">
        <f>IF(OR(L637="",S637=""),"",IF(VALUE(L637)=VALUE(S637),"Y","N"))</f>
        <v/>
      </c>
      <c r="W637">
        <f>IF(V637="Y",S637,"")</f>
        <v/>
      </c>
      <c r="X637" t="inlineStr">
        <is>
          <t>unverified: map has 30 mph (one Mapillary sign); is it 25 (carts OK) or 30+?</t>
        </is>
      </c>
      <c r="Y637" t="inlineStr"/>
      <c r="Z637" t="n">
        <v>1429</v>
      </c>
      <c r="AA637" t="inlineStr">
        <is>
          <t>sd</t>
        </is>
      </c>
      <c r="AB637" t="inlineStr">
        <is>
          <t>sd|32.83015,-117.24754</t>
        </is>
      </c>
    </row>
    <row r="638">
      <c r="A638" t="inlineStr">
        <is>
          <t>SD-B2-637</t>
        </is>
      </c>
      <c r="B638" t="inlineStr">
        <is>
          <t>San Diego area</t>
        </is>
      </c>
      <c r="C638" t="inlineStr">
        <is>
          <t>Genesee Avenue</t>
        </is>
      </c>
      <c r="D638" t="inlineStr">
        <is>
          <t>(see map link)</t>
        </is>
      </c>
      <c r="E638" t="inlineStr">
        <is>
          <t>Boyd Avenue</t>
        </is>
      </c>
      <c r="F638" t="inlineStr">
        <is>
          <t>337739688</t>
        </is>
      </c>
      <c r="G638" t="n">
        <v>45</v>
      </c>
      <c r="H638" t="inlineStr">
        <is>
          <t>tag</t>
        </is>
      </c>
      <c r="I638" t="inlineStr">
        <is>
          <t>no</t>
        </is>
      </c>
      <c r="J638" t="inlineStr">
        <is>
          <t>https://www.google.com/maps/@?api=1&amp;map_action=pano&amp;viewpoint=32.808800,-117.176520&amp;heading=353</t>
        </is>
      </c>
      <c r="K638" t="inlineStr">
        <is>
          <t>https://www.google.com/maps/search/?api=1&amp;query=32.808800,-117.176520</t>
        </is>
      </c>
      <c r="L638" t="inlineStr"/>
      <c r="M638" t="inlineStr"/>
      <c r="N638" t="inlineStr"/>
      <c r="O638" t="inlineStr"/>
      <c r="P638" t="inlineStr">
        <is>
          <t>pending</t>
        </is>
      </c>
      <c r="Q638" t="inlineStr"/>
      <c r="R638" t="inlineStr"/>
      <c r="S638" t="inlineStr"/>
      <c r="T638" t="inlineStr"/>
      <c r="U638" t="inlineStr"/>
      <c r="V638">
        <f>IF(OR(L638="",S638=""),"",IF(VALUE(L638)=VALUE(S638),"Y","N"))</f>
        <v/>
      </c>
      <c r="W638">
        <f>IF(V638="Y",S638,"")</f>
        <v/>
      </c>
      <c r="X638" t="inlineStr">
        <is>
          <t>unverified: map has 45 mph (OSM tag only); main road: what is posted? 35 or lower opens it to LSVs</t>
        </is>
      </c>
      <c r="Y638" t="inlineStr"/>
      <c r="Z638" t="n">
        <v>761</v>
      </c>
      <c r="AA638" t="inlineStr">
        <is>
          <t>sd</t>
        </is>
      </c>
      <c r="AB638" t="inlineStr">
        <is>
          <t>sd|32.80880,-117.17652</t>
        </is>
      </c>
    </row>
    <row r="639">
      <c r="A639" t="inlineStr">
        <is>
          <t>SD-B2-638</t>
        </is>
      </c>
      <c r="B639" t="inlineStr">
        <is>
          <t>San Diego area</t>
        </is>
      </c>
      <c r="C639" t="inlineStr">
        <is>
          <t>La Jolla Hermosa Avenue</t>
        </is>
      </c>
      <c r="D639" t="inlineStr">
        <is>
          <t>Carla Way</t>
        </is>
      </c>
      <c r="E639" t="inlineStr">
        <is>
          <t>Kirkwood Place</t>
        </is>
      </c>
      <c r="F639" t="inlineStr">
        <is>
          <t>38093581</t>
        </is>
      </c>
      <c r="G639" t="n">
        <v>25</v>
      </c>
      <c r="H639" t="inlineStr">
        <is>
          <t>inferred</t>
        </is>
      </c>
      <c r="I639" t="inlineStr">
        <is>
          <t>cart+LSV</t>
        </is>
      </c>
      <c r="J639" t="inlineStr">
        <is>
          <t>https://www.google.com/maps/@?api=1&amp;map_action=pano&amp;viewpoint=32.812055,-117.266280&amp;heading=315</t>
        </is>
      </c>
      <c r="K639" t="inlineStr">
        <is>
          <t>https://www.google.com/maps/search/?api=1&amp;query=32.812055,-117.266280</t>
        </is>
      </c>
      <c r="L639" t="inlineStr"/>
      <c r="M639" t="inlineStr"/>
      <c r="N639" t="inlineStr"/>
      <c r="O639" t="inlineStr"/>
      <c r="P639" t="inlineStr">
        <is>
          <t>pending</t>
        </is>
      </c>
      <c r="Q639" t="inlineStr"/>
      <c r="R639" t="inlineStr"/>
      <c r="S639" t="inlineStr"/>
      <c r="T639" t="inlineStr"/>
      <c r="U639" t="inlineStr"/>
      <c r="V639">
        <f>IF(OR(L639="",S639=""),"",IF(VALUE(L639)=VALUE(S639),"Y","N"))</f>
        <v/>
      </c>
      <c r="W639">
        <f>IF(V639="Y",S639,"")</f>
        <v/>
      </c>
      <c r="X639" t="inlineStr">
        <is>
          <t>unverified: map has 25 mph (guessed from road type); is it 25 (carts OK) or 30+?</t>
        </is>
      </c>
      <c r="Y639" t="inlineStr"/>
      <c r="Z639" t="n">
        <v>874</v>
      </c>
      <c r="AA639" t="inlineStr">
        <is>
          <t>sd</t>
        </is>
      </c>
      <c r="AB639" t="inlineStr">
        <is>
          <t>sd|32.81206,-117.26628</t>
        </is>
      </c>
    </row>
    <row r="640">
      <c r="A640" t="inlineStr">
        <is>
          <t>SD-B2-639</t>
        </is>
      </c>
      <c r="B640" t="inlineStr">
        <is>
          <t>San Diego area</t>
        </is>
      </c>
      <c r="C640" t="inlineStr">
        <is>
          <t>Tylee Street</t>
        </is>
      </c>
      <c r="D640" t="inlineStr">
        <is>
          <t>Mistletoe Street</t>
        </is>
      </c>
      <c r="E640" t="inlineStr">
        <is>
          <t>Santa Clara Drive</t>
        </is>
      </c>
      <c r="F640" t="inlineStr">
        <is>
          <t>5992374</t>
        </is>
      </c>
      <c r="G640" t="n">
        <v>25</v>
      </c>
      <c r="H640" t="inlineStr">
        <is>
          <t>inferred</t>
        </is>
      </c>
      <c r="I640" t="inlineStr">
        <is>
          <t>cart+LSV</t>
        </is>
      </c>
      <c r="J640" t="inlineStr">
        <is>
          <t>https://www.google.com/maps/@?api=1&amp;map_action=pano&amp;viewpoint=33.200590,-117.265250&amp;heading=270</t>
        </is>
      </c>
      <c r="K640" t="inlineStr">
        <is>
          <t>https://www.google.com/maps/search/?api=1&amp;query=33.200590,-117.265250</t>
        </is>
      </c>
      <c r="L640" t="inlineStr"/>
      <c r="M640" t="inlineStr"/>
      <c r="N640" t="inlineStr"/>
      <c r="O640" t="inlineStr"/>
      <c r="P640" t="inlineStr">
        <is>
          <t>pending</t>
        </is>
      </c>
      <c r="Q640" t="inlineStr"/>
      <c r="R640" t="inlineStr"/>
      <c r="S640" t="inlineStr"/>
      <c r="T640" t="inlineStr"/>
      <c r="U640" t="inlineStr"/>
      <c r="V640">
        <f>IF(OR(L640="",S640=""),"",IF(VALUE(L640)=VALUE(S640),"Y","N"))</f>
        <v/>
      </c>
      <c r="W640">
        <f>IF(V640="Y",S640,"")</f>
        <v/>
      </c>
      <c r="X640" t="inlineStr">
        <is>
          <t>unverified: map has 25 mph (guessed from road type); is it 25 (carts OK) or 30+?</t>
        </is>
      </c>
      <c r="Y640" t="inlineStr"/>
      <c r="Z640" t="n">
        <v>873</v>
      </c>
      <c r="AA640" t="inlineStr">
        <is>
          <t>sd</t>
        </is>
      </c>
      <c r="AB640" t="inlineStr">
        <is>
          <t>sd|33.20059,-117.26525</t>
        </is>
      </c>
    </row>
    <row r="641">
      <c r="A641" t="inlineStr">
        <is>
          <t>SD-B2-640</t>
        </is>
      </c>
      <c r="B641" t="inlineStr">
        <is>
          <t>San Diego area</t>
        </is>
      </c>
      <c r="C641" t="inlineStr">
        <is>
          <t>Worden Street</t>
        </is>
      </c>
      <c r="D641" t="inlineStr">
        <is>
          <t>Voltaire Street</t>
        </is>
      </c>
      <c r="E641" t="inlineStr">
        <is>
          <t>Leland Street</t>
        </is>
      </c>
      <c r="F641" t="inlineStr">
        <is>
          <t>763463644</t>
        </is>
      </c>
      <c r="G641" t="n">
        <v>25</v>
      </c>
      <c r="H641" t="inlineStr">
        <is>
          <t>mapillary</t>
        </is>
      </c>
      <c r="I641" t="inlineStr">
        <is>
          <t>cart+LSV</t>
        </is>
      </c>
      <c r="J641" t="inlineStr">
        <is>
          <t>https://www.google.com/maps/@?api=1&amp;map_action=pano&amp;viewpoint=32.743060,-117.229010&amp;heading=3</t>
        </is>
      </c>
      <c r="K641" t="inlineStr">
        <is>
          <t>https://www.google.com/maps/search/?api=1&amp;query=32.743060,-117.229010</t>
        </is>
      </c>
      <c r="L641" t="inlineStr"/>
      <c r="M641" t="inlineStr"/>
      <c r="N641" t="inlineStr"/>
      <c r="O641" t="inlineStr"/>
      <c r="P641" t="inlineStr">
        <is>
          <t>pending</t>
        </is>
      </c>
      <c r="Q641" t="inlineStr"/>
      <c r="R641" t="inlineStr"/>
      <c r="S641" t="inlineStr"/>
      <c r="T641" t="inlineStr">
        <is>
          <t>Mapillary: 4 posted 25 mph sign(s) detected</t>
        </is>
      </c>
      <c r="U641" t="inlineStr">
        <is>
          <t>https://www.mapillary.com/app/?lat=32.746326&amp;lng=-117.227280&amp;z=19&amp;focus=map&amp;mapFeatureId=1182643186797774</t>
        </is>
      </c>
      <c r="V641">
        <f>IF(OR(L641="",S641=""),"",IF(VALUE(L641)=VALUE(S641),"Y","N"))</f>
        <v/>
      </c>
      <c r="W641">
        <f>IF(V641="Y",S641,"")</f>
        <v/>
      </c>
      <c r="X641" t="inlineStr">
        <is>
          <t>unverified: map has 25 mph (one Mapillary sign); is it 25 (carts OK) or 30+?</t>
        </is>
      </c>
      <c r="Y641" t="inlineStr"/>
      <c r="Z641" t="n">
        <v>1418</v>
      </c>
      <c r="AA641" t="inlineStr">
        <is>
          <t>sd</t>
        </is>
      </c>
      <c r="AB641" t="inlineStr">
        <is>
          <t>sd|32.74306,-117.22901</t>
        </is>
      </c>
    </row>
    <row r="642">
      <c r="A642" t="inlineStr">
        <is>
          <t>SD-B2-641</t>
        </is>
      </c>
      <c r="B642" t="inlineStr">
        <is>
          <t>San Diego area</t>
        </is>
      </c>
      <c r="C642" t="inlineStr">
        <is>
          <t>South 35th Street</t>
        </is>
      </c>
      <c r="D642" t="inlineStr">
        <is>
          <t>National Avenue</t>
        </is>
      </c>
      <c r="E642" t="inlineStr">
        <is>
          <t>Ocean View Boulevard</t>
        </is>
      </c>
      <c r="F642" t="inlineStr">
        <is>
          <t>593709465</t>
        </is>
      </c>
      <c r="G642" t="n">
        <v>25</v>
      </c>
      <c r="H642" t="inlineStr">
        <is>
          <t>inferred</t>
        </is>
      </c>
      <c r="I642" t="inlineStr">
        <is>
          <t>cart+LSV</t>
        </is>
      </c>
      <c r="J642" t="inlineStr">
        <is>
          <t>https://www.google.com/maps/@?api=1&amp;map_action=pano&amp;viewpoint=32.698755,-117.118745&amp;heading=180</t>
        </is>
      </c>
      <c r="K642" t="inlineStr">
        <is>
          <t>https://www.google.com/maps/search/?api=1&amp;query=32.698755,-117.118745</t>
        </is>
      </c>
      <c r="L642" t="inlineStr"/>
      <c r="M642" t="inlineStr"/>
      <c r="N642" t="inlineStr"/>
      <c r="O642" t="inlineStr"/>
      <c r="P642" t="inlineStr">
        <is>
          <t>pending</t>
        </is>
      </c>
      <c r="Q642" t="inlineStr"/>
      <c r="R642" t="inlineStr"/>
      <c r="S642" t="inlineStr"/>
      <c r="T642" t="inlineStr"/>
      <c r="U642" t="inlineStr"/>
      <c r="V642">
        <f>IF(OR(L642="",S642=""),"",IF(VALUE(L642)=VALUE(S642),"Y","N"))</f>
        <v/>
      </c>
      <c r="W642">
        <f>IF(V642="Y",S642,"")</f>
        <v/>
      </c>
      <c r="X642" t="inlineStr">
        <is>
          <t>unverified: map has 25 mph (guessed from road type); is it 25 (carts OK) or 30+?</t>
        </is>
      </c>
      <c r="Y642" t="inlineStr"/>
      <c r="Z642" t="n">
        <v>869</v>
      </c>
      <c r="AA642" t="inlineStr">
        <is>
          <t>sd</t>
        </is>
      </c>
      <c r="AB642" t="inlineStr">
        <is>
          <t>sd|32.69876,-117.11875</t>
        </is>
      </c>
    </row>
    <row r="643">
      <c r="A643" t="inlineStr">
        <is>
          <t>SD-B2-642</t>
        </is>
      </c>
      <c r="B643" t="inlineStr">
        <is>
          <t>San Diego area</t>
        </is>
      </c>
      <c r="C643" t="inlineStr">
        <is>
          <t>Roosevelt Avenue</t>
        </is>
      </c>
      <c r="D643" t="inlineStr">
        <is>
          <t>West 3rd Street</t>
        </is>
      </c>
      <c r="E643" t="inlineStr">
        <is>
          <t>Main Street</t>
        </is>
      </c>
      <c r="F643" t="inlineStr">
        <is>
          <t>1476999188</t>
        </is>
      </c>
      <c r="G643" t="n">
        <v>25</v>
      </c>
      <c r="H643" t="inlineStr">
        <is>
          <t>inferred</t>
        </is>
      </c>
      <c r="I643" t="inlineStr">
        <is>
          <t>cart+LSV</t>
        </is>
      </c>
      <c r="J643" t="inlineStr">
        <is>
          <t>https://www.google.com/maps/@?api=1&amp;map_action=pano&amp;viewpoint=32.681090,-117.110130&amp;heading=162</t>
        </is>
      </c>
      <c r="K643" t="inlineStr">
        <is>
          <t>https://www.google.com/maps/search/?api=1&amp;query=32.681090,-117.110130</t>
        </is>
      </c>
      <c r="L643" t="inlineStr"/>
      <c r="M643" t="inlineStr"/>
      <c r="N643" t="inlineStr"/>
      <c r="O643" t="inlineStr"/>
      <c r="P643" t="inlineStr">
        <is>
          <t>pending</t>
        </is>
      </c>
      <c r="Q643" t="inlineStr"/>
      <c r="R643" t="inlineStr"/>
      <c r="S643" t="inlineStr"/>
      <c r="T643" t="inlineStr"/>
      <c r="U643" t="inlineStr"/>
      <c r="V643">
        <f>IF(OR(L643="",S643=""),"",IF(VALUE(L643)=VALUE(S643),"Y","N"))</f>
        <v/>
      </c>
      <c r="W643">
        <f>IF(V643="Y",S643,"")</f>
        <v/>
      </c>
      <c r="X643" t="inlineStr">
        <is>
          <t>unverified: map has 25 mph (guessed from road type); is it 25 (carts OK) or 30+?</t>
        </is>
      </c>
      <c r="Y643" t="inlineStr"/>
      <c r="Z643" t="n">
        <v>869</v>
      </c>
      <c r="AA643" t="inlineStr">
        <is>
          <t>sd</t>
        </is>
      </c>
      <c r="AB643" t="inlineStr">
        <is>
          <t>sd|32.68109,-117.11013</t>
        </is>
      </c>
    </row>
    <row r="644">
      <c r="A644" t="inlineStr">
        <is>
          <t>SD-B2-643</t>
        </is>
      </c>
      <c r="B644" t="inlineStr">
        <is>
          <t>San Diego area</t>
        </is>
      </c>
      <c r="C644" t="inlineStr">
        <is>
          <t>Torrey Meadows Drive</t>
        </is>
      </c>
      <c r="D644" t="inlineStr">
        <is>
          <t>Primrose Lane</t>
        </is>
      </c>
      <c r="E644" t="inlineStr">
        <is>
          <t>Via Sabbia</t>
        </is>
      </c>
      <c r="F644" t="inlineStr">
        <is>
          <t>593677803</t>
        </is>
      </c>
      <c r="G644" t="n">
        <v>25</v>
      </c>
      <c r="H644" t="inlineStr">
        <is>
          <t>inferred</t>
        </is>
      </c>
      <c r="I644" t="inlineStr">
        <is>
          <t>cart+LSV</t>
        </is>
      </c>
      <c r="J644" t="inlineStr">
        <is>
          <t>https://www.google.com/maps/@?api=1&amp;map_action=pano&amp;viewpoint=32.963700,-117.157985&amp;heading=265</t>
        </is>
      </c>
      <c r="K644" t="inlineStr">
        <is>
          <t>https://www.google.com/maps/search/?api=1&amp;query=32.963700,-117.157985</t>
        </is>
      </c>
      <c r="L644" t="inlineStr"/>
      <c r="M644" t="inlineStr"/>
      <c r="N644" t="inlineStr"/>
      <c r="O644" t="inlineStr"/>
      <c r="P644" t="inlineStr">
        <is>
          <t>pending</t>
        </is>
      </c>
      <c r="Q644" t="inlineStr"/>
      <c r="R644" t="inlineStr"/>
      <c r="S644" t="inlineStr"/>
      <c r="T644" t="inlineStr"/>
      <c r="U644" t="inlineStr"/>
      <c r="V644">
        <f>IF(OR(L644="",S644=""),"",IF(VALUE(L644)=VALUE(S644),"Y","N"))</f>
        <v/>
      </c>
      <c r="W644">
        <f>IF(V644="Y",S644,"")</f>
        <v/>
      </c>
      <c r="X644" t="inlineStr">
        <is>
          <t>unverified: map has 25 mph (guessed from road type); is it 25 (carts OK) or 30+?</t>
        </is>
      </c>
      <c r="Y644" t="inlineStr"/>
      <c r="Z644" t="n">
        <v>869</v>
      </c>
      <c r="AA644" t="inlineStr">
        <is>
          <t>sd</t>
        </is>
      </c>
      <c r="AB644" t="inlineStr">
        <is>
          <t>sd|32.96370,-117.15798</t>
        </is>
      </c>
    </row>
    <row r="645">
      <c r="A645" t="inlineStr">
        <is>
          <t>SD-B2-644</t>
        </is>
      </c>
      <c r="B645" t="inlineStr">
        <is>
          <t>San Diego area</t>
        </is>
      </c>
      <c r="C645" t="inlineStr">
        <is>
          <t>East Ocean Air Drive</t>
        </is>
      </c>
      <c r="D645" t="inlineStr">
        <is>
          <t>(see map link)</t>
        </is>
      </c>
      <c r="E645" t="inlineStr">
        <is>
          <t>Calle Mar de Armonia</t>
        </is>
      </c>
      <c r="F645" t="inlineStr">
        <is>
          <t>1090749532</t>
        </is>
      </c>
      <c r="G645" t="n">
        <v>35</v>
      </c>
      <c r="H645" t="inlineStr">
        <is>
          <t>tag</t>
        </is>
      </c>
      <c r="I645" t="inlineStr">
        <is>
          <t>LSV</t>
        </is>
      </c>
      <c r="J645" t="inlineStr">
        <is>
          <t>https://www.google.com/maps/@?api=1&amp;map_action=pano&amp;viewpoint=32.918370,-117.216640&amp;heading=201</t>
        </is>
      </c>
      <c r="K645" t="inlineStr">
        <is>
          <t>https://www.google.com/maps/search/?api=1&amp;query=32.918370,-117.216640</t>
        </is>
      </c>
      <c r="L645" t="inlineStr"/>
      <c r="M645" t="inlineStr"/>
      <c r="N645" t="inlineStr"/>
      <c r="O645" t="inlineStr"/>
      <c r="P645" t="inlineStr">
        <is>
          <t>pending</t>
        </is>
      </c>
      <c r="Q645" t="inlineStr"/>
      <c r="R645" t="inlineStr"/>
      <c r="S645" t="inlineStr"/>
      <c r="T645" t="inlineStr"/>
      <c r="U645" t="inlineStr"/>
      <c r="V645">
        <f>IF(OR(L645="",S645=""),"",IF(VALUE(L645)=VALUE(S645),"Y","N"))</f>
        <v/>
      </c>
      <c r="W645">
        <f>IF(V645="Y",S645,"")</f>
        <v/>
      </c>
      <c r="X645" t="inlineStr">
        <is>
          <t>unverified: map has 35 mph (OSM tag only); is it 35 (LSV OK) or 40+?</t>
        </is>
      </c>
      <c r="Y645" t="inlineStr"/>
      <c r="Z645" t="n">
        <v>1128</v>
      </c>
      <c r="AA645" t="inlineStr">
        <is>
          <t>sd</t>
        </is>
      </c>
      <c r="AB645" t="inlineStr">
        <is>
          <t>sd|32.91837,-117.21664</t>
        </is>
      </c>
    </row>
    <row r="646">
      <c r="A646" t="inlineStr">
        <is>
          <t>SD-B2-645</t>
        </is>
      </c>
      <c r="B646" t="inlineStr">
        <is>
          <t>San Diego area</t>
        </is>
      </c>
      <c r="C646" t="inlineStr">
        <is>
          <t>Los Pinos Circle</t>
        </is>
      </c>
      <c r="D646" t="inlineStr">
        <is>
          <t>Olivenhain Road</t>
        </is>
      </c>
      <c r="E646" t="inlineStr">
        <is>
          <t>La Macarena Avenue</t>
        </is>
      </c>
      <c r="F646" t="inlineStr">
        <is>
          <t>35261809</t>
        </is>
      </c>
      <c r="G646" t="n">
        <v>25</v>
      </c>
      <c r="H646" t="inlineStr">
        <is>
          <t>tag</t>
        </is>
      </c>
      <c r="I646" t="inlineStr">
        <is>
          <t>cart+LSV</t>
        </is>
      </c>
      <c r="J646" t="inlineStr">
        <is>
          <t>https://www.google.com/maps/@?api=1&amp;map_action=pano&amp;viewpoint=33.070480,-117.256160&amp;heading=201</t>
        </is>
      </c>
      <c r="K646" t="inlineStr">
        <is>
          <t>https://www.google.com/maps/search/?api=1&amp;query=33.070480,-117.256160</t>
        </is>
      </c>
      <c r="L646" t="inlineStr"/>
      <c r="M646" t="inlineStr"/>
      <c r="N646" t="inlineStr"/>
      <c r="O646" t="inlineStr"/>
      <c r="P646" t="inlineStr">
        <is>
          <t>pending</t>
        </is>
      </c>
      <c r="Q646" t="inlineStr"/>
      <c r="R646" t="inlineStr"/>
      <c r="S646" t="inlineStr"/>
      <c r="T646" t="inlineStr"/>
      <c r="U646" t="inlineStr"/>
      <c r="V646">
        <f>IF(OR(L646="",S646=""),"",IF(VALUE(L646)=VALUE(S646),"Y","N"))</f>
        <v/>
      </c>
      <c r="W646">
        <f>IF(V646="Y",S646,"")</f>
        <v/>
      </c>
      <c r="X646" t="inlineStr">
        <is>
          <t>unverified: map has 25 mph (OSM tag only); is it 25 (carts OK) or 30+?</t>
        </is>
      </c>
      <c r="Y646" t="inlineStr"/>
      <c r="Z646" t="n">
        <v>1127</v>
      </c>
      <c r="AA646" t="inlineStr">
        <is>
          <t>sd</t>
        </is>
      </c>
      <c r="AB646" t="inlineStr">
        <is>
          <t>sd|33.07048,-117.25616</t>
        </is>
      </c>
    </row>
    <row r="647">
      <c r="A647" t="inlineStr">
        <is>
          <t>SD-B2-646</t>
        </is>
      </c>
      <c r="B647" t="inlineStr">
        <is>
          <t>San Diego area</t>
        </is>
      </c>
      <c r="C647" t="inlineStr">
        <is>
          <t>La Jolla Scenic Drive South</t>
        </is>
      </c>
      <c r="D647" t="inlineStr">
        <is>
          <t>La Jolla Mesa Drive</t>
        </is>
      </c>
      <c r="E647" t="inlineStr">
        <is>
          <t>Castejon Drive</t>
        </is>
      </c>
      <c r="F647" t="inlineStr">
        <is>
          <t>5960570</t>
        </is>
      </c>
      <c r="G647" t="n">
        <v>25</v>
      </c>
      <c r="H647" t="inlineStr">
        <is>
          <t>mapillary</t>
        </is>
      </c>
      <c r="I647" t="inlineStr">
        <is>
          <t>cart+LSV</t>
        </is>
      </c>
      <c r="J647" t="inlineStr">
        <is>
          <t>https://www.google.com/maps/@?api=1&amp;map_action=pano&amp;viewpoint=32.825430,-117.254500&amp;heading=68</t>
        </is>
      </c>
      <c r="K647" t="inlineStr">
        <is>
          <t>https://www.google.com/maps/search/?api=1&amp;query=32.825430,-117.254500</t>
        </is>
      </c>
      <c r="L647" t="inlineStr"/>
      <c r="M647" t="inlineStr"/>
      <c r="N647" t="inlineStr"/>
      <c r="O647" t="inlineStr"/>
      <c r="P647" t="inlineStr">
        <is>
          <t>pending</t>
        </is>
      </c>
      <c r="Q647" t="inlineStr"/>
      <c r="R647" t="inlineStr"/>
      <c r="S647" t="inlineStr"/>
      <c r="T647" t="inlineStr">
        <is>
          <t>Mapillary: 3 posted 25 mph sign(s) detected</t>
        </is>
      </c>
      <c r="U647" t="inlineStr">
        <is>
          <t>https://www.mapillary.com/app/?lat=32.824665&amp;lng=-117.255340&amp;z=19&amp;focus=map&amp;mapFeatureId=2059119697941009</t>
        </is>
      </c>
      <c r="V647">
        <f>IF(OR(L647="",S647=""),"",IF(VALUE(L647)=VALUE(S647),"Y","N"))</f>
        <v/>
      </c>
      <c r="W647">
        <f>IF(V647="Y",S647,"")</f>
        <v/>
      </c>
      <c r="X647" t="inlineStr">
        <is>
          <t>unverified: map has 25 mph (one Mapillary sign); is it 25 (carts OK) or 30+?</t>
        </is>
      </c>
      <c r="Y647" t="inlineStr"/>
      <c r="Z647" t="n">
        <v>1409</v>
      </c>
      <c r="AA647" t="inlineStr">
        <is>
          <t>sd</t>
        </is>
      </c>
      <c r="AB647" t="inlineStr">
        <is>
          <t>sd|32.82543,-117.25450</t>
        </is>
      </c>
    </row>
    <row r="648">
      <c r="A648" t="inlineStr">
        <is>
          <t>SD-B2-647</t>
        </is>
      </c>
      <c r="B648" t="inlineStr">
        <is>
          <t>San Diego area</t>
        </is>
      </c>
      <c r="C648" t="inlineStr">
        <is>
          <t>Oberlin Drive</t>
        </is>
      </c>
      <c r="D648" t="inlineStr">
        <is>
          <t>(see map link)</t>
        </is>
      </c>
      <c r="E648" t="inlineStr">
        <is>
          <t>Scranton Road</t>
        </is>
      </c>
      <c r="F648" t="inlineStr">
        <is>
          <t>6002455</t>
        </is>
      </c>
      <c r="G648" t="n">
        <v>40</v>
      </c>
      <c r="H648" t="inlineStr">
        <is>
          <t>tag</t>
        </is>
      </c>
      <c r="I648" t="inlineStr">
        <is>
          <t>no</t>
        </is>
      </c>
      <c r="J648" t="inlineStr">
        <is>
          <t>https://www.google.com/maps/@?api=1&amp;map_action=pano&amp;viewpoint=32.891610,-117.199260&amp;heading=88</t>
        </is>
      </c>
      <c r="K648" t="inlineStr">
        <is>
          <t>https://www.google.com/maps/search/?api=1&amp;query=32.891610,-117.199260</t>
        </is>
      </c>
      <c r="L648" t="inlineStr"/>
      <c r="M648" t="inlineStr"/>
      <c r="N648" t="inlineStr"/>
      <c r="O648" t="inlineStr"/>
      <c r="P648" t="inlineStr">
        <is>
          <t>pending</t>
        </is>
      </c>
      <c r="Q648" t="inlineStr"/>
      <c r="R648" t="inlineStr"/>
      <c r="S648" t="inlineStr"/>
      <c r="T648" t="inlineStr"/>
      <c r="U648" t="inlineStr"/>
      <c r="V648">
        <f>IF(OR(L648="",S648=""),"",IF(VALUE(L648)=VALUE(S648),"Y","N"))</f>
        <v/>
      </c>
      <c r="W648">
        <f>IF(V648="Y",S648,"")</f>
        <v/>
      </c>
      <c r="X648" t="inlineStr">
        <is>
          <t>unverified: map has 40 mph (OSM tag only); is it 35 (LSV OK) or 40+?</t>
        </is>
      </c>
      <c r="Y648" t="inlineStr"/>
      <c r="Z648" t="n">
        <v>1126</v>
      </c>
      <c r="AA648" t="inlineStr">
        <is>
          <t>sd</t>
        </is>
      </c>
      <c r="AB648" t="inlineStr">
        <is>
          <t>sd|32.89161,-117.19926</t>
        </is>
      </c>
    </row>
    <row r="649">
      <c r="A649" t="inlineStr">
        <is>
          <t>SD-B2-648</t>
        </is>
      </c>
      <c r="B649" t="inlineStr">
        <is>
          <t>San Diego area</t>
        </is>
      </c>
      <c r="C649" t="inlineStr">
        <is>
          <t>Arroyo Sorrento Road</t>
        </is>
      </c>
      <c r="D649" t="inlineStr">
        <is>
          <t>El Camino Real</t>
        </is>
      </c>
      <c r="E649" t="inlineStr">
        <is>
          <t>Arroyo Sorrento Place</t>
        </is>
      </c>
      <c r="F649" t="inlineStr">
        <is>
          <t>328898677</t>
        </is>
      </c>
      <c r="G649" t="n">
        <v>25</v>
      </c>
      <c r="H649" t="inlineStr">
        <is>
          <t>tag</t>
        </is>
      </c>
      <c r="I649" t="inlineStr">
        <is>
          <t>cart+LSV</t>
        </is>
      </c>
      <c r="J649" t="inlineStr">
        <is>
          <t>https://www.google.com/maps/@?api=1&amp;map_action=pano&amp;viewpoint=32.926040,-117.234260&amp;heading=82</t>
        </is>
      </c>
      <c r="K649" t="inlineStr">
        <is>
          <t>https://www.google.com/maps/search/?api=1&amp;query=32.926040,-117.234260</t>
        </is>
      </c>
      <c r="L649" t="inlineStr"/>
      <c r="M649" t="inlineStr"/>
      <c r="N649" t="inlineStr"/>
      <c r="O649" t="inlineStr"/>
      <c r="P649" t="inlineStr">
        <is>
          <t>pending</t>
        </is>
      </c>
      <c r="Q649" t="inlineStr"/>
      <c r="R649" t="inlineStr"/>
      <c r="S649" t="inlineStr"/>
      <c r="T649" t="inlineStr"/>
      <c r="U649" t="inlineStr"/>
      <c r="V649">
        <f>IF(OR(L649="",S649=""),"",IF(VALUE(L649)=VALUE(S649),"Y","N"))</f>
        <v/>
      </c>
      <c r="W649">
        <f>IF(V649="Y",S649,"")</f>
        <v/>
      </c>
      <c r="X649" t="inlineStr">
        <is>
          <t>unverified: map has 25 mph (OSM tag only); is it 25 (carts OK) or 30+?</t>
        </is>
      </c>
      <c r="Y649" t="inlineStr"/>
      <c r="Z649" t="n">
        <v>1125</v>
      </c>
      <c r="AA649" t="inlineStr">
        <is>
          <t>sd</t>
        </is>
      </c>
      <c r="AB649" t="inlineStr">
        <is>
          <t>sd|32.92604,-117.23426</t>
        </is>
      </c>
    </row>
    <row r="650">
      <c r="A650" t="inlineStr">
        <is>
          <t>SD-B2-649</t>
        </is>
      </c>
      <c r="B650" t="inlineStr">
        <is>
          <t>San Diego area</t>
        </is>
      </c>
      <c r="C650" t="inlineStr">
        <is>
          <t>Cornish Drive</t>
        </is>
      </c>
      <c r="D650" t="inlineStr">
        <is>
          <t>East D Street</t>
        </is>
      </c>
      <c r="E650" t="inlineStr">
        <is>
          <t>Santa Fe Drive</t>
        </is>
      </c>
      <c r="F650" t="inlineStr">
        <is>
          <t>5995546</t>
        </is>
      </c>
      <c r="G650" t="n">
        <v>25</v>
      </c>
      <c r="H650" t="inlineStr">
        <is>
          <t>tag</t>
        </is>
      </c>
      <c r="I650" t="inlineStr">
        <is>
          <t>cart+LSV</t>
        </is>
      </c>
      <c r="J650" t="inlineStr">
        <is>
          <t>https://www.google.com/maps/@?api=1&amp;map_action=pano&amp;viewpoint=33.037260,-117.290250&amp;heading=180</t>
        </is>
      </c>
      <c r="K650" t="inlineStr">
        <is>
          <t>https://www.google.com/maps/search/?api=1&amp;query=33.037260,-117.290250</t>
        </is>
      </c>
      <c r="L650" t="inlineStr"/>
      <c r="M650" t="inlineStr"/>
      <c r="N650" t="inlineStr"/>
      <c r="O650" t="inlineStr"/>
      <c r="P650" t="inlineStr">
        <is>
          <t>pending</t>
        </is>
      </c>
      <c r="Q650" t="inlineStr"/>
      <c r="R650" t="inlineStr"/>
      <c r="S650" t="inlineStr"/>
      <c r="T650" t="inlineStr"/>
      <c r="U650" t="inlineStr"/>
      <c r="V650">
        <f>IF(OR(L650="",S650=""),"",IF(VALUE(L650)=VALUE(S650),"Y","N"))</f>
        <v/>
      </c>
      <c r="W650">
        <f>IF(V650="Y",S650,"")</f>
        <v/>
      </c>
      <c r="X650" t="inlineStr">
        <is>
          <t>unverified: map has 25 mph (OSM tag only); is it 25 (carts OK) or 30+?</t>
        </is>
      </c>
      <c r="Y650" t="inlineStr"/>
      <c r="Z650" t="n">
        <v>1124</v>
      </c>
      <c r="AA650" t="inlineStr">
        <is>
          <t>sd</t>
        </is>
      </c>
      <c r="AB650" t="inlineStr">
        <is>
          <t>sd|33.03726,-117.29025</t>
        </is>
      </c>
    </row>
    <row r="651">
      <c r="A651" t="inlineStr">
        <is>
          <t>SD-B2-650</t>
        </is>
      </c>
      <c r="B651" t="inlineStr">
        <is>
          <t>San Diego area</t>
        </is>
      </c>
      <c r="C651" t="inlineStr">
        <is>
          <t>San Andres Drive</t>
        </is>
      </c>
      <c r="D651" t="inlineStr">
        <is>
          <t>(see map link)</t>
        </is>
      </c>
      <c r="E651" t="inlineStr">
        <is>
          <t>Via Campestre</t>
        </is>
      </c>
      <c r="F651" t="inlineStr">
        <is>
          <t>32701239</t>
        </is>
      </c>
      <c r="G651" t="n">
        <v>25</v>
      </c>
      <c r="H651" t="inlineStr">
        <is>
          <t>inferred</t>
        </is>
      </c>
      <c r="I651" t="inlineStr">
        <is>
          <t>cart+LSV</t>
        </is>
      </c>
      <c r="J651" t="inlineStr">
        <is>
          <t>https://www.google.com/maps/@?api=1&amp;map_action=pano&amp;viewpoint=32.979890,-117.247570&amp;heading=350</t>
        </is>
      </c>
      <c r="K651" t="inlineStr">
        <is>
          <t>https://www.google.com/maps/search/?api=1&amp;query=32.979890,-117.247570</t>
        </is>
      </c>
      <c r="L651" t="inlineStr"/>
      <c r="M651" t="inlineStr"/>
      <c r="N651" t="inlineStr"/>
      <c r="O651" t="inlineStr"/>
      <c r="P651" t="inlineStr">
        <is>
          <t>pending</t>
        </is>
      </c>
      <c r="Q651" t="inlineStr"/>
      <c r="R651" t="inlineStr"/>
      <c r="S651" t="inlineStr"/>
      <c r="T651" t="inlineStr"/>
      <c r="U651" t="inlineStr"/>
      <c r="V651">
        <f>IF(OR(L651="",S651=""),"",IF(VALUE(L651)=VALUE(S651),"Y","N"))</f>
        <v/>
      </c>
      <c r="W651">
        <f>IF(V651="Y",S651,"")</f>
        <v/>
      </c>
      <c r="X651" t="inlineStr">
        <is>
          <t>unverified: map has 25 mph (guessed from road type); is it 25 (carts OK) or 30+?</t>
        </is>
      </c>
      <c r="Y651" t="inlineStr"/>
      <c r="Z651" t="n">
        <v>865</v>
      </c>
      <c r="AA651" t="inlineStr">
        <is>
          <t>sd</t>
        </is>
      </c>
      <c r="AB651" t="inlineStr">
        <is>
          <t>sd|32.97989,-117.24757</t>
        </is>
      </c>
    </row>
    <row r="652">
      <c r="A652" t="inlineStr">
        <is>
          <t>SD-B2-651</t>
        </is>
      </c>
      <c r="B652" t="inlineStr">
        <is>
          <t>San Diego area</t>
        </is>
      </c>
      <c r="C652" t="inlineStr">
        <is>
          <t>Kearny Villa Road</t>
        </is>
      </c>
      <c r="D652" t="inlineStr">
        <is>
          <t>(see map link)</t>
        </is>
      </c>
      <c r="E652" t="inlineStr">
        <is>
          <t>Balboa Avenue</t>
        </is>
      </c>
      <c r="F652" t="inlineStr">
        <is>
          <t>436324614</t>
        </is>
      </c>
      <c r="G652" t="inlineStr"/>
      <c r="H652" t="inlineStr">
        <is>
          <t>inferred</t>
        </is>
      </c>
      <c r="I652" t="inlineStr">
        <is>
          <t>no</t>
        </is>
      </c>
      <c r="J652" t="inlineStr">
        <is>
          <t>https://www.google.com/maps/@?api=1&amp;map_action=pano&amp;viewpoint=32.820870,-117.145220&amp;heading=223</t>
        </is>
      </c>
      <c r="K652" t="inlineStr">
        <is>
          <t>https://www.google.com/maps/search/?api=1&amp;query=32.820870,-117.145220</t>
        </is>
      </c>
      <c r="L652" t="inlineStr"/>
      <c r="M652" t="inlineStr"/>
      <c r="N652" t="inlineStr"/>
      <c r="O652" t="inlineStr"/>
      <c r="P652" t="inlineStr">
        <is>
          <t>pending</t>
        </is>
      </c>
      <c r="Q652" t="inlineStr"/>
      <c r="R652" t="inlineStr"/>
      <c r="S652" t="inlineStr"/>
      <c r="T652" t="inlineStr"/>
      <c r="U652" t="inlineStr"/>
      <c r="V652">
        <f>IF(OR(L652="",S652=""),"",IF(VALUE(L652)=VALUE(S652),"Y","N"))</f>
        <v/>
      </c>
      <c r="W652">
        <f>IF(V652="Y",S652,"")</f>
        <v/>
      </c>
      <c r="X652" t="inlineStr">
        <is>
          <t>unverified: map has no limit (guessed from road type); main road: what is posted? 35 or lower opens it to LSVs</t>
        </is>
      </c>
      <c r="Y652" t="inlineStr"/>
      <c r="Z652" t="n">
        <v>692</v>
      </c>
      <c r="AA652" t="inlineStr">
        <is>
          <t>sd</t>
        </is>
      </c>
      <c r="AB652" t="inlineStr">
        <is>
          <t>sd|32.82087,-117.14522</t>
        </is>
      </c>
    </row>
    <row r="653">
      <c r="A653" t="inlineStr">
        <is>
          <t>SD-B2-652</t>
        </is>
      </c>
      <c r="B653" t="inlineStr">
        <is>
          <t>San Diego area</t>
        </is>
      </c>
      <c r="C653" t="inlineStr">
        <is>
          <t>Truxtun Road</t>
        </is>
      </c>
      <c r="D653" t="inlineStr">
        <is>
          <t>Farragut Road</t>
        </is>
      </c>
      <c r="E653" t="inlineStr">
        <is>
          <t>Laning Road</t>
        </is>
      </c>
      <c r="F653" t="inlineStr">
        <is>
          <t>487537912</t>
        </is>
      </c>
      <c r="G653" t="n">
        <v>25</v>
      </c>
      <c r="H653" t="inlineStr">
        <is>
          <t>mapillary</t>
        </is>
      </c>
      <c r="I653" t="inlineStr">
        <is>
          <t>cart+LSV</t>
        </is>
      </c>
      <c r="J653" t="inlineStr">
        <is>
          <t>https://www.google.com/maps/@?api=1&amp;map_action=pano&amp;viewpoint=32.737040,-117.216625&amp;heading=41</t>
        </is>
      </c>
      <c r="K653" t="inlineStr">
        <is>
          <t>https://www.google.com/maps/search/?api=1&amp;query=32.737040,-117.216625</t>
        </is>
      </c>
      <c r="L653" t="inlineStr"/>
      <c r="M653" t="inlineStr"/>
      <c r="N653" t="inlineStr"/>
      <c r="O653" t="inlineStr"/>
      <c r="P653" t="inlineStr">
        <is>
          <t>pending</t>
        </is>
      </c>
      <c r="Q653" t="inlineStr"/>
      <c r="R653" t="inlineStr"/>
      <c r="S653" t="inlineStr"/>
      <c r="T653" t="inlineStr">
        <is>
          <t>Mapillary: 2 posted 25 mph sign(s) detected</t>
        </is>
      </c>
      <c r="U653" t="inlineStr">
        <is>
          <t>https://www.mapillary.com/app/?lat=32.739204&amp;lng=-117.214280&amp;z=19&amp;focus=map&amp;mapFeatureId=9036155006513725</t>
        </is>
      </c>
      <c r="V653">
        <f>IF(OR(L653="",S653=""),"",IF(VALUE(L653)=VALUE(S653),"Y","N"))</f>
        <v/>
      </c>
      <c r="W653">
        <f>IF(V653="Y",S653,"")</f>
        <v/>
      </c>
      <c r="X653" t="inlineStr">
        <is>
          <t>unverified: map has 25 mph (one Mapillary sign); is it 25 (carts OK) or 30+?</t>
        </is>
      </c>
      <c r="Y653" t="inlineStr"/>
      <c r="Z653" t="n">
        <v>1405</v>
      </c>
      <c r="AA653" t="inlineStr">
        <is>
          <t>sd</t>
        </is>
      </c>
      <c r="AB653" t="inlineStr">
        <is>
          <t>sd|32.73704,-117.21662</t>
        </is>
      </c>
    </row>
    <row r="654">
      <c r="A654" t="inlineStr">
        <is>
          <t>SD-B2-653</t>
        </is>
      </c>
      <c r="B654" t="inlineStr">
        <is>
          <t>San Diego area</t>
        </is>
      </c>
      <c r="C654" t="inlineStr">
        <is>
          <t>Sorrento Valley Road</t>
        </is>
      </c>
      <c r="D654" t="inlineStr">
        <is>
          <t>(see map link)</t>
        </is>
      </c>
      <c r="E654" t="inlineStr">
        <is>
          <t>Sorrento Valley Boulevard</t>
        </is>
      </c>
      <c r="F654" t="inlineStr"/>
      <c r="G654" t="inlineStr"/>
      <c r="H654" t="inlineStr">
        <is>
          <t>inferred</t>
        </is>
      </c>
      <c r="I654" t="inlineStr">
        <is>
          <t>no</t>
        </is>
      </c>
      <c r="J654" t="inlineStr">
        <is>
          <t>https://www.google.com/maps/@?api=1&amp;map_action=pano&amp;viewpoint=32.904830,-117.226690&amp;heading=143</t>
        </is>
      </c>
      <c r="K654" t="inlineStr">
        <is>
          <t>https://www.google.com/maps/search/?api=1&amp;query=32.904830,-117.226690</t>
        </is>
      </c>
      <c r="L654" t="inlineStr"/>
      <c r="M654" t="inlineStr"/>
      <c r="N654" t="inlineStr"/>
      <c r="O654" t="inlineStr"/>
      <c r="P654" t="inlineStr">
        <is>
          <t>pending</t>
        </is>
      </c>
      <c r="Q654" t="inlineStr"/>
      <c r="R654" t="inlineStr"/>
      <c r="S654" t="inlineStr"/>
      <c r="T654" t="inlineStr"/>
      <c r="U654" t="inlineStr"/>
      <c r="V654">
        <f>IF(OR(L654="",S654=""),"",IF(VALUE(L654)=VALUE(S654),"Y","N"))</f>
        <v/>
      </c>
      <c r="W654">
        <f>IF(V654="Y",S654,"")</f>
        <v/>
      </c>
      <c r="X654" t="inlineStr">
        <is>
          <t>unverified: map has no limit (guessed from road type); main road: what is posted? 35 or lower opens it to LSVs</t>
        </is>
      </c>
      <c r="Y654" t="inlineStr"/>
      <c r="Z654" t="n">
        <v>690</v>
      </c>
      <c r="AA654" t="inlineStr">
        <is>
          <t>sd</t>
        </is>
      </c>
      <c r="AB654" t="inlineStr">
        <is>
          <t>sd|32.90483,-117.22669</t>
        </is>
      </c>
    </row>
    <row r="655">
      <c r="A655" t="inlineStr">
        <is>
          <t>SD-B2-654</t>
        </is>
      </c>
      <c r="B655" t="inlineStr">
        <is>
          <t>San Diego area</t>
        </is>
      </c>
      <c r="C655" t="inlineStr">
        <is>
          <t>South 38th Street</t>
        </is>
      </c>
      <c r="D655" t="inlineStr">
        <is>
          <t>T Street</t>
        </is>
      </c>
      <c r="E655" t="inlineStr">
        <is>
          <t>Clinton Street</t>
        </is>
      </c>
      <c r="F655" t="inlineStr">
        <is>
          <t>5962513</t>
        </is>
      </c>
      <c r="G655" t="n">
        <v>25</v>
      </c>
      <c r="H655" t="inlineStr">
        <is>
          <t>mapillary</t>
        </is>
      </c>
      <c r="I655" t="inlineStr">
        <is>
          <t>cart+LSV</t>
        </is>
      </c>
      <c r="J655" t="inlineStr">
        <is>
          <t>https://www.google.com/maps/@?api=1&amp;map_action=pano&amp;viewpoint=32.692625,-117.112440&amp;heading=178</t>
        </is>
      </c>
      <c r="K655" t="inlineStr">
        <is>
          <t>https://www.google.com/maps/search/?api=1&amp;query=32.692625,-117.112440</t>
        </is>
      </c>
      <c r="L655" t="inlineStr"/>
      <c r="M655" t="inlineStr"/>
      <c r="N655" t="inlineStr"/>
      <c r="O655" t="inlineStr"/>
      <c r="P655" t="inlineStr">
        <is>
          <t>pending</t>
        </is>
      </c>
      <c r="Q655" t="inlineStr"/>
      <c r="R655" t="inlineStr"/>
      <c r="S655" t="inlineStr"/>
      <c r="T655" t="inlineStr">
        <is>
          <t>Mapillary: 1 posted 25 mph sign(s) detected</t>
        </is>
      </c>
      <c r="U655" t="inlineStr">
        <is>
          <t>https://www.mapillary.com/app/?lat=32.698936&amp;lng=-117.112480&amp;z=19&amp;focus=map&amp;mapFeatureId=3104949979644069</t>
        </is>
      </c>
      <c r="V655">
        <f>IF(OR(L655="",S655=""),"",IF(VALUE(L655)=VALUE(S655),"Y","N"))</f>
        <v/>
      </c>
      <c r="W655">
        <f>IF(V655="Y",S655,"")</f>
        <v/>
      </c>
      <c r="X655" t="inlineStr">
        <is>
          <t>unverified: map has 25 mph (one Mapillary sign); is it 25 (carts OK) or 30+?</t>
        </is>
      </c>
      <c r="Y655" t="inlineStr"/>
      <c r="Z655" t="n">
        <v>1399</v>
      </c>
      <c r="AA655" t="inlineStr">
        <is>
          <t>sd</t>
        </is>
      </c>
      <c r="AB655" t="inlineStr">
        <is>
          <t>sd|32.69262,-117.11244</t>
        </is>
      </c>
    </row>
    <row r="656">
      <c r="A656" t="inlineStr">
        <is>
          <t>SD-B2-655</t>
        </is>
      </c>
      <c r="B656" t="inlineStr">
        <is>
          <t>San Diego area</t>
        </is>
      </c>
      <c r="C656" t="inlineStr">
        <is>
          <t>Salk Avenue</t>
        </is>
      </c>
      <c r="D656" t="inlineStr">
        <is>
          <t>College Boulevard</t>
        </is>
      </c>
      <c r="E656" t="inlineStr">
        <is>
          <t>El Camino Real</t>
        </is>
      </c>
      <c r="F656" t="inlineStr">
        <is>
          <t>594506866</t>
        </is>
      </c>
      <c r="G656" t="n">
        <v>25</v>
      </c>
      <c r="H656" t="inlineStr">
        <is>
          <t>inferred</t>
        </is>
      </c>
      <c r="I656" t="inlineStr">
        <is>
          <t>cart+LSV</t>
        </is>
      </c>
      <c r="J656" t="inlineStr">
        <is>
          <t>https://www.google.com/maps/@?api=1&amp;map_action=pano&amp;viewpoint=33.138590,-117.277890&amp;heading=110</t>
        </is>
      </c>
      <c r="K656" t="inlineStr">
        <is>
          <t>https://www.google.com/maps/search/?api=1&amp;query=33.138590,-117.277890</t>
        </is>
      </c>
      <c r="L656" t="inlineStr"/>
      <c r="M656" t="inlineStr"/>
      <c r="N656" t="inlineStr"/>
      <c r="O656" t="inlineStr"/>
      <c r="P656" t="inlineStr">
        <is>
          <t>pending</t>
        </is>
      </c>
      <c r="Q656" t="inlineStr"/>
      <c r="R656" t="inlineStr"/>
      <c r="S656" t="inlineStr"/>
      <c r="T656" t="inlineStr"/>
      <c r="U656" t="inlineStr"/>
      <c r="V656">
        <f>IF(OR(L656="",S656=""),"",IF(VALUE(L656)=VALUE(S656),"Y","N"))</f>
        <v/>
      </c>
      <c r="W656">
        <f>IF(V656="Y",S656,"")</f>
        <v/>
      </c>
      <c r="X656" t="inlineStr">
        <is>
          <t>unverified: map has 25 mph (guessed from road type); is it 25 (carts OK) or 30+?</t>
        </is>
      </c>
      <c r="Y656" t="inlineStr"/>
      <c r="Z656" t="n">
        <v>861</v>
      </c>
      <c r="AA656" t="inlineStr">
        <is>
          <t>sd</t>
        </is>
      </c>
      <c r="AB656" t="inlineStr">
        <is>
          <t>sd|33.13859,-117.27789</t>
        </is>
      </c>
    </row>
    <row r="657">
      <c r="A657" t="inlineStr">
        <is>
          <t>SD-B2-656</t>
        </is>
      </c>
      <c r="B657" t="inlineStr">
        <is>
          <t>San Diego area</t>
        </is>
      </c>
      <c r="C657" t="inlineStr">
        <is>
          <t>Pacific Highway</t>
        </is>
      </c>
      <c r="D657" t="inlineStr">
        <is>
          <t>West Palm Street</t>
        </is>
      </c>
      <c r="E657" t="inlineStr">
        <is>
          <t>West Laurel Street</t>
        </is>
      </c>
      <c r="F657" t="inlineStr">
        <is>
          <t>436608282</t>
        </is>
      </c>
      <c r="G657" t="inlineStr"/>
      <c r="H657" t="inlineStr">
        <is>
          <t>inferred</t>
        </is>
      </c>
      <c r="I657" t="inlineStr">
        <is>
          <t>no</t>
        </is>
      </c>
      <c r="J657" t="inlineStr">
        <is>
          <t>https://www.google.com/maps/@?api=1&amp;map_action=pano&amp;viewpoint=32.730880,-117.174390&amp;heading=159</t>
        </is>
      </c>
      <c r="K657" t="inlineStr">
        <is>
          <t>https://www.google.com/maps/search/?api=1&amp;query=32.730880,-117.174390</t>
        </is>
      </c>
      <c r="L657" t="inlineStr"/>
      <c r="M657" t="inlineStr"/>
      <c r="N657" t="inlineStr"/>
      <c r="O657" t="inlineStr"/>
      <c r="P657" t="inlineStr">
        <is>
          <t>pending</t>
        </is>
      </c>
      <c r="Q657" t="inlineStr"/>
      <c r="R657" t="inlineStr"/>
      <c r="S657" t="inlineStr"/>
      <c r="T657" t="inlineStr"/>
      <c r="U657" t="inlineStr"/>
      <c r="V657">
        <f>IF(OR(L657="",S657=""),"",IF(VALUE(L657)=VALUE(S657),"Y","N"))</f>
        <v/>
      </c>
      <c r="W657">
        <f>IF(V657="Y",S657,"")</f>
        <v/>
      </c>
      <c r="X657" t="inlineStr">
        <is>
          <t>unverified: map has no limit (guessed from road type); main road: what is posted? 35 or lower opens it to LSVs</t>
        </is>
      </c>
      <c r="Y657" t="inlineStr"/>
      <c r="Z657" t="n">
        <v>574</v>
      </c>
      <c r="AA657" t="inlineStr">
        <is>
          <t>sd</t>
        </is>
      </c>
      <c r="AB657" t="inlineStr">
        <is>
          <t>sd|32.73088,-117.17439</t>
        </is>
      </c>
    </row>
    <row r="658">
      <c r="A658" t="inlineStr">
        <is>
          <t>SD-B2-657</t>
        </is>
      </c>
      <c r="B658" t="inlineStr">
        <is>
          <t>San Diego area</t>
        </is>
      </c>
      <c r="C658" t="inlineStr">
        <is>
          <t>Carmel Valley Road</t>
        </is>
      </c>
      <c r="D658" t="inlineStr">
        <is>
          <t>Edgewood Bend Court</t>
        </is>
      </c>
      <c r="E658" t="inlineStr">
        <is>
          <t>Del Mar Heights Road</t>
        </is>
      </c>
      <c r="F658" t="inlineStr">
        <is>
          <t>355860296</t>
        </is>
      </c>
      <c r="G658" t="n">
        <v>45</v>
      </c>
      <c r="H658" t="inlineStr">
        <is>
          <t>tag</t>
        </is>
      </c>
      <c r="I658" t="inlineStr">
        <is>
          <t>no</t>
        </is>
      </c>
      <c r="J658" t="inlineStr">
        <is>
          <t>https://www.google.com/maps/@?api=1&amp;map_action=pano&amp;viewpoint=32.956900,-117.194330&amp;heading=15</t>
        </is>
      </c>
      <c r="K658" t="inlineStr">
        <is>
          <t>https://www.google.com/maps/search/?api=1&amp;query=32.956900,-117.194330</t>
        </is>
      </c>
      <c r="L658" t="inlineStr"/>
      <c r="M658" t="inlineStr"/>
      <c r="N658" t="inlineStr"/>
      <c r="O658" t="inlineStr"/>
      <c r="P658" t="inlineStr">
        <is>
          <t>pending</t>
        </is>
      </c>
      <c r="Q658" t="inlineStr"/>
      <c r="R658" t="inlineStr"/>
      <c r="S658" t="inlineStr"/>
      <c r="T658" t="inlineStr"/>
      <c r="U658" t="inlineStr"/>
      <c r="V658">
        <f>IF(OR(L658="",S658=""),"",IF(VALUE(L658)=VALUE(S658),"Y","N"))</f>
        <v/>
      </c>
      <c r="W658">
        <f>IF(V658="Y",S658,"")</f>
        <v/>
      </c>
      <c r="X658" t="inlineStr">
        <is>
          <t>unverified: map has 45 mph (OSM tag only); main road: what is posted? 35 or lower opens it to LSVs</t>
        </is>
      </c>
      <c r="Y658" t="inlineStr"/>
      <c r="Z658" t="n">
        <v>895</v>
      </c>
      <c r="AA658" t="inlineStr">
        <is>
          <t>sd</t>
        </is>
      </c>
      <c r="AB658" t="inlineStr">
        <is>
          <t>sd|32.95690,-117.19433</t>
        </is>
      </c>
    </row>
    <row r="659">
      <c r="A659" t="inlineStr">
        <is>
          <t>SD-B2-658</t>
        </is>
      </c>
      <c r="B659" t="inlineStr">
        <is>
          <t>San Diego area</t>
        </is>
      </c>
      <c r="C659" t="inlineStr">
        <is>
          <t>West G Street</t>
        </is>
      </c>
      <c r="D659" t="inlineStr">
        <is>
          <t>Kettner Boulevard</t>
        </is>
      </c>
      <c r="E659" t="inlineStr">
        <is>
          <t>Pacific Highway</t>
        </is>
      </c>
      <c r="F659" t="inlineStr">
        <is>
          <t>1034098042</t>
        </is>
      </c>
      <c r="G659" t="inlineStr"/>
      <c r="H659" t="inlineStr">
        <is>
          <t>inferred</t>
        </is>
      </c>
      <c r="I659" t="inlineStr">
        <is>
          <t>no</t>
        </is>
      </c>
      <c r="J659" t="inlineStr">
        <is>
          <t>https://www.google.com/maps/@?api=1&amp;map_action=pano&amp;viewpoint=32.712520,-117.170530&amp;heading=90</t>
        </is>
      </c>
      <c r="K659" t="inlineStr">
        <is>
          <t>https://www.google.com/maps/search/?api=1&amp;query=32.712520,-117.170530</t>
        </is>
      </c>
      <c r="L659" t="inlineStr"/>
      <c r="M659" t="inlineStr"/>
      <c r="N659" t="inlineStr"/>
      <c r="O659" t="inlineStr"/>
      <c r="P659" t="inlineStr">
        <is>
          <t>pending</t>
        </is>
      </c>
      <c r="Q659" t="inlineStr"/>
      <c r="R659" t="inlineStr"/>
      <c r="S659" t="inlineStr"/>
      <c r="T659" t="inlineStr"/>
      <c r="U659" t="inlineStr"/>
      <c r="V659">
        <f>IF(OR(L659="",S659=""),"",IF(VALUE(L659)=VALUE(S659),"Y","N"))</f>
        <v/>
      </c>
      <c r="W659">
        <f>IF(V659="Y",S659,"")</f>
        <v/>
      </c>
      <c r="X659" t="inlineStr">
        <is>
          <t>unverified: map has no limit (guessed from road type); main road: what is posted? 35 or lower opens it to LSVs</t>
        </is>
      </c>
      <c r="Y659" t="inlineStr"/>
      <c r="Z659" t="n">
        <v>688</v>
      </c>
      <c r="AA659" t="inlineStr">
        <is>
          <t>sd</t>
        </is>
      </c>
      <c r="AB659" t="inlineStr">
        <is>
          <t>sd|32.71252,-117.17053</t>
        </is>
      </c>
    </row>
    <row r="660">
      <c r="A660" t="inlineStr">
        <is>
          <t>SD-B2-659</t>
        </is>
      </c>
      <c r="B660" t="inlineStr">
        <is>
          <t>San Diego area</t>
        </is>
      </c>
      <c r="C660" t="inlineStr">
        <is>
          <t>Balboa Avenue</t>
        </is>
      </c>
      <c r="D660" t="inlineStr">
        <is>
          <t>Moraga Avenue</t>
        </is>
      </c>
      <c r="E660" t="inlineStr">
        <is>
          <t>(see map link)</t>
        </is>
      </c>
      <c r="F660" t="inlineStr">
        <is>
          <t>6026253</t>
        </is>
      </c>
      <c r="G660" t="n">
        <v>45</v>
      </c>
      <c r="H660" t="inlineStr">
        <is>
          <t>mapillary</t>
        </is>
      </c>
      <c r="I660" t="inlineStr">
        <is>
          <t>no</t>
        </is>
      </c>
      <c r="J660" t="inlineStr">
        <is>
          <t>https://www.google.com/maps/@?api=1&amp;map_action=pano&amp;viewpoint=32.811300,-117.204090&amp;heading=52</t>
        </is>
      </c>
      <c r="K660" t="inlineStr">
        <is>
          <t>https://www.google.com/maps/search/?api=1&amp;query=32.811300,-117.204090</t>
        </is>
      </c>
      <c r="L660" t="inlineStr"/>
      <c r="M660" t="inlineStr"/>
      <c r="N660" t="inlineStr"/>
      <c r="O660" t="inlineStr"/>
      <c r="P660" t="inlineStr">
        <is>
          <t>pending</t>
        </is>
      </c>
      <c r="Q660" t="inlineStr"/>
      <c r="R660" t="inlineStr"/>
      <c r="S660" t="inlineStr"/>
      <c r="T660" t="inlineStr">
        <is>
          <t>Mapillary: 2 posted 45 mph sign(s) detected</t>
        </is>
      </c>
      <c r="U660" t="inlineStr">
        <is>
          <t>https://www.mapillary.com/app/?lat=32.807940&amp;lng=-117.210050&amp;z=19&amp;focus=map&amp;mapFeatureId=756822971671018</t>
        </is>
      </c>
      <c r="V660">
        <f>IF(OR(L660="",S660=""),"",IF(VALUE(L660)=VALUE(S660),"Y","N"))</f>
        <v/>
      </c>
      <c r="W660">
        <f>IF(V660="Y",S660,"")</f>
        <v/>
      </c>
      <c r="X660" t="inlineStr">
        <is>
          <t>unverified: map has 45 mph (one Mapillary sign); main road: what is posted? 35 or lower opens it to LSVs</t>
        </is>
      </c>
      <c r="Y660" t="inlineStr"/>
      <c r="Z660" t="n">
        <v>931</v>
      </c>
      <c r="AA660" t="inlineStr">
        <is>
          <t>sd</t>
        </is>
      </c>
      <c r="AB660" t="inlineStr">
        <is>
          <t>sd|32.81130,-117.20409</t>
        </is>
      </c>
    </row>
    <row r="661">
      <c r="A661" t="inlineStr">
        <is>
          <t>SD-B2-660</t>
        </is>
      </c>
      <c r="B661" t="inlineStr">
        <is>
          <t>San Diego area</t>
        </is>
      </c>
      <c r="C661" t="inlineStr">
        <is>
          <t>University Avenue</t>
        </is>
      </c>
      <c r="D661" t="inlineStr">
        <is>
          <t>30th Street</t>
        </is>
      </c>
      <c r="E661" t="inlineStr">
        <is>
          <t>29th Street</t>
        </is>
      </c>
      <c r="F661" t="inlineStr">
        <is>
          <t>1031604331</t>
        </is>
      </c>
      <c r="G661" t="n">
        <v>25</v>
      </c>
      <c r="H661" t="inlineStr">
        <is>
          <t>tag</t>
        </is>
      </c>
      <c r="I661" t="inlineStr">
        <is>
          <t>cart+LSV</t>
        </is>
      </c>
      <c r="J661" t="inlineStr">
        <is>
          <t>https://www.google.com/maps/@?api=1&amp;map_action=pano&amp;viewpoint=32.748410,-117.132510&amp;heading=136</t>
        </is>
      </c>
      <c r="K661" t="inlineStr">
        <is>
          <t>https://www.google.com/maps/search/?api=1&amp;query=32.748410,-117.132510</t>
        </is>
      </c>
      <c r="L661" t="inlineStr"/>
      <c r="M661" t="inlineStr"/>
      <c r="N661" t="inlineStr"/>
      <c r="O661" t="inlineStr"/>
      <c r="P661" t="inlineStr">
        <is>
          <t>pending</t>
        </is>
      </c>
      <c r="Q661" t="inlineStr"/>
      <c r="R661" t="inlineStr"/>
      <c r="S661" t="inlineStr"/>
      <c r="T661" t="inlineStr"/>
      <c r="U661" t="inlineStr"/>
      <c r="V661">
        <f>IF(OR(L661="",S661=""),"",IF(VALUE(L661)=VALUE(S661),"Y","N"))</f>
        <v/>
      </c>
      <c r="W661">
        <f>IF(V661="Y",S661,"")</f>
        <v/>
      </c>
      <c r="X661" t="inlineStr">
        <is>
          <t>unverified: map has 25 mph (OSM tag only); is it 25 (carts OK) or 30+?</t>
        </is>
      </c>
      <c r="Y661" t="inlineStr"/>
      <c r="Z661" t="n">
        <v>743</v>
      </c>
      <c r="AA661" t="inlineStr">
        <is>
          <t>sd</t>
        </is>
      </c>
      <c r="AB661" t="inlineStr">
        <is>
          <t>sd|32.74841,-117.13251</t>
        </is>
      </c>
    </row>
    <row r="662">
      <c r="A662" t="inlineStr">
        <is>
          <t>SD-B2-661</t>
        </is>
      </c>
      <c r="B662" t="inlineStr">
        <is>
          <t>San Diego area</t>
        </is>
      </c>
      <c r="C662" t="inlineStr">
        <is>
          <t>Pentuckett Avenue</t>
        </is>
      </c>
      <c r="D662" t="inlineStr">
        <is>
          <t>Fir Street</t>
        </is>
      </c>
      <c r="E662" t="inlineStr">
        <is>
          <t>Grape Street</t>
        </is>
      </c>
      <c r="F662" t="inlineStr">
        <is>
          <t>1458941011</t>
        </is>
      </c>
      <c r="G662" t="n">
        <v>25</v>
      </c>
      <c r="H662" t="inlineStr">
        <is>
          <t>inferred</t>
        </is>
      </c>
      <c r="I662" t="inlineStr">
        <is>
          <t>cart+LSV</t>
        </is>
      </c>
      <c r="J662" t="inlineStr">
        <is>
          <t>https://www.google.com/maps/@?api=1&amp;map_action=pano&amp;viewpoint=32.724490,-117.117050&amp;heading=33</t>
        </is>
      </c>
      <c r="K662" t="inlineStr">
        <is>
          <t>https://www.google.com/maps/search/?api=1&amp;query=32.724490,-117.117050</t>
        </is>
      </c>
      <c r="L662" t="inlineStr"/>
      <c r="M662" t="inlineStr"/>
      <c r="N662" t="inlineStr"/>
      <c r="O662" t="inlineStr"/>
      <c r="P662" t="inlineStr">
        <is>
          <t>pending</t>
        </is>
      </c>
      <c r="Q662" t="inlineStr"/>
      <c r="R662" t="inlineStr"/>
      <c r="S662" t="inlineStr"/>
      <c r="T662" t="inlineStr"/>
      <c r="U662" t="inlineStr"/>
      <c r="V662">
        <f>IF(OR(L662="",S662=""),"",IF(VALUE(L662)=VALUE(S662),"Y","N"))</f>
        <v/>
      </c>
      <c r="W662">
        <f>IF(V662="Y",S662,"")</f>
        <v/>
      </c>
      <c r="X662" t="inlineStr">
        <is>
          <t>unverified: map has 25 mph (guessed from road type); is it 25 (carts OK) or 30+?</t>
        </is>
      </c>
      <c r="Y662" t="inlineStr"/>
      <c r="Z662" t="n">
        <v>855</v>
      </c>
      <c r="AA662" t="inlineStr">
        <is>
          <t>sd</t>
        </is>
      </c>
      <c r="AB662" t="inlineStr">
        <is>
          <t>sd|32.72449,-117.11705</t>
        </is>
      </c>
    </row>
    <row r="663">
      <c r="A663" t="inlineStr">
        <is>
          <t>SD-B2-662</t>
        </is>
      </c>
      <c r="B663" t="inlineStr">
        <is>
          <t>San Diego area</t>
        </is>
      </c>
      <c r="C663" t="inlineStr">
        <is>
          <t>Burgener Boulevard</t>
        </is>
      </c>
      <c r="D663" t="inlineStr">
        <is>
          <t>July Street</t>
        </is>
      </c>
      <c r="E663" t="inlineStr">
        <is>
          <t>Huxley Street</t>
        </is>
      </c>
      <c r="F663" t="inlineStr">
        <is>
          <t>319360783</t>
        </is>
      </c>
      <c r="G663" t="n">
        <v>30</v>
      </c>
      <c r="H663" t="inlineStr">
        <is>
          <t>mapillary</t>
        </is>
      </c>
      <c r="I663" t="inlineStr">
        <is>
          <t>LSV</t>
        </is>
      </c>
      <c r="J663" t="inlineStr">
        <is>
          <t>https://www.google.com/maps/@?api=1&amp;map_action=pano&amp;viewpoint=32.791830,-117.192905&amp;heading=340</t>
        </is>
      </c>
      <c r="K663" t="inlineStr">
        <is>
          <t>https://www.google.com/maps/search/?api=1&amp;query=32.791830,-117.192905</t>
        </is>
      </c>
      <c r="L663" t="inlineStr"/>
      <c r="M663" t="inlineStr"/>
      <c r="N663" t="inlineStr"/>
      <c r="O663" t="inlineStr"/>
      <c r="P663" t="inlineStr">
        <is>
          <t>pending</t>
        </is>
      </c>
      <c r="Q663" t="inlineStr"/>
      <c r="R663" t="inlineStr"/>
      <c r="S663" t="inlineStr"/>
      <c r="T663" t="inlineStr">
        <is>
          <t>Mapillary: 6 posted 30 mph sign(s) detected</t>
        </is>
      </c>
      <c r="U663" t="inlineStr">
        <is>
          <t>https://www.mapillary.com/app/?lat=32.790700&amp;lng=-117.192330&amp;z=19&amp;focus=map&amp;mapFeatureId=208212260927870</t>
        </is>
      </c>
      <c r="V663">
        <f>IF(OR(L663="",S663=""),"",IF(VALUE(L663)=VALUE(S663),"Y","N"))</f>
        <v/>
      </c>
      <c r="W663">
        <f>IF(V663="Y",S663,"")</f>
        <v/>
      </c>
      <c r="X663" t="inlineStr">
        <is>
          <t>unverified: map has 30 mph (one Mapillary sign); is it 25 (carts OK) or 30+?</t>
        </is>
      </c>
      <c r="Y663" t="inlineStr"/>
      <c r="Z663" t="n">
        <v>1109</v>
      </c>
      <c r="AA663" t="inlineStr">
        <is>
          <t>sd</t>
        </is>
      </c>
      <c r="AB663" t="inlineStr">
        <is>
          <t>sd|32.79183,-117.19290</t>
        </is>
      </c>
    </row>
    <row r="664">
      <c r="A664" t="inlineStr">
        <is>
          <t>SD-B2-663</t>
        </is>
      </c>
      <c r="B664" t="inlineStr">
        <is>
          <t>San Diego area</t>
        </is>
      </c>
      <c r="C664" t="inlineStr">
        <is>
          <t>Moraga Avenue</t>
        </is>
      </c>
      <c r="D664" t="inlineStr">
        <is>
          <t>(see map link)</t>
        </is>
      </c>
      <c r="E664" t="inlineStr">
        <is>
          <t>Hopi Place</t>
        </is>
      </c>
      <c r="F664" t="inlineStr">
        <is>
          <t>228625642</t>
        </is>
      </c>
      <c r="G664" t="n">
        <v>25</v>
      </c>
      <c r="H664" t="inlineStr">
        <is>
          <t>mapillary</t>
        </is>
      </c>
      <c r="I664" t="inlineStr">
        <is>
          <t>cart+LSV</t>
        </is>
      </c>
      <c r="J664" t="inlineStr">
        <is>
          <t>https://www.google.com/maps/@?api=1&amp;map_action=pano&amp;viewpoint=32.825020,-117.214840&amp;heading=339</t>
        </is>
      </c>
      <c r="K664" t="inlineStr">
        <is>
          <t>https://www.google.com/maps/search/?api=1&amp;query=32.825020,-117.214840</t>
        </is>
      </c>
      <c r="L664" t="inlineStr"/>
      <c r="M664" t="inlineStr"/>
      <c r="N664" t="inlineStr"/>
      <c r="O664" t="inlineStr"/>
      <c r="P664" t="inlineStr">
        <is>
          <t>pending</t>
        </is>
      </c>
      <c r="Q664" t="inlineStr"/>
      <c r="R664" t="inlineStr"/>
      <c r="S664" t="inlineStr"/>
      <c r="T664" t="inlineStr">
        <is>
          <t>Mapillary: 2 posted 25 mph sign(s) detected</t>
        </is>
      </c>
      <c r="U664" t="inlineStr">
        <is>
          <t>https://www.mapillary.com/app/?lat=32.826313&amp;lng=-117.214935&amp;z=19&amp;focus=map&amp;mapFeatureId=1836024883818706</t>
        </is>
      </c>
      <c r="V664">
        <f>IF(OR(L664="",S664=""),"",IF(VALUE(L664)=VALUE(S664),"Y","N"))</f>
        <v/>
      </c>
      <c r="W664">
        <f>IF(V664="Y",S664,"")</f>
        <v/>
      </c>
      <c r="X664" t="inlineStr">
        <is>
          <t>unverified: map has 25 mph (one Mapillary sign); is it 25 (carts OK) or 30+?</t>
        </is>
      </c>
      <c r="Y664" t="inlineStr"/>
      <c r="Z664" t="n">
        <v>1108</v>
      </c>
      <c r="AA664" t="inlineStr">
        <is>
          <t>sd</t>
        </is>
      </c>
      <c r="AB664" t="inlineStr">
        <is>
          <t>sd|32.82502,-117.21484</t>
        </is>
      </c>
    </row>
    <row r="665">
      <c r="A665" t="inlineStr">
        <is>
          <t>SD-B2-664</t>
        </is>
      </c>
      <c r="B665" t="inlineStr">
        <is>
          <t>San Diego area</t>
        </is>
      </c>
      <c r="C665" t="inlineStr">
        <is>
          <t>Skyline Drive</t>
        </is>
      </c>
      <c r="D665" t="inlineStr">
        <is>
          <t>Fire Mountain Drive</t>
        </is>
      </c>
      <c r="E665" t="inlineStr">
        <is>
          <t>Avenida de Loyola</t>
        </is>
      </c>
      <c r="F665" t="inlineStr">
        <is>
          <t>6034437</t>
        </is>
      </c>
      <c r="G665" t="n">
        <v>25</v>
      </c>
      <c r="H665" t="inlineStr">
        <is>
          <t>inferred</t>
        </is>
      </c>
      <c r="I665" t="inlineStr">
        <is>
          <t>cart+LSV</t>
        </is>
      </c>
      <c r="J665" t="inlineStr">
        <is>
          <t>https://www.google.com/maps/@?api=1&amp;map_action=pano&amp;viewpoint=33.194550,-117.327660&amp;heading=18</t>
        </is>
      </c>
      <c r="K665" t="inlineStr">
        <is>
          <t>https://www.google.com/maps/search/?api=1&amp;query=33.194550,-117.327660</t>
        </is>
      </c>
      <c r="L665" t="inlineStr"/>
      <c r="M665" t="inlineStr"/>
      <c r="N665" t="inlineStr"/>
      <c r="O665" t="inlineStr"/>
      <c r="P665" t="inlineStr">
        <is>
          <t>pending</t>
        </is>
      </c>
      <c r="Q665" t="inlineStr"/>
      <c r="R665" t="inlineStr"/>
      <c r="S665" t="inlineStr"/>
      <c r="T665" t="inlineStr"/>
      <c r="U665" t="inlineStr"/>
      <c r="V665">
        <f>IF(OR(L665="",S665=""),"",IF(VALUE(L665)=VALUE(S665),"Y","N"))</f>
        <v/>
      </c>
      <c r="W665">
        <f>IF(V665="Y",S665,"")</f>
        <v/>
      </c>
      <c r="X665" t="inlineStr">
        <is>
          <t>unverified: map has 25 mph (guessed from road type); is it 25 (carts OK) or 30+?</t>
        </is>
      </c>
      <c r="Y665" t="inlineStr"/>
      <c r="Z665" t="n">
        <v>852</v>
      </c>
      <c r="AA665" t="inlineStr">
        <is>
          <t>sd</t>
        </is>
      </c>
      <c r="AB665" t="inlineStr">
        <is>
          <t>sd|33.19455,-117.32766</t>
        </is>
      </c>
    </row>
    <row r="666">
      <c r="A666" t="inlineStr">
        <is>
          <t>SD-B2-665</t>
        </is>
      </c>
      <c r="B666" t="inlineStr">
        <is>
          <t>San Diego area</t>
        </is>
      </c>
      <c r="C666" t="inlineStr">
        <is>
          <t>Carmel Country Road</t>
        </is>
      </c>
      <c r="D666" t="inlineStr">
        <is>
          <t>Del Mar Heights Road</t>
        </is>
      </c>
      <c r="E666" t="inlineStr">
        <is>
          <t>McGuire Drive</t>
        </is>
      </c>
      <c r="F666" t="inlineStr">
        <is>
          <t>391846767</t>
        </is>
      </c>
      <c r="G666" t="n">
        <v>45</v>
      </c>
      <c r="H666" t="inlineStr">
        <is>
          <t>tag</t>
        </is>
      </c>
      <c r="I666" t="inlineStr">
        <is>
          <t>no</t>
        </is>
      </c>
      <c r="J666" t="inlineStr">
        <is>
          <t>https://www.google.com/maps/@?api=1&amp;map_action=pano&amp;viewpoint=32.948930,-117.228460&amp;heading=327</t>
        </is>
      </c>
      <c r="K666" t="inlineStr">
        <is>
          <t>https://www.google.com/maps/search/?api=1&amp;query=32.948930,-117.228460</t>
        </is>
      </c>
      <c r="L666" t="inlineStr"/>
      <c r="M666" t="inlineStr"/>
      <c r="N666" t="inlineStr"/>
      <c r="O666" t="inlineStr"/>
      <c r="P666" t="inlineStr">
        <is>
          <t>pending</t>
        </is>
      </c>
      <c r="Q666" t="inlineStr"/>
      <c r="R666" t="inlineStr"/>
      <c r="S666" t="inlineStr"/>
      <c r="T666" t="inlineStr"/>
      <c r="U666" t="inlineStr"/>
      <c r="V666">
        <f>IF(OR(L666="",S666=""),"",IF(VALUE(L666)=VALUE(S666),"Y","N"))</f>
        <v/>
      </c>
      <c r="W666">
        <f>IF(V666="Y",S666,"")</f>
        <v/>
      </c>
      <c r="X666" t="inlineStr">
        <is>
          <t>unverified: map has 45 mph (OSM tag only); main road: what is posted? 35 or lower opens it to LSVs</t>
        </is>
      </c>
      <c r="Y666" t="inlineStr"/>
      <c r="Z666" t="n">
        <v>886</v>
      </c>
      <c r="AA666" t="inlineStr">
        <is>
          <t>sd</t>
        </is>
      </c>
      <c r="AB666" t="inlineStr">
        <is>
          <t>sd|32.94893,-117.22846</t>
        </is>
      </c>
    </row>
    <row r="667">
      <c r="A667" t="inlineStr">
        <is>
          <t>SD-B2-666</t>
        </is>
      </c>
      <c r="B667" t="inlineStr">
        <is>
          <t>San Diego area</t>
        </is>
      </c>
      <c r="C667" t="inlineStr">
        <is>
          <t>Union Street</t>
        </is>
      </c>
      <c r="D667" t="inlineStr">
        <is>
          <t>West Broadway</t>
        </is>
      </c>
      <c r="E667" t="inlineStr">
        <is>
          <t>West C Street</t>
        </is>
      </c>
      <c r="F667" t="inlineStr">
        <is>
          <t>593754409</t>
        </is>
      </c>
      <c r="G667" t="n">
        <v>25</v>
      </c>
      <c r="H667" t="inlineStr">
        <is>
          <t>inferred</t>
        </is>
      </c>
      <c r="I667" t="inlineStr">
        <is>
          <t>cart+LSV</t>
        </is>
      </c>
      <c r="J667" t="inlineStr">
        <is>
          <t>https://www.google.com/maps/@?api=1&amp;map_action=pano&amp;viewpoint=32.721430,-117.165615&amp;heading=360</t>
        </is>
      </c>
      <c r="K667" t="inlineStr">
        <is>
          <t>https://www.google.com/maps/search/?api=1&amp;query=32.721430,-117.165615</t>
        </is>
      </c>
      <c r="L667" t="inlineStr"/>
      <c r="M667" t="inlineStr"/>
      <c r="N667" t="inlineStr"/>
      <c r="O667" t="inlineStr"/>
      <c r="P667" t="inlineStr">
        <is>
          <t>pending</t>
        </is>
      </c>
      <c r="Q667" t="inlineStr"/>
      <c r="R667" t="inlineStr"/>
      <c r="S667" t="inlineStr"/>
      <c r="T667" t="inlineStr"/>
      <c r="U667" t="inlineStr"/>
      <c r="V667">
        <f>IF(OR(L667="",S667=""),"",IF(VALUE(L667)=VALUE(S667),"Y","N"))</f>
        <v/>
      </c>
      <c r="W667">
        <f>IF(V667="Y",S667,"")</f>
        <v/>
      </c>
      <c r="X667" t="inlineStr">
        <is>
          <t>unverified: map has 25 mph (guessed from road type); is it 25 (carts OK) or 30+?</t>
        </is>
      </c>
      <c r="Y667" t="inlineStr"/>
      <c r="Z667" t="n">
        <v>851</v>
      </c>
      <c r="AA667" t="inlineStr">
        <is>
          <t>sd</t>
        </is>
      </c>
      <c r="AB667" t="inlineStr">
        <is>
          <t>sd|32.72143,-117.16562</t>
        </is>
      </c>
    </row>
    <row r="668">
      <c r="A668" t="inlineStr">
        <is>
          <t>SD-B2-667</t>
        </is>
      </c>
      <c r="B668" t="inlineStr">
        <is>
          <t>Oceanside</t>
        </is>
      </c>
      <c r="C668" t="inlineStr">
        <is>
          <t>North Harbor Drive</t>
        </is>
      </c>
      <c r="D668" t="inlineStr">
        <is>
          <t>South Harbor Drive</t>
        </is>
      </c>
      <c r="E668" t="inlineStr">
        <is>
          <t>(see map link)</t>
        </is>
      </c>
      <c r="F668" t="inlineStr">
        <is>
          <t>1532551121</t>
        </is>
      </c>
      <c r="G668" t="n">
        <v>25</v>
      </c>
      <c r="H668" t="inlineStr">
        <is>
          <t>mapillary</t>
        </is>
      </c>
      <c r="I668" t="inlineStr">
        <is>
          <t>cart+LSV</t>
        </is>
      </c>
      <c r="J668" t="inlineStr">
        <is>
          <t>https://www.google.com/maps/@?api=1&amp;map_action=pano&amp;viewpoint=33.206880,-117.392720&amp;heading=298</t>
        </is>
      </c>
      <c r="K668" t="inlineStr">
        <is>
          <t>https://www.google.com/maps/search/?api=1&amp;query=33.206880,-117.392720</t>
        </is>
      </c>
      <c r="L668" t="inlineStr"/>
      <c r="M668" t="inlineStr"/>
      <c r="N668" t="inlineStr"/>
      <c r="O668" t="inlineStr"/>
      <c r="P668" t="inlineStr">
        <is>
          <t>pending</t>
        </is>
      </c>
      <c r="Q668" t="inlineStr"/>
      <c r="R668" t="inlineStr"/>
      <c r="S668" t="inlineStr"/>
      <c r="T668" t="inlineStr">
        <is>
          <t>Mapillary: 1 posted 25 mph sign(s) detected</t>
        </is>
      </c>
      <c r="U668" t="inlineStr">
        <is>
          <t>https://www.mapillary.com/app/?lat=33.207222&amp;lng=-117.392970&amp;z=19&amp;focus=map&amp;mapFeatureId=166652468600287</t>
        </is>
      </c>
      <c r="V668">
        <f>IF(OR(L668="",S668=""),"",IF(VALUE(L668)=VALUE(S668),"Y","N"))</f>
        <v/>
      </c>
      <c r="W668">
        <f>IF(V668="Y",S668,"")</f>
        <v/>
      </c>
      <c r="X668" t="inlineStr">
        <is>
          <t>unverified: map has 25 mph (one Mapillary sign); is it 25 (carts OK) or 30+?</t>
        </is>
      </c>
      <c r="Y668" t="n">
        <v>1</v>
      </c>
      <c r="Z668" t="n">
        <v>1381</v>
      </c>
      <c r="AA668" t="inlineStr">
        <is>
          <t>sd</t>
        </is>
      </c>
      <c r="AB668" t="inlineStr">
        <is>
          <t>sd|33.20688,-117.39272</t>
        </is>
      </c>
    </row>
    <row r="669">
      <c r="A669" t="inlineStr">
        <is>
          <t>SD-B2-668</t>
        </is>
      </c>
      <c r="B669" t="inlineStr">
        <is>
          <t>San Diego area</t>
        </is>
      </c>
      <c r="C669" t="inlineStr">
        <is>
          <t>Balboa Avenue</t>
        </is>
      </c>
      <c r="D669" t="inlineStr">
        <is>
          <t>Mount Rias Place</t>
        </is>
      </c>
      <c r="E669" t="inlineStr">
        <is>
          <t>Cannington Drive</t>
        </is>
      </c>
      <c r="F669" t="inlineStr"/>
      <c r="G669" t="n">
        <v>45</v>
      </c>
      <c r="H669" t="inlineStr">
        <is>
          <t>tag</t>
        </is>
      </c>
      <c r="I669" t="inlineStr">
        <is>
          <t>no</t>
        </is>
      </c>
      <c r="J669" t="inlineStr">
        <is>
          <t>https://www.google.com/maps/@?api=1&amp;map_action=pano&amp;viewpoint=32.820235,-117.170440&amp;heading=89</t>
        </is>
      </c>
      <c r="K669" t="inlineStr">
        <is>
          <t>https://www.google.com/maps/search/?api=1&amp;query=32.820235,-117.170440</t>
        </is>
      </c>
      <c r="L669" t="inlineStr"/>
      <c r="M669" t="inlineStr"/>
      <c r="N669" t="inlineStr"/>
      <c r="O669" t="inlineStr"/>
      <c r="P669" t="inlineStr">
        <is>
          <t>pending</t>
        </is>
      </c>
      <c r="Q669" t="inlineStr"/>
      <c r="R669" t="inlineStr"/>
      <c r="S669" t="inlineStr"/>
      <c r="T669" t="inlineStr"/>
      <c r="U669" t="inlineStr"/>
      <c r="V669">
        <f>IF(OR(L669="",S669=""),"",IF(VALUE(L669)=VALUE(S669),"Y","N"))</f>
        <v/>
      </c>
      <c r="W669">
        <f>IF(V669="Y",S669,"")</f>
        <v/>
      </c>
      <c r="X669" t="inlineStr">
        <is>
          <t>unverified: map has 45 mph (OSM tag only); main road: what is posted? 35 or lower opens it to LSVs</t>
        </is>
      </c>
      <c r="Y669" t="inlineStr"/>
      <c r="Z669" t="n">
        <v>736</v>
      </c>
      <c r="AA669" t="inlineStr">
        <is>
          <t>sd</t>
        </is>
      </c>
      <c r="AB669" t="inlineStr">
        <is>
          <t>sd|32.82023,-117.17044</t>
        </is>
      </c>
    </row>
    <row r="670">
      <c r="A670" t="inlineStr">
        <is>
          <t>SD-B2-669</t>
        </is>
      </c>
      <c r="B670" t="inlineStr">
        <is>
          <t>San Diego area</t>
        </is>
      </c>
      <c r="C670" t="inlineStr">
        <is>
          <t>Via de la Valle</t>
        </is>
      </c>
      <c r="D670" t="inlineStr">
        <is>
          <t>(see map link)</t>
        </is>
      </c>
      <c r="E670" t="inlineStr">
        <is>
          <t>(see map link)</t>
        </is>
      </c>
      <c r="F670" t="inlineStr">
        <is>
          <t>360209408</t>
        </is>
      </c>
      <c r="G670" t="n">
        <v>45</v>
      </c>
      <c r="H670" t="inlineStr">
        <is>
          <t>mapillary</t>
        </is>
      </c>
      <c r="I670" t="inlineStr">
        <is>
          <t>no</t>
        </is>
      </c>
      <c r="J670" t="inlineStr">
        <is>
          <t>https://www.google.com/maps/@?api=1&amp;map_action=pano&amp;viewpoint=32.980770,-117.240920&amp;heading=94</t>
        </is>
      </c>
      <c r="K670" t="inlineStr">
        <is>
          <t>https://www.google.com/maps/search/?api=1&amp;query=32.980770,-117.240920</t>
        </is>
      </c>
      <c r="L670" t="inlineStr"/>
      <c r="M670" t="inlineStr"/>
      <c r="N670" t="inlineStr"/>
      <c r="O670" t="inlineStr"/>
      <c r="P670" t="inlineStr">
        <is>
          <t>pending</t>
        </is>
      </c>
      <c r="Q670" t="inlineStr"/>
      <c r="R670" t="inlineStr"/>
      <c r="S670" t="inlineStr"/>
      <c r="T670" t="inlineStr">
        <is>
          <t>Mapillary: 4 posted 45 mph sign(s) detected</t>
        </is>
      </c>
      <c r="U670" t="inlineStr">
        <is>
          <t>https://www.mapillary.com/app/?lat=32.980717&amp;lng=-117.240456&amp;z=19&amp;focus=map&amp;mapFeatureId=1180001925811706</t>
        </is>
      </c>
      <c r="V670">
        <f>IF(OR(L670="",S670=""),"",IF(VALUE(L670)=VALUE(S670),"Y","N"))</f>
        <v/>
      </c>
      <c r="W670">
        <f>IF(V670="Y",S670,"")</f>
        <v/>
      </c>
      <c r="X670" t="inlineStr">
        <is>
          <t>unverified: map has 45 mph (one Mapillary sign); main road: what is posted? 35 or lower opens it to LSVs</t>
        </is>
      </c>
      <c r="Y670" t="inlineStr"/>
      <c r="Z670" t="n">
        <v>920</v>
      </c>
      <c r="AA670" t="inlineStr">
        <is>
          <t>sd</t>
        </is>
      </c>
      <c r="AB670" t="inlineStr">
        <is>
          <t>sd|32.98077,-117.24092</t>
        </is>
      </c>
    </row>
    <row r="671">
      <c r="A671" t="inlineStr">
        <is>
          <t>SD-B2-670</t>
        </is>
      </c>
      <c r="B671" t="inlineStr">
        <is>
          <t>San Diego area</t>
        </is>
      </c>
      <c r="C671" t="inlineStr">
        <is>
          <t>6th Street</t>
        </is>
      </c>
      <c r="D671" t="inlineStr">
        <is>
          <t>Margarita Avenue</t>
        </is>
      </c>
      <c r="E671" t="inlineStr">
        <is>
          <t>D Avenue</t>
        </is>
      </c>
      <c r="F671" t="inlineStr">
        <is>
          <t>1346362323</t>
        </is>
      </c>
      <c r="G671" t="n">
        <v>25</v>
      </c>
      <c r="H671" t="inlineStr">
        <is>
          <t>inferred</t>
        </is>
      </c>
      <c r="I671" t="inlineStr">
        <is>
          <t>cart+LSV</t>
        </is>
      </c>
      <c r="J671" t="inlineStr">
        <is>
          <t>https://www.google.com/maps/@?api=1&amp;map_action=pano&amp;viewpoint=32.688760,-117.169720&amp;heading=117</t>
        </is>
      </c>
      <c r="K671" t="inlineStr">
        <is>
          <t>https://www.google.com/maps/search/?api=1&amp;query=32.688760,-117.169720</t>
        </is>
      </c>
      <c r="L671" t="inlineStr"/>
      <c r="M671" t="inlineStr"/>
      <c r="N671" t="inlineStr"/>
      <c r="O671" t="inlineStr"/>
      <c r="P671" t="inlineStr">
        <is>
          <t>pending</t>
        </is>
      </c>
      <c r="Q671" t="inlineStr"/>
      <c r="R671" t="inlineStr"/>
      <c r="S671" t="inlineStr"/>
      <c r="T671" t="inlineStr"/>
      <c r="U671" t="inlineStr"/>
      <c r="V671">
        <f>IF(OR(L671="",S671=""),"",IF(VALUE(L671)=VALUE(S671),"Y","N"))</f>
        <v/>
      </c>
      <c r="W671">
        <f>IF(V671="Y",S671,"")</f>
        <v/>
      </c>
      <c r="X671" t="inlineStr">
        <is>
          <t>unverified: map has 25 mph (guessed from road type); is it 25 (carts OK) or 30+?</t>
        </is>
      </c>
      <c r="Y671" t="inlineStr"/>
      <c r="Z671" t="n">
        <v>849</v>
      </c>
      <c r="AA671" t="inlineStr">
        <is>
          <t>sd</t>
        </is>
      </c>
      <c r="AB671" t="inlineStr">
        <is>
          <t>sd|32.68876,-117.16972</t>
        </is>
      </c>
    </row>
    <row r="672">
      <c r="A672" t="inlineStr">
        <is>
          <t>SD-B2-671</t>
        </is>
      </c>
      <c r="B672" t="inlineStr">
        <is>
          <t>San Diego area</t>
        </is>
      </c>
      <c r="C672" t="inlineStr">
        <is>
          <t>Gold Drive</t>
        </is>
      </c>
      <c r="D672" t="inlineStr">
        <is>
          <t>Vandegrift Boulevard</t>
        </is>
      </c>
      <c r="E672" t="inlineStr">
        <is>
          <t>Elaine Avenue</t>
        </is>
      </c>
      <c r="F672" t="inlineStr">
        <is>
          <t>6045524</t>
        </is>
      </c>
      <c r="G672" t="n">
        <v>25</v>
      </c>
      <c r="H672" t="inlineStr">
        <is>
          <t>inferred</t>
        </is>
      </c>
      <c r="I672" t="inlineStr">
        <is>
          <t>cart+LSV</t>
        </is>
      </c>
      <c r="J672" t="inlineStr">
        <is>
          <t>https://www.google.com/maps/@?api=1&amp;map_action=pano&amp;viewpoint=33.258120,-117.300280&amp;heading=40</t>
        </is>
      </c>
      <c r="K672" t="inlineStr">
        <is>
          <t>https://www.google.com/maps/search/?api=1&amp;query=33.258120,-117.300280</t>
        </is>
      </c>
      <c r="L672" t="inlineStr"/>
      <c r="M672" t="inlineStr"/>
      <c r="N672" t="inlineStr"/>
      <c r="O672" t="inlineStr"/>
      <c r="P672" t="inlineStr">
        <is>
          <t>pending</t>
        </is>
      </c>
      <c r="Q672" t="inlineStr"/>
      <c r="R672" t="inlineStr"/>
      <c r="S672" t="inlineStr"/>
      <c r="T672" t="inlineStr"/>
      <c r="U672" t="inlineStr"/>
      <c r="V672">
        <f>IF(OR(L672="",S672=""),"",IF(VALUE(L672)=VALUE(S672),"Y","N"))</f>
        <v/>
      </c>
      <c r="W672">
        <f>IF(V672="Y",S672,"")</f>
        <v/>
      </c>
      <c r="X672" t="inlineStr">
        <is>
          <t>unverified: map has 25 mph (guessed from road type); is it 25 (carts OK) or 30+?</t>
        </is>
      </c>
      <c r="Y672" t="inlineStr"/>
      <c r="Z672" t="n">
        <v>848</v>
      </c>
      <c r="AA672" t="inlineStr">
        <is>
          <t>sd</t>
        </is>
      </c>
      <c r="AB672" t="inlineStr">
        <is>
          <t>sd|33.25812,-117.30028</t>
        </is>
      </c>
    </row>
    <row r="673">
      <c r="A673" t="inlineStr">
        <is>
          <t>SD-B2-672</t>
        </is>
      </c>
      <c r="B673" t="inlineStr">
        <is>
          <t>San Diego area</t>
        </is>
      </c>
      <c r="C673" t="inlineStr">
        <is>
          <t>Cass Street</t>
        </is>
      </c>
      <c r="D673" t="inlineStr">
        <is>
          <t>Loring Street</t>
        </is>
      </c>
      <c r="E673" t="inlineStr">
        <is>
          <t>Diamond Street</t>
        </is>
      </c>
      <c r="F673" t="inlineStr">
        <is>
          <t>111565041</t>
        </is>
      </c>
      <c r="G673" t="n">
        <v>25</v>
      </c>
      <c r="H673" t="inlineStr">
        <is>
          <t>mapillary</t>
        </is>
      </c>
      <c r="I673" t="inlineStr">
        <is>
          <t>cart+LSV</t>
        </is>
      </c>
      <c r="J673" t="inlineStr">
        <is>
          <t>https://www.google.com/maps/@?api=1&amp;map_action=pano&amp;viewpoint=32.810185,-117.255755&amp;heading=346</t>
        </is>
      </c>
      <c r="K673" t="inlineStr">
        <is>
          <t>https://www.google.com/maps/search/?api=1&amp;query=32.810185,-117.255755</t>
        </is>
      </c>
      <c r="L673" t="inlineStr"/>
      <c r="M673" t="inlineStr"/>
      <c r="N673" t="inlineStr"/>
      <c r="O673" t="inlineStr"/>
      <c r="P673" t="inlineStr">
        <is>
          <t>pending</t>
        </is>
      </c>
      <c r="Q673" t="inlineStr"/>
      <c r="R673" t="inlineStr"/>
      <c r="S673" t="inlineStr"/>
      <c r="T673" t="inlineStr">
        <is>
          <t>Mapillary: 2 posted 25 mph sign(s) detected</t>
        </is>
      </c>
      <c r="U673" t="inlineStr">
        <is>
          <t>https://www.mapillary.com/app/?lat=32.812016&amp;lng=-117.256300&amp;z=19&amp;focus=map&amp;mapFeatureId=441574808976724</t>
        </is>
      </c>
      <c r="V673">
        <f>IF(OR(L673="",S673=""),"",IF(VALUE(L673)=VALUE(S673),"Y","N"))</f>
        <v/>
      </c>
      <c r="W673">
        <f>IF(V673="Y",S673,"")</f>
        <v/>
      </c>
      <c r="X673" t="inlineStr">
        <is>
          <t>unverified: map has 25 mph (one Mapillary sign); is it 25 (carts OK) or 30+?</t>
        </is>
      </c>
      <c r="Y673" t="inlineStr"/>
      <c r="Z673" t="n">
        <v>1376</v>
      </c>
      <c r="AA673" t="inlineStr">
        <is>
          <t>sd</t>
        </is>
      </c>
      <c r="AB673" t="inlineStr">
        <is>
          <t>sd|32.81019,-117.25575</t>
        </is>
      </c>
    </row>
    <row r="674">
      <c r="A674" t="inlineStr">
        <is>
          <t>SD-B2-673</t>
        </is>
      </c>
      <c r="B674" t="inlineStr">
        <is>
          <t>San Diego area</t>
        </is>
      </c>
      <c r="C674" t="inlineStr">
        <is>
          <t>West Beech Street</t>
        </is>
      </c>
      <c r="D674" t="inlineStr">
        <is>
          <t>Kettner Boulevard</t>
        </is>
      </c>
      <c r="E674" t="inlineStr">
        <is>
          <t>Pacific Highway</t>
        </is>
      </c>
      <c r="F674" t="inlineStr">
        <is>
          <t>1020192163</t>
        </is>
      </c>
      <c r="G674" t="n">
        <v>25</v>
      </c>
      <c r="H674" t="inlineStr">
        <is>
          <t>inferred</t>
        </is>
      </c>
      <c r="I674" t="inlineStr">
        <is>
          <t>cart+LSV</t>
        </is>
      </c>
      <c r="J674" t="inlineStr">
        <is>
          <t>https://www.google.com/maps/@?api=1&amp;map_action=pano&amp;viewpoint=32.720905,-117.170075&amp;heading=270</t>
        </is>
      </c>
      <c r="K674" t="inlineStr">
        <is>
          <t>https://www.google.com/maps/search/?api=1&amp;query=32.720905,-117.170075</t>
        </is>
      </c>
      <c r="L674" t="inlineStr"/>
      <c r="M674" t="inlineStr"/>
      <c r="N674" t="inlineStr"/>
      <c r="O674" t="inlineStr"/>
      <c r="P674" t="inlineStr">
        <is>
          <t>pending</t>
        </is>
      </c>
      <c r="Q674" t="inlineStr"/>
      <c r="R674" t="inlineStr"/>
      <c r="S674" t="inlineStr"/>
      <c r="T674" t="inlineStr"/>
      <c r="U674" t="inlineStr"/>
      <c r="V674">
        <f>IF(OR(L674="",S674=""),"",IF(VALUE(L674)=VALUE(S674),"Y","N"))</f>
        <v/>
      </c>
      <c r="W674">
        <f>IF(V674="Y",S674,"")</f>
        <v/>
      </c>
      <c r="X674" t="inlineStr">
        <is>
          <t>unverified: map has 25 mph (guessed from road type); is it 25 (carts OK) or 30+?</t>
        </is>
      </c>
      <c r="Y674" t="inlineStr"/>
      <c r="Z674" t="n">
        <v>844</v>
      </c>
      <c r="AA674" t="inlineStr">
        <is>
          <t>sd</t>
        </is>
      </c>
      <c r="AB674" t="inlineStr">
        <is>
          <t>sd|32.72091,-117.17007</t>
        </is>
      </c>
    </row>
    <row r="675">
      <c r="A675" t="inlineStr">
        <is>
          <t>SD-B2-674</t>
        </is>
      </c>
      <c r="B675" t="inlineStr">
        <is>
          <t>San Diego area</t>
        </is>
      </c>
      <c r="C675" t="inlineStr">
        <is>
          <t>Via de la Valle</t>
        </is>
      </c>
      <c r="D675" t="inlineStr">
        <is>
          <t>(see map link)</t>
        </is>
      </c>
      <c r="E675" t="inlineStr">
        <is>
          <t>(see map link)</t>
        </is>
      </c>
      <c r="F675" t="inlineStr">
        <is>
          <t>436261475</t>
        </is>
      </c>
      <c r="G675" t="n">
        <v>45</v>
      </c>
      <c r="H675" t="inlineStr">
        <is>
          <t>mapillary</t>
        </is>
      </c>
      <c r="I675" t="inlineStr">
        <is>
          <t>no</t>
        </is>
      </c>
      <c r="J675" t="inlineStr">
        <is>
          <t>https://www.google.com/maps/@?api=1&amp;map_action=pano&amp;viewpoint=32.984130,-117.218390&amp;heading=73</t>
        </is>
      </c>
      <c r="K675" t="inlineStr">
        <is>
          <t>https://www.google.com/maps/search/?api=1&amp;query=32.984130,-117.218390</t>
        </is>
      </c>
      <c r="L675" t="inlineStr"/>
      <c r="M675" t="inlineStr"/>
      <c r="N675" t="inlineStr"/>
      <c r="O675" t="inlineStr"/>
      <c r="P675" t="inlineStr">
        <is>
          <t>pending</t>
        </is>
      </c>
      <c r="Q675" t="inlineStr"/>
      <c r="R675" t="inlineStr"/>
      <c r="S675" t="inlineStr"/>
      <c r="T675" t="inlineStr">
        <is>
          <t>Mapillary: 2 posted 45 mph sign(s) detected</t>
        </is>
      </c>
      <c r="U675" t="inlineStr">
        <is>
          <t>https://www.mapillary.com/app/?lat=32.983524&amp;lng=-117.223200&amp;z=19&amp;focus=map&amp;mapFeatureId=280911647180681</t>
        </is>
      </c>
      <c r="V675">
        <f>IF(OR(L675="",S675=""),"",IF(VALUE(L675)=VALUE(S675),"Y","N"))</f>
        <v/>
      </c>
      <c r="W675">
        <f>IF(V675="Y",S675,"")</f>
        <v/>
      </c>
      <c r="X675" t="inlineStr">
        <is>
          <t>unverified: map has 45 mph (one Mapillary sign); main road: what is posted? 35 or lower opens it to LSVs</t>
        </is>
      </c>
      <c r="Y675" t="inlineStr"/>
      <c r="Z675" t="n">
        <v>914</v>
      </c>
      <c r="AA675" t="inlineStr">
        <is>
          <t>sd</t>
        </is>
      </c>
      <c r="AB675" t="inlineStr">
        <is>
          <t>sd|32.98413,-117.21839</t>
        </is>
      </c>
    </row>
    <row r="676">
      <c r="A676" t="inlineStr">
        <is>
          <t>SD-B2-675</t>
        </is>
      </c>
      <c r="B676" t="inlineStr">
        <is>
          <t>San Diego area</t>
        </is>
      </c>
      <c r="C676" t="inlineStr">
        <is>
          <t>Rosecrans Street</t>
        </is>
      </c>
      <c r="D676" t="inlineStr">
        <is>
          <t>(see map link)</t>
        </is>
      </c>
      <c r="E676" t="inlineStr">
        <is>
          <t>North Evergreen Street</t>
        </is>
      </c>
      <c r="F676" t="inlineStr">
        <is>
          <t>1452707374</t>
        </is>
      </c>
      <c r="G676" t="n">
        <v>40</v>
      </c>
      <c r="H676" t="inlineStr">
        <is>
          <t>tag</t>
        </is>
      </c>
      <c r="I676" t="inlineStr">
        <is>
          <t>no</t>
        </is>
      </c>
      <c r="J676" t="inlineStr">
        <is>
          <t>https://www.google.com/maps/@?api=1&amp;map_action=pano&amp;viewpoint=32.747505,-117.208505&amp;heading=54</t>
        </is>
      </c>
      <c r="K676" t="inlineStr">
        <is>
          <t>https://www.google.com/maps/search/?api=1&amp;query=32.747505,-117.208505</t>
        </is>
      </c>
      <c r="L676" t="inlineStr"/>
      <c r="M676" t="inlineStr"/>
      <c r="N676" t="inlineStr"/>
      <c r="O676" t="inlineStr"/>
      <c r="P676" t="inlineStr">
        <is>
          <t>pending</t>
        </is>
      </c>
      <c r="Q676" t="inlineStr"/>
      <c r="R676" t="inlineStr"/>
      <c r="S676" t="inlineStr"/>
      <c r="T676" t="inlineStr"/>
      <c r="U676" t="inlineStr"/>
      <c r="V676">
        <f>IF(OR(L676="",S676=""),"",IF(VALUE(L676)=VALUE(S676),"Y","N"))</f>
        <v/>
      </c>
      <c r="W676">
        <f>IF(V676="Y",S676,"")</f>
        <v/>
      </c>
      <c r="X676" t="inlineStr">
        <is>
          <t>unverified: map has 40 mph (OSM tag only); is it 35 (LSV OK) or 40+?</t>
        </is>
      </c>
      <c r="Y676" t="inlineStr"/>
      <c r="Z676" t="n">
        <v>731</v>
      </c>
      <c r="AA676" t="inlineStr">
        <is>
          <t>sd</t>
        </is>
      </c>
      <c r="AB676" t="inlineStr">
        <is>
          <t>sd|32.74751,-117.20851</t>
        </is>
      </c>
    </row>
    <row r="677">
      <c r="A677" t="inlineStr">
        <is>
          <t>SD-B2-676</t>
        </is>
      </c>
      <c r="B677" t="inlineStr">
        <is>
          <t>San Diego area</t>
        </is>
      </c>
      <c r="C677" t="inlineStr">
        <is>
          <t>Fireside Street</t>
        </is>
      </c>
      <c r="D677" t="inlineStr">
        <is>
          <t>Mission Avenue</t>
        </is>
      </c>
      <c r="E677" t="inlineStr">
        <is>
          <t>Los Arbolitos Boulevard</t>
        </is>
      </c>
      <c r="F677" t="inlineStr">
        <is>
          <t>5992542</t>
        </is>
      </c>
      <c r="G677" t="n">
        <v>25</v>
      </c>
      <c r="H677" t="inlineStr">
        <is>
          <t>inferred</t>
        </is>
      </c>
      <c r="I677" t="inlineStr">
        <is>
          <t>cart+LSV</t>
        </is>
      </c>
      <c r="J677" t="inlineStr">
        <is>
          <t>https://www.google.com/maps/@?api=1&amp;map_action=pano&amp;viewpoint=33.225080,-117.338100&amp;heading=320</t>
        </is>
      </c>
      <c r="K677" t="inlineStr">
        <is>
          <t>https://www.google.com/maps/search/?api=1&amp;query=33.225080,-117.338100</t>
        </is>
      </c>
      <c r="L677" t="inlineStr"/>
      <c r="M677" t="inlineStr"/>
      <c r="N677" t="inlineStr"/>
      <c r="O677" t="inlineStr"/>
      <c r="P677" t="inlineStr">
        <is>
          <t>pending</t>
        </is>
      </c>
      <c r="Q677" t="inlineStr"/>
      <c r="R677" t="inlineStr"/>
      <c r="S677" t="inlineStr"/>
      <c r="T677" t="inlineStr"/>
      <c r="U677" t="inlineStr"/>
      <c r="V677">
        <f>IF(OR(L677="",S677=""),"",IF(VALUE(L677)=VALUE(S677),"Y","N"))</f>
        <v/>
      </c>
      <c r="W677">
        <f>IF(V677="Y",S677,"")</f>
        <v/>
      </c>
      <c r="X677" t="inlineStr">
        <is>
          <t>unverified: map has 25 mph (guessed from road type); is it 25 (carts OK) or 30+?</t>
        </is>
      </c>
      <c r="Y677" t="inlineStr"/>
      <c r="Z677" t="n">
        <v>843</v>
      </c>
      <c r="AA677" t="inlineStr">
        <is>
          <t>sd</t>
        </is>
      </c>
      <c r="AB677" t="inlineStr">
        <is>
          <t>sd|33.22508,-117.33810</t>
        </is>
      </c>
    </row>
    <row r="678">
      <c r="A678" t="inlineStr">
        <is>
          <t>SD-B2-677</t>
        </is>
      </c>
      <c r="B678" t="inlineStr">
        <is>
          <t>San Diego area</t>
        </is>
      </c>
      <c r="C678" t="inlineStr">
        <is>
          <t>Las Flores Drive</t>
        </is>
      </c>
      <c r="D678" t="inlineStr">
        <is>
          <t>Jefferson Street</t>
        </is>
      </c>
      <c r="E678" t="inlineStr">
        <is>
          <t>Highland Drive</t>
        </is>
      </c>
      <c r="F678" t="inlineStr">
        <is>
          <t>26599435</t>
        </is>
      </c>
      <c r="G678" t="n">
        <v>25</v>
      </c>
      <c r="H678" t="inlineStr">
        <is>
          <t>inferred</t>
        </is>
      </c>
      <c r="I678" t="inlineStr">
        <is>
          <t>cart+LSV</t>
        </is>
      </c>
      <c r="J678" t="inlineStr">
        <is>
          <t>https://www.google.com/maps/@?api=1&amp;map_action=pano&amp;viewpoint=33.170680,-117.341710&amp;heading=90</t>
        </is>
      </c>
      <c r="K678" t="inlineStr">
        <is>
          <t>https://www.google.com/maps/search/?api=1&amp;query=33.170680,-117.341710</t>
        </is>
      </c>
      <c r="L678" t="inlineStr"/>
      <c r="M678" t="inlineStr"/>
      <c r="N678" t="inlineStr"/>
      <c r="O678" t="inlineStr"/>
      <c r="P678" t="inlineStr">
        <is>
          <t>pending</t>
        </is>
      </c>
      <c r="Q678" t="inlineStr"/>
      <c r="R678" t="inlineStr"/>
      <c r="S678" t="inlineStr"/>
      <c r="T678" t="inlineStr"/>
      <c r="U678" t="inlineStr"/>
      <c r="V678">
        <f>IF(OR(L678="",S678=""),"",IF(VALUE(L678)=VALUE(S678),"Y","N"))</f>
        <v/>
      </c>
      <c r="W678">
        <f>IF(V678="Y",S678,"")</f>
        <v/>
      </c>
      <c r="X678" t="inlineStr">
        <is>
          <t>unverified: map has 25 mph (guessed from road type); is it 25 (carts OK) or 30+?</t>
        </is>
      </c>
      <c r="Y678" t="inlineStr"/>
      <c r="Z678" t="n">
        <v>841</v>
      </c>
      <c r="AA678" t="inlineStr">
        <is>
          <t>sd</t>
        </is>
      </c>
      <c r="AB678" t="inlineStr">
        <is>
          <t>sd|33.17068,-117.34171</t>
        </is>
      </c>
    </row>
    <row r="679">
      <c r="A679" t="inlineStr">
        <is>
          <t>SD-B2-678</t>
        </is>
      </c>
      <c r="B679" t="inlineStr">
        <is>
          <t>San Diego area</t>
        </is>
      </c>
      <c r="C679" t="inlineStr">
        <is>
          <t>Devonshire Drive</t>
        </is>
      </c>
      <c r="D679" t="inlineStr">
        <is>
          <t>Melba Road</t>
        </is>
      </c>
      <c r="E679" t="inlineStr">
        <is>
          <t>Requeza Street</t>
        </is>
      </c>
      <c r="F679" t="inlineStr">
        <is>
          <t>835219267</t>
        </is>
      </c>
      <c r="G679" t="n">
        <v>25</v>
      </c>
      <c r="H679" t="inlineStr">
        <is>
          <t>inferred</t>
        </is>
      </c>
      <c r="I679" t="inlineStr">
        <is>
          <t>cart+LSV</t>
        </is>
      </c>
      <c r="J679" t="inlineStr">
        <is>
          <t>https://www.google.com/maps/@?api=1&amp;map_action=pano&amp;viewpoint=33.042810,-117.286000&amp;heading=147</t>
        </is>
      </c>
      <c r="K679" t="inlineStr">
        <is>
          <t>https://www.google.com/maps/search/?api=1&amp;query=33.042810,-117.286000</t>
        </is>
      </c>
      <c r="L679" t="inlineStr"/>
      <c r="M679" t="inlineStr"/>
      <c r="N679" t="inlineStr"/>
      <c r="O679" t="inlineStr"/>
      <c r="P679" t="inlineStr">
        <is>
          <t>pending</t>
        </is>
      </c>
      <c r="Q679" t="inlineStr"/>
      <c r="R679" t="inlineStr"/>
      <c r="S679" t="inlineStr"/>
      <c r="T679" t="inlineStr"/>
      <c r="U679" t="inlineStr"/>
      <c r="V679">
        <f>IF(OR(L679="",S679=""),"",IF(VALUE(L679)=VALUE(S679),"Y","N"))</f>
        <v/>
      </c>
      <c r="W679">
        <f>IF(V679="Y",S679,"")</f>
        <v/>
      </c>
      <c r="X679" t="inlineStr">
        <is>
          <t>unverified: map has 25 mph (guessed from road type); is it 25 (carts OK) or 30+?</t>
        </is>
      </c>
      <c r="Y679" t="inlineStr"/>
      <c r="Z679" t="n">
        <v>840</v>
      </c>
      <c r="AA679" t="inlineStr">
        <is>
          <t>sd</t>
        </is>
      </c>
      <c r="AB679" t="inlineStr">
        <is>
          <t>sd|33.04281,-117.28600</t>
        </is>
      </c>
    </row>
    <row r="680">
      <c r="A680" t="inlineStr">
        <is>
          <t>SD-B2-679</t>
        </is>
      </c>
      <c r="B680" t="inlineStr">
        <is>
          <t>San Diego area</t>
        </is>
      </c>
      <c r="C680" t="inlineStr">
        <is>
          <t>Catalina Boulevard</t>
        </is>
      </c>
      <c r="D680" t="inlineStr">
        <is>
          <t>(see map link)</t>
        </is>
      </c>
      <c r="E680" t="inlineStr">
        <is>
          <t>Bernice Drive</t>
        </is>
      </c>
      <c r="F680" t="inlineStr">
        <is>
          <t>1135300502</t>
        </is>
      </c>
      <c r="G680" t="n">
        <v>30</v>
      </c>
      <c r="H680" t="inlineStr">
        <is>
          <t>mapillary</t>
        </is>
      </c>
      <c r="I680" t="inlineStr">
        <is>
          <t>LSV</t>
        </is>
      </c>
      <c r="J680" t="inlineStr">
        <is>
          <t>https://www.google.com/maps/@?api=1&amp;map_action=pano&amp;viewpoint=32.731635,-117.242770&amp;heading=19</t>
        </is>
      </c>
      <c r="K680" t="inlineStr">
        <is>
          <t>https://www.google.com/maps/search/?api=1&amp;query=32.731635,-117.242770</t>
        </is>
      </c>
      <c r="L680" t="inlineStr"/>
      <c r="M680" t="inlineStr"/>
      <c r="N680" t="inlineStr"/>
      <c r="O680" t="inlineStr"/>
      <c r="P680" t="inlineStr">
        <is>
          <t>pending</t>
        </is>
      </c>
      <c r="Q680" t="inlineStr"/>
      <c r="R680" t="inlineStr"/>
      <c r="S680" t="inlineStr"/>
      <c r="T680" t="inlineStr">
        <is>
          <t>Mapillary: 7 posted 30 mph sign(s) detected</t>
        </is>
      </c>
      <c r="U680" t="inlineStr">
        <is>
          <t>https://www.mapillary.com/app/?lat=32.732136&amp;lng=-117.242700&amp;z=19&amp;focus=map&amp;mapFeatureId=3972280463099767</t>
        </is>
      </c>
      <c r="V680">
        <f>IF(OR(L680="",S680=""),"",IF(VALUE(L680)=VALUE(S680),"Y","N"))</f>
        <v/>
      </c>
      <c r="W680">
        <f>IF(V680="Y",S680,"")</f>
        <v/>
      </c>
      <c r="X680" t="inlineStr">
        <is>
          <t>unverified: map has 30 mph (one Mapillary sign); is it 25 (carts OK) or 30+?</t>
        </is>
      </c>
      <c r="Y680" t="inlineStr"/>
      <c r="Z680" t="n">
        <v>1090</v>
      </c>
      <c r="AA680" t="inlineStr">
        <is>
          <t>sd</t>
        </is>
      </c>
      <c r="AB680" t="inlineStr">
        <is>
          <t>sd|32.73163,-117.24277</t>
        </is>
      </c>
    </row>
    <row r="681">
      <c r="A681" t="inlineStr">
        <is>
          <t>SD-B2-680</t>
        </is>
      </c>
      <c r="B681" t="inlineStr">
        <is>
          <t>San Diego area</t>
        </is>
      </c>
      <c r="C681" t="inlineStr">
        <is>
          <t>Half Mile Drive</t>
        </is>
      </c>
      <c r="D681" t="inlineStr">
        <is>
          <t>High Bluff Drive</t>
        </is>
      </c>
      <c r="E681" t="inlineStr">
        <is>
          <t>Landfair Road</t>
        </is>
      </c>
      <c r="F681" t="inlineStr">
        <is>
          <t>165913151</t>
        </is>
      </c>
      <c r="G681" t="n">
        <v>25</v>
      </c>
      <c r="H681" t="inlineStr">
        <is>
          <t>inferred</t>
        </is>
      </c>
      <c r="I681" t="inlineStr">
        <is>
          <t>cart+LSV</t>
        </is>
      </c>
      <c r="J681" t="inlineStr">
        <is>
          <t>https://www.google.com/maps/@?api=1&amp;map_action=pano&amp;viewpoint=32.961660,-117.231400&amp;heading=133</t>
        </is>
      </c>
      <c r="K681" t="inlineStr">
        <is>
          <t>https://www.google.com/maps/search/?api=1&amp;query=32.961660,-117.231400</t>
        </is>
      </c>
      <c r="L681" t="inlineStr"/>
      <c r="M681" t="inlineStr"/>
      <c r="N681" t="inlineStr"/>
      <c r="O681" t="inlineStr"/>
      <c r="P681" t="inlineStr">
        <is>
          <t>pending</t>
        </is>
      </c>
      <c r="Q681" t="inlineStr"/>
      <c r="R681" t="inlineStr"/>
      <c r="S681" t="inlineStr"/>
      <c r="T681" t="inlineStr"/>
      <c r="U681" t="inlineStr"/>
      <c r="V681">
        <f>IF(OR(L681="",S681=""),"",IF(VALUE(L681)=VALUE(S681),"Y","N"))</f>
        <v/>
      </c>
      <c r="W681">
        <f>IF(V681="Y",S681,"")</f>
        <v/>
      </c>
      <c r="X681" t="inlineStr">
        <is>
          <t>unverified: map has 25 mph (guessed from road type); is it 25 (carts OK) or 30+?</t>
        </is>
      </c>
      <c r="Y681" t="inlineStr"/>
      <c r="Z681" t="n">
        <v>837</v>
      </c>
      <c r="AA681" t="inlineStr">
        <is>
          <t>sd</t>
        </is>
      </c>
      <c r="AB681" t="inlineStr">
        <is>
          <t>sd|32.96166,-117.23140</t>
        </is>
      </c>
    </row>
    <row r="682">
      <c r="A682" t="inlineStr">
        <is>
          <t>SD-B2-681</t>
        </is>
      </c>
      <c r="B682" t="inlineStr">
        <is>
          <t>San Diego area</t>
        </is>
      </c>
      <c r="C682" t="inlineStr">
        <is>
          <t>Clairemont Mesa Boulevard</t>
        </is>
      </c>
      <c r="D682" t="inlineStr">
        <is>
          <t>(see map link)</t>
        </is>
      </c>
      <c r="E682" t="inlineStr">
        <is>
          <t>Ruffner Street</t>
        </is>
      </c>
      <c r="F682" t="inlineStr">
        <is>
          <t>367044284</t>
        </is>
      </c>
      <c r="G682" t="n">
        <v>35</v>
      </c>
      <c r="H682" t="inlineStr">
        <is>
          <t>tag</t>
        </is>
      </c>
      <c r="I682" t="inlineStr">
        <is>
          <t>LSV</t>
        </is>
      </c>
      <c r="J682" t="inlineStr">
        <is>
          <t>https://www.google.com/maps/@?api=1&amp;map_action=pano&amp;viewpoint=32.832725,-117.161245&amp;heading=269</t>
        </is>
      </c>
      <c r="K682" t="inlineStr">
        <is>
          <t>https://www.google.com/maps/search/?api=1&amp;query=32.832725,-117.161245</t>
        </is>
      </c>
      <c r="L682" t="inlineStr"/>
      <c r="M682" t="inlineStr"/>
      <c r="N682" t="inlineStr"/>
      <c r="O682" t="inlineStr"/>
      <c r="P682" t="inlineStr">
        <is>
          <t>pending</t>
        </is>
      </c>
      <c r="Q682" t="inlineStr"/>
      <c r="R682" t="inlineStr"/>
      <c r="S682" t="inlineStr"/>
      <c r="T682" t="inlineStr"/>
      <c r="U682" t="inlineStr"/>
      <c r="V682">
        <f>IF(OR(L682="",S682=""),"",IF(VALUE(L682)=VALUE(S682),"Y","N"))</f>
        <v/>
      </c>
      <c r="W682">
        <f>IF(V682="Y",S682,"")</f>
        <v/>
      </c>
      <c r="X682" t="inlineStr">
        <is>
          <t>unverified: map has 35 mph (OSM tag only); is it 35 (LSV OK) or 40+?</t>
        </is>
      </c>
      <c r="Y682" t="inlineStr"/>
      <c r="Z682" t="n">
        <v>725</v>
      </c>
      <c r="AA682" t="inlineStr">
        <is>
          <t>sd</t>
        </is>
      </c>
      <c r="AB682" t="inlineStr">
        <is>
          <t>sd|32.83272,-117.16125</t>
        </is>
      </c>
    </row>
    <row r="683">
      <c r="A683" t="inlineStr">
        <is>
          <t>SD-B2-682</t>
        </is>
      </c>
      <c r="B683" t="inlineStr">
        <is>
          <t>San Diego area</t>
        </is>
      </c>
      <c r="C683" t="inlineStr">
        <is>
          <t>Nimitz Boulevard</t>
        </is>
      </c>
      <c r="D683" t="inlineStr">
        <is>
          <t>(see map link)</t>
        </is>
      </c>
      <c r="E683" t="inlineStr">
        <is>
          <t>Rosecrans Street</t>
        </is>
      </c>
      <c r="F683" t="inlineStr">
        <is>
          <t>579235590</t>
        </is>
      </c>
      <c r="G683" t="inlineStr"/>
      <c r="H683" t="inlineStr">
        <is>
          <t>inferred</t>
        </is>
      </c>
      <c r="I683" t="inlineStr">
        <is>
          <t>no</t>
        </is>
      </c>
      <c r="J683" t="inlineStr">
        <is>
          <t>https://www.google.com/maps/@?api=1&amp;map_action=pano&amp;viewpoint=32.726635,-117.222660&amp;heading=125</t>
        </is>
      </c>
      <c r="K683" t="inlineStr">
        <is>
          <t>https://www.google.com/maps/search/?api=1&amp;query=32.726635,-117.222660</t>
        </is>
      </c>
      <c r="L683" t="inlineStr"/>
      <c r="M683" t="inlineStr"/>
      <c r="N683" t="inlineStr"/>
      <c r="O683" t="inlineStr"/>
      <c r="P683" t="inlineStr">
        <is>
          <t>pending</t>
        </is>
      </c>
      <c r="Q683" t="inlineStr"/>
      <c r="R683" t="inlineStr"/>
      <c r="S683" t="inlineStr"/>
      <c r="T683" t="inlineStr"/>
      <c r="U683" t="inlineStr"/>
      <c r="V683">
        <f>IF(OR(L683="",S683=""),"",IF(VALUE(L683)=VALUE(S683),"Y","N"))</f>
        <v/>
      </c>
      <c r="W683">
        <f>IF(V683="Y",S683,"")</f>
        <v/>
      </c>
      <c r="X683" t="inlineStr">
        <is>
          <t>unverified: map has no limit (guessed from road type); main road: what is posted? 35 or lower opens it to LSVs</t>
        </is>
      </c>
      <c r="Y683" t="inlineStr"/>
      <c r="Z683" t="n">
        <v>557</v>
      </c>
      <c r="AA683" t="inlineStr">
        <is>
          <t>sd</t>
        </is>
      </c>
      <c r="AB683" t="inlineStr">
        <is>
          <t>sd|32.72664,-117.22266</t>
        </is>
      </c>
    </row>
    <row r="684">
      <c r="A684" t="inlineStr">
        <is>
          <t>SD-B2-683</t>
        </is>
      </c>
      <c r="B684" t="inlineStr">
        <is>
          <t>San Diego area</t>
        </is>
      </c>
      <c r="C684" t="inlineStr">
        <is>
          <t>Soto Street</t>
        </is>
      </c>
      <c r="D684" t="inlineStr">
        <is>
          <t>California Street</t>
        </is>
      </c>
      <c r="E684" t="inlineStr">
        <is>
          <t>Kelly Street</t>
        </is>
      </c>
      <c r="F684" t="inlineStr">
        <is>
          <t>5992054</t>
        </is>
      </c>
      <c r="G684" t="n">
        <v>25</v>
      </c>
      <c r="H684" t="inlineStr">
        <is>
          <t>inferred</t>
        </is>
      </c>
      <c r="I684" t="inlineStr">
        <is>
          <t>cart+LSV</t>
        </is>
      </c>
      <c r="J684" t="inlineStr">
        <is>
          <t>https://www.google.com/maps/@?api=1&amp;map_action=pano&amp;viewpoint=33.182320,-117.355220&amp;heading=145</t>
        </is>
      </c>
      <c r="K684" t="inlineStr">
        <is>
          <t>https://www.google.com/maps/search/?api=1&amp;query=33.182320,-117.355220</t>
        </is>
      </c>
      <c r="L684" t="inlineStr"/>
      <c r="M684" t="inlineStr"/>
      <c r="N684" t="inlineStr"/>
      <c r="O684" t="inlineStr"/>
      <c r="P684" t="inlineStr">
        <is>
          <t>pending</t>
        </is>
      </c>
      <c r="Q684" t="inlineStr"/>
      <c r="R684" t="inlineStr"/>
      <c r="S684" t="inlineStr"/>
      <c r="T684" t="inlineStr"/>
      <c r="U684" t="inlineStr"/>
      <c r="V684">
        <f>IF(OR(L684="",S684=""),"",IF(VALUE(L684)=VALUE(S684),"Y","N"))</f>
        <v/>
      </c>
      <c r="W684">
        <f>IF(V684="Y",S684,"")</f>
        <v/>
      </c>
      <c r="X684" t="inlineStr">
        <is>
          <t>unverified: map has 25 mph (guessed from road type); is it 25 (carts OK) or 30+?</t>
        </is>
      </c>
      <c r="Y684" t="inlineStr"/>
      <c r="Z684" t="n">
        <v>835</v>
      </c>
      <c r="AA684" t="inlineStr">
        <is>
          <t>sd</t>
        </is>
      </c>
      <c r="AB684" t="inlineStr">
        <is>
          <t>sd|33.18232,-117.35522</t>
        </is>
      </c>
    </row>
    <row r="685">
      <c r="A685" t="inlineStr">
        <is>
          <t>SD-B2-684</t>
        </is>
      </c>
      <c r="B685" t="inlineStr">
        <is>
          <t>San Diego area</t>
        </is>
      </c>
      <c r="C685" t="inlineStr">
        <is>
          <t>Clairemont Drive</t>
        </is>
      </c>
      <c r="D685" t="inlineStr">
        <is>
          <t>(see map link)</t>
        </is>
      </c>
      <c r="E685" t="inlineStr">
        <is>
          <t>Cole Street</t>
        </is>
      </c>
      <c r="F685" t="inlineStr"/>
      <c r="G685" t="n">
        <v>35</v>
      </c>
      <c r="H685" t="inlineStr">
        <is>
          <t>tag</t>
        </is>
      </c>
      <c r="I685" t="inlineStr">
        <is>
          <t>LSV</t>
        </is>
      </c>
      <c r="J685" t="inlineStr">
        <is>
          <t>https://www.google.com/maps/@?api=1&amp;map_action=pano&amp;viewpoint=32.829170,-117.206120&amp;heading=2</t>
        </is>
      </c>
      <c r="K685" t="inlineStr">
        <is>
          <t>https://www.google.com/maps/search/?api=1&amp;query=32.829170,-117.206120</t>
        </is>
      </c>
      <c r="L685" t="inlineStr"/>
      <c r="M685" t="inlineStr"/>
      <c r="N685" t="inlineStr"/>
      <c r="O685" t="inlineStr"/>
      <c r="P685" t="inlineStr">
        <is>
          <t>pending</t>
        </is>
      </c>
      <c r="Q685" t="inlineStr"/>
      <c r="R685" t="inlineStr"/>
      <c r="S685" t="inlineStr"/>
      <c r="T685" t="inlineStr"/>
      <c r="U685" t="inlineStr"/>
      <c r="V685">
        <f>IF(OR(L685="",S685=""),"",IF(VALUE(L685)=VALUE(S685),"Y","N"))</f>
        <v/>
      </c>
      <c r="W685">
        <f>IF(V685="Y",S685,"")</f>
        <v/>
      </c>
      <c r="X685" t="inlineStr">
        <is>
          <t>unverified: map has 35 mph (OSM tag only); is it 35 (LSV OK) or 40+?</t>
        </is>
      </c>
      <c r="Y685" t="inlineStr"/>
      <c r="Z685" t="n">
        <v>866</v>
      </c>
      <c r="AA685" t="inlineStr">
        <is>
          <t>sd</t>
        </is>
      </c>
      <c r="AB685" t="inlineStr">
        <is>
          <t>sd|32.82917,-117.20612</t>
        </is>
      </c>
    </row>
    <row r="686">
      <c r="A686" t="inlineStr">
        <is>
          <t>SD-B2-685</t>
        </is>
      </c>
      <c r="B686" t="inlineStr">
        <is>
          <t>San Diego area</t>
        </is>
      </c>
      <c r="C686" t="inlineStr">
        <is>
          <t>Pomelo Drive</t>
        </is>
      </c>
      <c r="D686" t="inlineStr">
        <is>
          <t>Hacienda Drive</t>
        </is>
      </c>
      <c r="E686" t="inlineStr">
        <is>
          <t>Pomelo Way</t>
        </is>
      </c>
      <c r="F686" t="inlineStr">
        <is>
          <t>5995216</t>
        </is>
      </c>
      <c r="G686" t="n">
        <v>25</v>
      </c>
      <c r="H686" t="inlineStr">
        <is>
          <t>inferred</t>
        </is>
      </c>
      <c r="I686" t="inlineStr">
        <is>
          <t>cart+LSV</t>
        </is>
      </c>
      <c r="J686" t="inlineStr">
        <is>
          <t>https://www.google.com/maps/@?api=1&amp;map_action=pano&amp;viewpoint=33.189150,-117.267180&amp;heading=210</t>
        </is>
      </c>
      <c r="K686" t="inlineStr">
        <is>
          <t>https://www.google.com/maps/search/?api=1&amp;query=33.189150,-117.267180</t>
        </is>
      </c>
      <c r="L686" t="inlineStr"/>
      <c r="M686" t="inlineStr"/>
      <c r="N686" t="inlineStr"/>
      <c r="O686" t="inlineStr"/>
      <c r="P686" t="inlineStr">
        <is>
          <t>pending</t>
        </is>
      </c>
      <c r="Q686" t="inlineStr"/>
      <c r="R686" t="inlineStr"/>
      <c r="S686" t="inlineStr"/>
      <c r="T686" t="inlineStr"/>
      <c r="U686" t="inlineStr"/>
      <c r="V686">
        <f>IF(OR(L686="",S686=""),"",IF(VALUE(L686)=VALUE(S686),"Y","N"))</f>
        <v/>
      </c>
      <c r="W686">
        <f>IF(V686="Y",S686,"")</f>
        <v/>
      </c>
      <c r="X686" t="inlineStr">
        <is>
          <t>unverified: map has 25 mph (guessed from road type); is it 25 (carts OK) or 30+?</t>
        </is>
      </c>
      <c r="Y686" t="inlineStr"/>
      <c r="Z686" t="n">
        <v>831</v>
      </c>
      <c r="AA686" t="inlineStr">
        <is>
          <t>sd</t>
        </is>
      </c>
      <c r="AB686" t="inlineStr">
        <is>
          <t>sd|33.18915,-117.26718</t>
        </is>
      </c>
    </row>
    <row r="687">
      <c r="A687" t="inlineStr">
        <is>
          <t>SD-B2-686</t>
        </is>
      </c>
      <c r="B687" t="inlineStr">
        <is>
          <t>San Diego area</t>
        </is>
      </c>
      <c r="C687" t="inlineStr">
        <is>
          <t>Sunset Cliffs Boulevard</t>
        </is>
      </c>
      <c r="D687" t="inlineStr">
        <is>
          <t>(see map link)</t>
        </is>
      </c>
      <c r="E687" t="inlineStr">
        <is>
          <t>Sea World Drive</t>
        </is>
      </c>
      <c r="F687" t="inlineStr">
        <is>
          <t>5991783</t>
        </is>
      </c>
      <c r="G687" t="n">
        <v>45</v>
      </c>
      <c r="H687" t="inlineStr">
        <is>
          <t>tag</t>
        </is>
      </c>
      <c r="I687" t="inlineStr">
        <is>
          <t>no</t>
        </is>
      </c>
      <c r="J687" t="inlineStr">
        <is>
          <t>https://www.google.com/maps/@?api=1&amp;map_action=pano&amp;viewpoint=32.757715,-117.234240&amp;heading=209</t>
        </is>
      </c>
      <c r="K687" t="inlineStr">
        <is>
          <t>https://www.google.com/maps/search/?api=1&amp;query=32.757715,-117.234240</t>
        </is>
      </c>
      <c r="L687" t="inlineStr"/>
      <c r="M687" t="inlineStr"/>
      <c r="N687" t="inlineStr"/>
      <c r="O687" t="inlineStr"/>
      <c r="P687" t="inlineStr">
        <is>
          <t>pending</t>
        </is>
      </c>
      <c r="Q687" t="inlineStr"/>
      <c r="R687" t="inlineStr"/>
      <c r="S687" t="inlineStr"/>
      <c r="T687" t="inlineStr"/>
      <c r="U687" t="inlineStr"/>
      <c r="V687">
        <f>IF(OR(L687="",S687=""),"",IF(VALUE(L687)=VALUE(S687),"Y","N"))</f>
        <v/>
      </c>
      <c r="W687">
        <f>IF(V687="Y",S687,"")</f>
        <v/>
      </c>
      <c r="X687" t="inlineStr">
        <is>
          <t>unverified: map has 45 mph (OSM tag only); main road: what is posted? 35 or lower opens it to LSVs</t>
        </is>
      </c>
      <c r="Y687" t="inlineStr"/>
      <c r="Z687" t="n">
        <v>718</v>
      </c>
      <c r="AA687" t="inlineStr">
        <is>
          <t>sd</t>
        </is>
      </c>
      <c r="AB687" t="inlineStr">
        <is>
          <t>sd|32.75772,-117.23424</t>
        </is>
      </c>
    </row>
    <row r="688">
      <c r="A688" t="inlineStr">
        <is>
          <t>SD-B2-687</t>
        </is>
      </c>
      <c r="B688" t="inlineStr">
        <is>
          <t>San Diego area</t>
        </is>
      </c>
      <c r="C688" t="inlineStr">
        <is>
          <t>Via Esmarca</t>
        </is>
      </c>
      <c r="D688" t="inlineStr">
        <is>
          <t>Costa Vista Way</t>
        </is>
      </c>
      <c r="E688" t="inlineStr">
        <is>
          <t>Vista Way</t>
        </is>
      </c>
      <c r="F688" t="inlineStr">
        <is>
          <t>5977380</t>
        </is>
      </c>
      <c r="G688" t="n">
        <v>25</v>
      </c>
      <c r="H688" t="inlineStr">
        <is>
          <t>inferred</t>
        </is>
      </c>
      <c r="I688" t="inlineStr">
        <is>
          <t>cart+LSV</t>
        </is>
      </c>
      <c r="J688" t="inlineStr">
        <is>
          <t>https://www.google.com/maps/@?api=1&amp;map_action=pano&amp;viewpoint=33.188250,-117.331310&amp;heading=160</t>
        </is>
      </c>
      <c r="K688" t="inlineStr">
        <is>
          <t>https://www.google.com/maps/search/?api=1&amp;query=33.188250,-117.331310</t>
        </is>
      </c>
      <c r="L688" t="inlineStr"/>
      <c r="M688" t="inlineStr"/>
      <c r="N688" t="inlineStr"/>
      <c r="O688" t="inlineStr"/>
      <c r="P688" t="inlineStr">
        <is>
          <t>pending</t>
        </is>
      </c>
      <c r="Q688" t="inlineStr"/>
      <c r="R688" t="inlineStr"/>
      <c r="S688" t="inlineStr"/>
      <c r="T688" t="inlineStr"/>
      <c r="U688" t="inlineStr"/>
      <c r="V688">
        <f>IF(OR(L688="",S688=""),"",IF(VALUE(L688)=VALUE(S688),"Y","N"))</f>
        <v/>
      </c>
      <c r="W688">
        <f>IF(V688="Y",S688,"")</f>
        <v/>
      </c>
      <c r="X688" t="inlineStr">
        <is>
          <t>unverified: map has 25 mph (guessed from road type); is it 25 (carts OK) or 30+?</t>
        </is>
      </c>
      <c r="Y688" t="inlineStr"/>
      <c r="Z688" t="n">
        <v>829</v>
      </c>
      <c r="AA688" t="inlineStr">
        <is>
          <t>sd</t>
        </is>
      </c>
      <c r="AB688" t="inlineStr">
        <is>
          <t>sd|33.18825,-117.33131</t>
        </is>
      </c>
    </row>
    <row r="689">
      <c r="A689" t="inlineStr">
        <is>
          <t>SD-B2-688</t>
        </is>
      </c>
      <c r="B689" t="inlineStr">
        <is>
          <t>San Diego area</t>
        </is>
      </c>
      <c r="C689" t="inlineStr">
        <is>
          <t>West Harbor Drive</t>
        </is>
      </c>
      <c r="D689" t="inlineStr">
        <is>
          <t>Front Street</t>
        </is>
      </c>
      <c r="E689" t="inlineStr">
        <is>
          <t>Kettner Boulevard</t>
        </is>
      </c>
      <c r="F689" t="inlineStr">
        <is>
          <t>699172159</t>
        </is>
      </c>
      <c r="G689" t="inlineStr"/>
      <c r="H689" t="inlineStr">
        <is>
          <t>inferred</t>
        </is>
      </c>
      <c r="I689" t="inlineStr">
        <is>
          <t>no</t>
        </is>
      </c>
      <c r="J689" t="inlineStr">
        <is>
          <t>https://www.google.com/maps/@?api=1&amp;map_action=pano&amp;viewpoint=32.710335,-117.167070&amp;heading=121</t>
        </is>
      </c>
      <c r="K689" t="inlineStr">
        <is>
          <t>https://www.google.com/maps/search/?api=1&amp;query=32.710335,-117.167070</t>
        </is>
      </c>
      <c r="L689" t="inlineStr"/>
      <c r="M689" t="inlineStr"/>
      <c r="N689" t="inlineStr"/>
      <c r="O689" t="inlineStr"/>
      <c r="P689" t="inlineStr">
        <is>
          <t>pending</t>
        </is>
      </c>
      <c r="Q689" t="inlineStr"/>
      <c r="R689" t="inlineStr"/>
      <c r="S689" t="inlineStr"/>
      <c r="T689" t="inlineStr"/>
      <c r="U689" t="inlineStr"/>
      <c r="V689">
        <f>IF(OR(L689="",S689=""),"",IF(VALUE(L689)=VALUE(S689),"Y","N"))</f>
        <v/>
      </c>
      <c r="W689">
        <f>IF(V689="Y",S689,"")</f>
        <v/>
      </c>
      <c r="X689" t="inlineStr">
        <is>
          <t>unverified: map has no limit (guessed from road type); main road: what is posted? 35 or lower opens it to LSVs</t>
        </is>
      </c>
      <c r="Y689" t="inlineStr"/>
      <c r="Z689" t="n">
        <v>552</v>
      </c>
      <c r="AA689" t="inlineStr">
        <is>
          <t>sd</t>
        </is>
      </c>
      <c r="AB689" t="inlineStr">
        <is>
          <t>sd|32.71034,-117.16707</t>
        </is>
      </c>
    </row>
    <row r="690">
      <c r="A690" t="inlineStr">
        <is>
          <t>SD-B2-689</t>
        </is>
      </c>
      <c r="B690" t="inlineStr">
        <is>
          <t>Oceanside</t>
        </is>
      </c>
      <c r="C690" t="inlineStr">
        <is>
          <t>South Clementine Street</t>
        </is>
      </c>
      <c r="D690" t="inlineStr">
        <is>
          <t>Michigan Avenue</t>
        </is>
      </c>
      <c r="E690" t="inlineStr">
        <is>
          <t>West Street</t>
        </is>
      </c>
      <c r="F690" t="inlineStr">
        <is>
          <t>6025978</t>
        </is>
      </c>
      <c r="G690" t="n">
        <v>25</v>
      </c>
      <c r="H690" t="inlineStr">
        <is>
          <t>inferred</t>
        </is>
      </c>
      <c r="I690" t="inlineStr">
        <is>
          <t>cart+LSV</t>
        </is>
      </c>
      <c r="J690" t="inlineStr">
        <is>
          <t>https://www.google.com/maps/@?api=1&amp;map_action=pano&amp;viewpoint=33.193140,-117.372405&amp;heading=145</t>
        </is>
      </c>
      <c r="K690" t="inlineStr">
        <is>
          <t>https://www.google.com/maps/search/?api=1&amp;query=33.193140,-117.372405</t>
        </is>
      </c>
      <c r="L690" t="inlineStr"/>
      <c r="M690" t="inlineStr"/>
      <c r="N690" t="inlineStr"/>
      <c r="O690" t="inlineStr"/>
      <c r="P690" t="inlineStr">
        <is>
          <t>pending</t>
        </is>
      </c>
      <c r="Q690" t="inlineStr"/>
      <c r="R690" t="inlineStr"/>
      <c r="S690" t="inlineStr"/>
      <c r="T690" t="inlineStr"/>
      <c r="U690" t="inlineStr"/>
      <c r="V690">
        <f>IF(OR(L690="",S690=""),"",IF(VALUE(L690)=VALUE(S690),"Y","N"))</f>
        <v/>
      </c>
      <c r="W690">
        <f>IF(V690="Y",S690,"")</f>
        <v/>
      </c>
      <c r="X690" t="inlineStr">
        <is>
          <t>unverified: map has 25 mph (guessed from road type); is it 25 (carts OK) or 30+?</t>
        </is>
      </c>
      <c r="Y690" t="n">
        <v>1</v>
      </c>
      <c r="Z690" t="n">
        <v>827</v>
      </c>
      <c r="AA690" t="inlineStr">
        <is>
          <t>sd</t>
        </is>
      </c>
      <c r="AB690" t="inlineStr">
        <is>
          <t>sd|33.19314,-117.37241</t>
        </is>
      </c>
    </row>
    <row r="691">
      <c r="A691" t="inlineStr">
        <is>
          <t>SD-B2-690</t>
        </is>
      </c>
      <c r="B691" t="inlineStr">
        <is>
          <t>San Diego area</t>
        </is>
      </c>
      <c r="C691" t="inlineStr">
        <is>
          <t>Executive Drive</t>
        </is>
      </c>
      <c r="D691" t="inlineStr">
        <is>
          <t>Regents Park Row</t>
        </is>
      </c>
      <c r="E691" t="inlineStr">
        <is>
          <t>Miramar Street</t>
        </is>
      </c>
      <c r="F691" t="inlineStr">
        <is>
          <t>1140667861</t>
        </is>
      </c>
      <c r="G691" t="n">
        <v>25</v>
      </c>
      <c r="H691" t="inlineStr">
        <is>
          <t>inferred</t>
        </is>
      </c>
      <c r="I691" t="inlineStr">
        <is>
          <t>cart+LSV</t>
        </is>
      </c>
      <c r="J691" t="inlineStr">
        <is>
          <t>https://www.google.com/maps/@?api=1&amp;map_action=pano&amp;viewpoint=32.875090,-117.211240&amp;heading=86</t>
        </is>
      </c>
      <c r="K691" t="inlineStr">
        <is>
          <t>https://www.google.com/maps/search/?api=1&amp;query=32.875090,-117.211240</t>
        </is>
      </c>
      <c r="L691" t="inlineStr"/>
      <c r="M691" t="inlineStr"/>
      <c r="N691" t="inlineStr"/>
      <c r="O691" t="inlineStr"/>
      <c r="P691" t="inlineStr">
        <is>
          <t>pending</t>
        </is>
      </c>
      <c r="Q691" t="inlineStr"/>
      <c r="R691" t="inlineStr"/>
      <c r="S691" t="inlineStr"/>
      <c r="T691" t="inlineStr"/>
      <c r="U691" t="inlineStr"/>
      <c r="V691">
        <f>IF(OR(L691="",S691=""),"",IF(VALUE(L691)=VALUE(S691),"Y","N"))</f>
        <v/>
      </c>
      <c r="W691">
        <f>IF(V691="Y",S691,"")</f>
        <v/>
      </c>
      <c r="X691" t="inlineStr">
        <is>
          <t>unverified: map has 25 mph (guessed from road type); is it 25 (carts OK) or 30+?</t>
        </is>
      </c>
      <c r="Y691" t="inlineStr"/>
      <c r="Z691" t="n">
        <v>826</v>
      </c>
      <c r="AA691" t="inlineStr">
        <is>
          <t>sd</t>
        </is>
      </c>
      <c r="AB691" t="inlineStr">
        <is>
          <t>sd|32.87509,-117.21124</t>
        </is>
      </c>
    </row>
    <row r="692">
      <c r="A692" t="inlineStr">
        <is>
          <t>SD-B2-691</t>
        </is>
      </c>
      <c r="B692" t="inlineStr">
        <is>
          <t>San Diego area</t>
        </is>
      </c>
      <c r="C692" t="inlineStr">
        <is>
          <t>Rancho Santa Fe Road</t>
        </is>
      </c>
      <c r="D692" t="inlineStr">
        <is>
          <t>Avenida la Posta</t>
        </is>
      </c>
      <c r="E692" t="inlineStr">
        <is>
          <t>Avenida la Cima</t>
        </is>
      </c>
      <c r="F692" t="inlineStr">
        <is>
          <t>32868511</t>
        </is>
      </c>
      <c r="G692" t="inlineStr"/>
      <c r="H692" t="inlineStr">
        <is>
          <t>inferred</t>
        </is>
      </c>
      <c r="I692" t="inlineStr">
        <is>
          <t>no</t>
        </is>
      </c>
      <c r="J692" t="inlineStr">
        <is>
          <t>https://www.google.com/maps/@?api=1&amp;map_action=pano&amp;viewpoint=33.062030,-117.241740&amp;heading=143</t>
        </is>
      </c>
      <c r="K692" t="inlineStr">
        <is>
          <t>https://www.google.com/maps/search/?api=1&amp;query=33.062030,-117.241740</t>
        </is>
      </c>
      <c r="L692" t="inlineStr"/>
      <c r="M692" t="inlineStr"/>
      <c r="N692" t="inlineStr"/>
      <c r="O692" t="inlineStr"/>
      <c r="P692" t="inlineStr">
        <is>
          <t>pending</t>
        </is>
      </c>
      <c r="Q692" t="inlineStr"/>
      <c r="R692" t="inlineStr"/>
      <c r="S692" t="inlineStr"/>
      <c r="T692" t="inlineStr"/>
      <c r="U692" t="inlineStr"/>
      <c r="V692">
        <f>IF(OR(L692="",S692=""),"",IF(VALUE(L692)=VALUE(S692),"Y","N"))</f>
        <v/>
      </c>
      <c r="W692">
        <f>IF(V692="Y",S692,"")</f>
        <v/>
      </c>
      <c r="X692" t="inlineStr">
        <is>
          <t>unverified: map has no limit (guessed from road type); main road: what is posted? 35 or lower opens it to LSVs</t>
        </is>
      </c>
      <c r="Y692" t="inlineStr"/>
      <c r="Z692" t="n">
        <v>660</v>
      </c>
      <c r="AA692" t="inlineStr">
        <is>
          <t>sd</t>
        </is>
      </c>
      <c r="AB692" t="inlineStr">
        <is>
          <t>sd|33.06203,-117.24174</t>
        </is>
      </c>
    </row>
    <row r="693">
      <c r="A693" t="inlineStr">
        <is>
          <t>SD-B2-692</t>
        </is>
      </c>
      <c r="B693" t="inlineStr">
        <is>
          <t>San Diego area</t>
        </is>
      </c>
      <c r="C693" t="inlineStr">
        <is>
          <t>Columbia Street</t>
        </is>
      </c>
      <c r="D693" t="inlineStr">
        <is>
          <t>West Laurel Street</t>
        </is>
      </c>
      <c r="E693" t="inlineStr">
        <is>
          <t>West Nutmeg Street</t>
        </is>
      </c>
      <c r="F693" t="inlineStr">
        <is>
          <t>6013391</t>
        </is>
      </c>
      <c r="G693" t="n">
        <v>25</v>
      </c>
      <c r="H693" t="inlineStr">
        <is>
          <t>inferred</t>
        </is>
      </c>
      <c r="I693" t="inlineStr">
        <is>
          <t>cart+LSV</t>
        </is>
      </c>
      <c r="J693" t="inlineStr">
        <is>
          <t>https://www.google.com/maps/@?api=1&amp;map_action=pano&amp;viewpoint=32.733570,-117.171560&amp;heading=340</t>
        </is>
      </c>
      <c r="K693" t="inlineStr">
        <is>
          <t>https://www.google.com/maps/search/?api=1&amp;query=32.733570,-117.171560</t>
        </is>
      </c>
      <c r="L693" t="inlineStr"/>
      <c r="M693" t="inlineStr"/>
      <c r="N693" t="inlineStr"/>
      <c r="O693" t="inlineStr"/>
      <c r="P693" t="inlineStr">
        <is>
          <t>pending</t>
        </is>
      </c>
      <c r="Q693" t="inlineStr"/>
      <c r="R693" t="inlineStr"/>
      <c r="S693" t="inlineStr"/>
      <c r="T693" t="inlineStr"/>
      <c r="U693" t="inlineStr"/>
      <c r="V693">
        <f>IF(OR(L693="",S693=""),"",IF(VALUE(L693)=VALUE(S693),"Y","N"))</f>
        <v/>
      </c>
      <c r="W693">
        <f>IF(V693="Y",S693,"")</f>
        <v/>
      </c>
      <c r="X693" t="inlineStr">
        <is>
          <t>unverified: map has 25 mph (guessed from road type); is it 25 (carts OK) or 30+?</t>
        </is>
      </c>
      <c r="Y693" t="inlineStr"/>
      <c r="Z693" t="n">
        <v>825</v>
      </c>
      <c r="AA693" t="inlineStr">
        <is>
          <t>sd</t>
        </is>
      </c>
      <c r="AB693" t="inlineStr">
        <is>
          <t>sd|32.73357,-117.17156</t>
        </is>
      </c>
    </row>
    <row r="694">
      <c r="A694" t="inlineStr">
        <is>
          <t>SD-B2-693</t>
        </is>
      </c>
      <c r="B694" t="inlineStr">
        <is>
          <t>San Diego area</t>
        </is>
      </c>
      <c r="C694" t="inlineStr">
        <is>
          <t>Friars Road</t>
        </is>
      </c>
      <c r="D694" t="inlineStr">
        <is>
          <t>River Road</t>
        </is>
      </c>
      <c r="E694" t="inlineStr">
        <is>
          <t>Via Las Cumbres</t>
        </is>
      </c>
      <c r="F694" t="inlineStr">
        <is>
          <t>158626034</t>
        </is>
      </c>
      <c r="G694" t="n">
        <v>45</v>
      </c>
      <c r="H694" t="inlineStr">
        <is>
          <t>mapillary</t>
        </is>
      </c>
      <c r="I694" t="inlineStr">
        <is>
          <t>no</t>
        </is>
      </c>
      <c r="J694" t="inlineStr">
        <is>
          <t>https://www.google.com/maps/@?api=1&amp;map_action=pano&amp;viewpoint=32.766955,-117.176650&amp;heading=70</t>
        </is>
      </c>
      <c r="K694" t="inlineStr">
        <is>
          <t>https://www.google.com/maps/search/?api=1&amp;query=32.766955,-117.176650</t>
        </is>
      </c>
      <c r="L694" t="inlineStr"/>
      <c r="M694" t="inlineStr"/>
      <c r="N694" t="inlineStr"/>
      <c r="O694" t="inlineStr"/>
      <c r="P694" t="inlineStr">
        <is>
          <t>pending</t>
        </is>
      </c>
      <c r="Q694" t="inlineStr"/>
      <c r="R694" t="inlineStr"/>
      <c r="S694" t="inlineStr"/>
      <c r="T694" t="inlineStr">
        <is>
          <t>Mapillary: 1 posted 45 mph sign(s) detected</t>
        </is>
      </c>
      <c r="U694" t="inlineStr">
        <is>
          <t>https://www.mapillary.com/app/?lat=32.766163&amp;lng=-117.178830&amp;z=19&amp;focus=map&amp;mapFeatureId=836047097260773</t>
        </is>
      </c>
      <c r="V694">
        <f>IF(OR(L694="",S694=""),"",IF(VALUE(L694)=VALUE(S694),"Y","N"))</f>
        <v/>
      </c>
      <c r="W694">
        <f>IF(V694="Y",S694,"")</f>
        <v/>
      </c>
      <c r="X694" t="inlineStr">
        <is>
          <t>unverified: map has 45 mph (one Mapillary sign); main road: what is posted? 35 or lower opens it to LSVs</t>
        </is>
      </c>
      <c r="Y694" t="inlineStr"/>
      <c r="Z694" t="n">
        <v>891</v>
      </c>
      <c r="AA694" t="inlineStr">
        <is>
          <t>sd</t>
        </is>
      </c>
      <c r="AB694" t="inlineStr">
        <is>
          <t>sd|32.76695,-117.17665</t>
        </is>
      </c>
    </row>
    <row r="695">
      <c r="A695" t="inlineStr">
        <is>
          <t>SD-B2-694</t>
        </is>
      </c>
      <c r="B695" t="inlineStr">
        <is>
          <t>San Diego area</t>
        </is>
      </c>
      <c r="C695" t="inlineStr">
        <is>
          <t>East F Street</t>
        </is>
      </c>
      <c r="D695" t="inlineStr">
        <is>
          <t>10th Avenue</t>
        </is>
      </c>
      <c r="E695" t="inlineStr">
        <is>
          <t>13th Street</t>
        </is>
      </c>
      <c r="F695" t="inlineStr"/>
      <c r="G695" t="n">
        <v>25</v>
      </c>
      <c r="H695" t="inlineStr">
        <is>
          <t>tag</t>
        </is>
      </c>
      <c r="I695" t="inlineStr">
        <is>
          <t>cart+LSV</t>
        </is>
      </c>
      <c r="J695" t="inlineStr">
        <is>
          <t>https://www.google.com/maps/@?api=1&amp;map_action=pano&amp;viewpoint=32.713655,-117.153350&amp;heading=269</t>
        </is>
      </c>
      <c r="K695" t="inlineStr">
        <is>
          <t>https://www.google.com/maps/search/?api=1&amp;query=32.713655,-117.153350</t>
        </is>
      </c>
      <c r="L695" t="inlineStr"/>
      <c r="M695" t="inlineStr"/>
      <c r="N695" t="inlineStr"/>
      <c r="O695" t="inlineStr"/>
      <c r="P695" t="inlineStr">
        <is>
          <t>pending</t>
        </is>
      </c>
      <c r="Q695" t="inlineStr"/>
      <c r="R695" t="inlineStr"/>
      <c r="S695" t="inlineStr"/>
      <c r="T695" t="inlineStr"/>
      <c r="U695" t="inlineStr"/>
      <c r="V695">
        <f>IF(OR(L695="",S695=""),"",IF(VALUE(L695)=VALUE(S695),"Y","N"))</f>
        <v/>
      </c>
      <c r="W695">
        <f>IF(V695="Y",S695,"")</f>
        <v/>
      </c>
      <c r="X695" t="inlineStr">
        <is>
          <t>unverified: map has 25 mph (OSM tag only); is it 25 (carts OK) or 30+?</t>
        </is>
      </c>
      <c r="Y695" t="inlineStr"/>
      <c r="Z695" t="n">
        <v>854</v>
      </c>
      <c r="AA695" t="inlineStr">
        <is>
          <t>sd</t>
        </is>
      </c>
      <c r="AB695" t="inlineStr">
        <is>
          <t>sd|32.71366,-117.15335</t>
        </is>
      </c>
    </row>
    <row r="696">
      <c r="A696" t="inlineStr">
        <is>
          <t>SD-B2-695</t>
        </is>
      </c>
      <c r="B696" t="inlineStr">
        <is>
          <t>San Diego area</t>
        </is>
      </c>
      <c r="C696" t="inlineStr">
        <is>
          <t>Texas Street</t>
        </is>
      </c>
      <c r="D696" t="inlineStr">
        <is>
          <t>(see map link)</t>
        </is>
      </c>
      <c r="E696" t="inlineStr">
        <is>
          <t>Madison Avenue</t>
        </is>
      </c>
      <c r="F696" t="inlineStr">
        <is>
          <t>296811727</t>
        </is>
      </c>
      <c r="G696" t="n">
        <v>35</v>
      </c>
      <c r="H696" t="inlineStr">
        <is>
          <t>tag</t>
        </is>
      </c>
      <c r="I696" t="inlineStr">
        <is>
          <t>LSV</t>
        </is>
      </c>
      <c r="J696" t="inlineStr">
        <is>
          <t>https://www.google.com/maps/@?api=1&amp;map_action=pano&amp;viewpoint=32.764010,-117.139170&amp;heading=349</t>
        </is>
      </c>
      <c r="K696" t="inlineStr">
        <is>
          <t>https://www.google.com/maps/search/?api=1&amp;query=32.764010,-117.139170</t>
        </is>
      </c>
      <c r="L696" t="inlineStr"/>
      <c r="M696" t="inlineStr"/>
      <c r="N696" t="inlineStr"/>
      <c r="O696" t="inlineStr"/>
      <c r="P696" t="inlineStr">
        <is>
          <t>pending</t>
        </is>
      </c>
      <c r="Q696" t="inlineStr"/>
      <c r="R696" t="inlineStr"/>
      <c r="S696" t="inlineStr"/>
      <c r="T696" t="inlineStr"/>
      <c r="U696" t="inlineStr"/>
      <c r="V696">
        <f>IF(OR(L696="",S696=""),"",IF(VALUE(L696)=VALUE(S696),"Y","N"))</f>
        <v/>
      </c>
      <c r="W696">
        <f>IF(V696="Y",S696,"")</f>
        <v/>
      </c>
      <c r="X696" t="inlineStr">
        <is>
          <t>unverified: map has 35 mph (OSM tag only); is it 35 (LSV OK) or 40+?</t>
        </is>
      </c>
      <c r="Y696" t="inlineStr"/>
      <c r="Z696" t="n">
        <v>711</v>
      </c>
      <c r="AA696" t="inlineStr">
        <is>
          <t>sd</t>
        </is>
      </c>
      <c r="AB696" t="inlineStr">
        <is>
          <t>sd|32.76401,-117.13917</t>
        </is>
      </c>
    </row>
    <row r="697">
      <c r="A697" t="inlineStr">
        <is>
          <t>SD-B2-696</t>
        </is>
      </c>
      <c r="B697" t="inlineStr">
        <is>
          <t>San Diego area</t>
        </is>
      </c>
      <c r="C697" t="inlineStr">
        <is>
          <t>Harbor Island Drive</t>
        </is>
      </c>
      <c r="D697" t="inlineStr">
        <is>
          <t>(see map link)</t>
        </is>
      </c>
      <c r="E697" t="inlineStr">
        <is>
          <t>Marina Cortez</t>
        </is>
      </c>
      <c r="F697" t="inlineStr">
        <is>
          <t>25517955</t>
        </is>
      </c>
      <c r="G697" t="n">
        <v>35</v>
      </c>
      <c r="H697" t="inlineStr">
        <is>
          <t>mapillary</t>
        </is>
      </c>
      <c r="I697" t="inlineStr">
        <is>
          <t>LSV</t>
        </is>
      </c>
      <c r="J697" t="inlineStr">
        <is>
          <t>https://www.google.com/maps/@?api=1&amp;map_action=pano&amp;viewpoint=32.725170,-117.205160&amp;heading=279</t>
        </is>
      </c>
      <c r="K697" t="inlineStr">
        <is>
          <t>https://www.google.com/maps/search/?api=1&amp;query=32.725170,-117.205160</t>
        </is>
      </c>
      <c r="L697" t="inlineStr"/>
      <c r="M697" t="inlineStr"/>
      <c r="N697" t="inlineStr"/>
      <c r="O697" t="inlineStr"/>
      <c r="P697" t="inlineStr">
        <is>
          <t>pending</t>
        </is>
      </c>
      <c r="Q697" t="inlineStr"/>
      <c r="R697" t="inlineStr"/>
      <c r="S697" t="inlineStr"/>
      <c r="T697" t="inlineStr">
        <is>
          <t>Mapillary: 5 posted 35 mph sign(s) detected</t>
        </is>
      </c>
      <c r="U697" t="inlineStr">
        <is>
          <t>https://www.mapillary.com/app/?lat=32.725300&amp;lng=-117.203380&amp;z=19&amp;focus=map&amp;mapFeatureId=200130971955437</t>
        </is>
      </c>
      <c r="V697">
        <f>IF(OR(L697="",S697=""),"",IF(VALUE(L697)=VALUE(S697),"Y","N"))</f>
        <v/>
      </c>
      <c r="W697">
        <f>IF(V697="Y",S697,"")</f>
        <v/>
      </c>
      <c r="X697" t="inlineStr">
        <is>
          <t>unverified: map has 35 mph (one Mapillary sign); is it 35 (LSV OK) or 40+?</t>
        </is>
      </c>
      <c r="Y697" t="inlineStr"/>
      <c r="Z697" t="n">
        <v>1331</v>
      </c>
      <c r="AA697" t="inlineStr">
        <is>
          <t>sd</t>
        </is>
      </c>
      <c r="AB697" t="inlineStr">
        <is>
          <t>sd|32.72517,-117.20516</t>
        </is>
      </c>
    </row>
    <row r="698">
      <c r="A698" t="inlineStr">
        <is>
          <t>SD-B2-697</t>
        </is>
      </c>
      <c r="B698" t="inlineStr">
        <is>
          <t>San Diego area</t>
        </is>
      </c>
      <c r="C698" t="inlineStr">
        <is>
          <t>Genesee Avenue</t>
        </is>
      </c>
      <c r="D698" t="inlineStr">
        <is>
          <t>Science Center Drive</t>
        </is>
      </c>
      <c r="E698" t="inlineStr">
        <is>
          <t>North Torrey Pines Road</t>
        </is>
      </c>
      <c r="F698" t="inlineStr">
        <is>
          <t>159225738</t>
        </is>
      </c>
      <c r="G698" t="n">
        <v>45</v>
      </c>
      <c r="H698" t="inlineStr">
        <is>
          <t>tag</t>
        </is>
      </c>
      <c r="I698" t="inlineStr">
        <is>
          <t>no</t>
        </is>
      </c>
      <c r="J698" t="inlineStr">
        <is>
          <t>https://www.google.com/maps/@?api=1&amp;map_action=pano&amp;viewpoint=32.889950,-117.234910&amp;heading=109</t>
        </is>
      </c>
      <c r="K698" t="inlineStr">
        <is>
          <t>https://www.google.com/maps/search/?api=1&amp;query=32.889950,-117.234910</t>
        </is>
      </c>
      <c r="L698" t="inlineStr"/>
      <c r="M698" t="inlineStr"/>
      <c r="N698" t="inlineStr"/>
      <c r="O698" t="inlineStr"/>
      <c r="P698" t="inlineStr">
        <is>
          <t>pending</t>
        </is>
      </c>
      <c r="Q698" t="inlineStr"/>
      <c r="R698" t="inlineStr"/>
      <c r="S698" t="inlineStr"/>
      <c r="T698" t="inlineStr"/>
      <c r="U698" t="inlineStr"/>
      <c r="V698">
        <f>IF(OR(L698="",S698=""),"",IF(VALUE(L698)=VALUE(S698),"Y","N"))</f>
        <v/>
      </c>
      <c r="W698">
        <f>IF(V698="Y",S698,"")</f>
        <v/>
      </c>
      <c r="X698" t="inlineStr">
        <is>
          <t>unverified: map has 45 mph (OSM tag only); main road: what is posted? 35 or lower opens it to LSVs</t>
        </is>
      </c>
      <c r="Y698" t="inlineStr"/>
      <c r="Z698" t="n">
        <v>707</v>
      </c>
      <c r="AA698" t="inlineStr">
        <is>
          <t>sd</t>
        </is>
      </c>
      <c r="AB698" t="inlineStr">
        <is>
          <t>sd|32.88995,-117.23491</t>
        </is>
      </c>
    </row>
    <row r="699">
      <c r="A699" t="inlineStr">
        <is>
          <t>SD-B2-698</t>
        </is>
      </c>
      <c r="B699" t="inlineStr">
        <is>
          <t>San Diego area</t>
        </is>
      </c>
      <c r="C699" t="inlineStr">
        <is>
          <t>Imperial Avenue</t>
        </is>
      </c>
      <c r="D699" t="inlineStr">
        <is>
          <t>(see map link)</t>
        </is>
      </c>
      <c r="E699" t="inlineStr">
        <is>
          <t>South 36th Street</t>
        </is>
      </c>
      <c r="F699" t="inlineStr">
        <is>
          <t>26427167</t>
        </is>
      </c>
      <c r="G699" t="n">
        <v>30</v>
      </c>
      <c r="H699" t="inlineStr">
        <is>
          <t>mapillary</t>
        </is>
      </c>
      <c r="I699" t="inlineStr">
        <is>
          <t>LSV</t>
        </is>
      </c>
      <c r="J699" t="inlineStr">
        <is>
          <t>https://www.google.com/maps/@?api=1&amp;map_action=pano&amp;viewpoint=32.704840,-117.113625&amp;heading=89</t>
        </is>
      </c>
      <c r="K699" t="inlineStr">
        <is>
          <t>https://www.google.com/maps/search/?api=1&amp;query=32.704840,-117.113625</t>
        </is>
      </c>
      <c r="L699" t="inlineStr"/>
      <c r="M699" t="inlineStr"/>
      <c r="N699" t="inlineStr"/>
      <c r="O699" t="inlineStr"/>
      <c r="P699" t="inlineStr">
        <is>
          <t>pending</t>
        </is>
      </c>
      <c r="Q699" t="inlineStr"/>
      <c r="R699" t="inlineStr"/>
      <c r="S699" t="inlineStr"/>
      <c r="T699" t="inlineStr">
        <is>
          <t>Mapillary: 2 posted 30 mph sign(s) detected</t>
        </is>
      </c>
      <c r="U699" t="inlineStr">
        <is>
          <t>https://www.mapillary.com/app/?lat=32.704780&amp;lng=-117.109470&amp;z=19&amp;focus=map&amp;mapFeatureId=1598099347507141</t>
        </is>
      </c>
      <c r="V699">
        <f>IF(OR(L699="",S699=""),"",IF(VALUE(L699)=VALUE(S699),"Y","N"))</f>
        <v/>
      </c>
      <c r="W699">
        <f>IF(V699="Y",S699,"")</f>
        <v/>
      </c>
      <c r="X699" t="inlineStr">
        <is>
          <t>unverified: map has 30 mph (one Mapillary sign); is it 25 (carts OK) or 30+?</t>
        </is>
      </c>
      <c r="Y699" t="inlineStr"/>
      <c r="Z699" t="n">
        <v>881</v>
      </c>
      <c r="AA699" t="inlineStr">
        <is>
          <t>sd</t>
        </is>
      </c>
      <c r="AB699" t="inlineStr">
        <is>
          <t>sd|32.70484,-117.11362</t>
        </is>
      </c>
    </row>
    <row r="700">
      <c r="A700" t="inlineStr">
        <is>
          <t>SD-B2-699</t>
        </is>
      </c>
      <c r="B700" t="inlineStr">
        <is>
          <t>San Diego area</t>
        </is>
      </c>
      <c r="C700" t="inlineStr">
        <is>
          <t>Cabrillo Avenue</t>
        </is>
      </c>
      <c r="D700" t="inlineStr">
        <is>
          <t>8th Street</t>
        </is>
      </c>
      <c r="E700" t="inlineStr">
        <is>
          <t>Acacia Way</t>
        </is>
      </c>
      <c r="F700" t="inlineStr"/>
      <c r="G700" t="n">
        <v>25</v>
      </c>
      <c r="H700" t="inlineStr">
        <is>
          <t>inferred</t>
        </is>
      </c>
      <c r="I700" t="inlineStr">
        <is>
          <t>cart+LSV</t>
        </is>
      </c>
      <c r="J700" t="inlineStr">
        <is>
          <t>https://www.google.com/maps/@?api=1&amp;map_action=pano&amp;viewpoint=32.694735,-117.188170&amp;heading=206</t>
        </is>
      </c>
      <c r="K700" t="inlineStr">
        <is>
          <t>https://www.google.com/maps/search/?api=1&amp;query=32.694735,-117.188170</t>
        </is>
      </c>
      <c r="L700" t="inlineStr"/>
      <c r="M700" t="inlineStr"/>
      <c r="N700" t="inlineStr"/>
      <c r="O700" t="inlineStr"/>
      <c r="P700" t="inlineStr">
        <is>
          <t>pending</t>
        </is>
      </c>
      <c r="Q700" t="inlineStr"/>
      <c r="R700" t="inlineStr"/>
      <c r="S700" t="inlineStr"/>
      <c r="T700" t="inlineStr"/>
      <c r="U700" t="inlineStr"/>
      <c r="V700">
        <f>IF(OR(L700="",S700=""),"",IF(VALUE(L700)=VALUE(S700),"Y","N"))</f>
        <v/>
      </c>
      <c r="W700">
        <f>IF(V700="Y",S700,"")</f>
        <v/>
      </c>
      <c r="X700" t="inlineStr">
        <is>
          <t>unverified: map has 25 mph (guessed from road type); is it 25 (carts OK) or 30+?</t>
        </is>
      </c>
      <c r="Y700" t="inlineStr"/>
      <c r="Z700" t="n">
        <v>813</v>
      </c>
      <c r="AA700" t="inlineStr">
        <is>
          <t>sd</t>
        </is>
      </c>
      <c r="AB700" t="inlineStr">
        <is>
          <t>sd|32.69474,-117.18817</t>
        </is>
      </c>
    </row>
    <row r="701">
      <c r="A701" t="inlineStr">
        <is>
          <t>SD-B2-700</t>
        </is>
      </c>
      <c r="B701" t="inlineStr">
        <is>
          <t>San Diego area</t>
        </is>
      </c>
      <c r="C701" t="inlineStr">
        <is>
          <t>Andrew Avenue</t>
        </is>
      </c>
      <c r="D701" t="inlineStr">
        <is>
          <t>Leucadia Scenic Court</t>
        </is>
      </c>
      <c r="E701" t="inlineStr">
        <is>
          <t>North Vulcan Avenue</t>
        </is>
      </c>
      <c r="F701" t="inlineStr">
        <is>
          <t>5978482</t>
        </is>
      </c>
      <c r="G701" t="n">
        <v>25</v>
      </c>
      <c r="H701" t="inlineStr">
        <is>
          <t>inferred</t>
        </is>
      </c>
      <c r="I701" t="inlineStr">
        <is>
          <t>cart+LSV</t>
        </is>
      </c>
      <c r="J701" t="inlineStr">
        <is>
          <t>https://www.google.com/maps/@?api=1&amp;map_action=pano&amp;viewpoint=33.081970,-117.302265&amp;heading=97</t>
        </is>
      </c>
      <c r="K701" t="inlineStr">
        <is>
          <t>https://www.google.com/maps/search/?api=1&amp;query=33.081970,-117.302265</t>
        </is>
      </c>
      <c r="L701" t="inlineStr"/>
      <c r="M701" t="inlineStr"/>
      <c r="N701" t="inlineStr"/>
      <c r="O701" t="inlineStr"/>
      <c r="P701" t="inlineStr">
        <is>
          <t>pending</t>
        </is>
      </c>
      <c r="Q701" t="inlineStr"/>
      <c r="R701" t="inlineStr"/>
      <c r="S701" t="inlineStr"/>
      <c r="T701" t="inlineStr"/>
      <c r="U701" t="inlineStr"/>
      <c r="V701">
        <f>IF(OR(L701="",S701=""),"",IF(VALUE(L701)=VALUE(S701),"Y","N"))</f>
        <v/>
      </c>
      <c r="W701">
        <f>IF(V701="Y",S701,"")</f>
        <v/>
      </c>
      <c r="X701" t="inlineStr">
        <is>
          <t>unverified: map has 25 mph (guessed from road type); is it 25 (carts OK) or 30+?</t>
        </is>
      </c>
      <c r="Y701" t="inlineStr"/>
      <c r="Z701" t="n">
        <v>811</v>
      </c>
      <c r="AA701" t="inlineStr">
        <is>
          <t>sd</t>
        </is>
      </c>
      <c r="AB701" t="inlineStr">
        <is>
          <t>sd|33.08197,-117.30227</t>
        </is>
      </c>
    </row>
    <row r="702">
      <c r="A702" t="inlineStr">
        <is>
          <t>SD-B2-701</t>
        </is>
      </c>
      <c r="B702" t="inlineStr">
        <is>
          <t>San Diego area</t>
        </is>
      </c>
      <c r="C702" t="inlineStr">
        <is>
          <t>Redwood Street</t>
        </is>
      </c>
      <c r="D702" t="inlineStr">
        <is>
          <t>(see map link)</t>
        </is>
      </c>
      <c r="E702" t="inlineStr">
        <is>
          <t>Boundary Street</t>
        </is>
      </c>
      <c r="F702" t="inlineStr">
        <is>
          <t>1008299289</t>
        </is>
      </c>
      <c r="G702" t="n">
        <v>25</v>
      </c>
      <c r="H702" t="inlineStr">
        <is>
          <t>mapillary</t>
        </is>
      </c>
      <c r="I702" t="inlineStr">
        <is>
          <t>cart+LSV</t>
        </is>
      </c>
      <c r="J702" t="inlineStr">
        <is>
          <t>https://www.google.com/maps/@?api=1&amp;map_action=pano&amp;viewpoint=32.737450,-117.127715&amp;heading=90</t>
        </is>
      </c>
      <c r="K702" t="inlineStr">
        <is>
          <t>https://www.google.com/maps/search/?api=1&amp;query=32.737450,-117.127715</t>
        </is>
      </c>
      <c r="L702" t="inlineStr"/>
      <c r="M702" t="inlineStr"/>
      <c r="N702" t="inlineStr"/>
      <c r="O702" t="inlineStr"/>
      <c r="P702" t="inlineStr">
        <is>
          <t>pending</t>
        </is>
      </c>
      <c r="Q702" t="inlineStr"/>
      <c r="R702" t="inlineStr"/>
      <c r="S702" t="inlineStr"/>
      <c r="T702" t="inlineStr">
        <is>
          <t>Mapillary: 4 posted 25 mph sign(s) detected</t>
        </is>
      </c>
      <c r="U702" t="inlineStr">
        <is>
          <t>https://www.mapillary.com/app/?lat=32.737373&amp;lng=-117.128090&amp;z=19&amp;focus=map&amp;mapFeatureId=536196075494393</t>
        </is>
      </c>
      <c r="V702">
        <f>IF(OR(L702="",S702=""),"",IF(VALUE(L702)=VALUE(S702),"Y","N"))</f>
        <v/>
      </c>
      <c r="W702">
        <f>IF(V702="Y",S702,"")</f>
        <v/>
      </c>
      <c r="X702" t="inlineStr">
        <is>
          <t>unverified: map has 25 mph (one Mapillary sign); is it 25 (carts OK) or 30+?</t>
        </is>
      </c>
      <c r="Y702" t="inlineStr"/>
      <c r="Z702" t="n">
        <v>1317</v>
      </c>
      <c r="AA702" t="inlineStr">
        <is>
          <t>sd</t>
        </is>
      </c>
      <c r="AB702" t="inlineStr">
        <is>
          <t>sd|32.73745,-117.12771</t>
        </is>
      </c>
    </row>
    <row r="703">
      <c r="A703" t="inlineStr">
        <is>
          <t>SD-B2-702</t>
        </is>
      </c>
      <c r="B703" t="inlineStr">
        <is>
          <t>San Diego area</t>
        </is>
      </c>
      <c r="C703" t="inlineStr">
        <is>
          <t>Costa Verde Boulevard</t>
        </is>
      </c>
      <c r="D703" t="inlineStr">
        <is>
          <t>(see map link)</t>
        </is>
      </c>
      <c r="E703" t="inlineStr">
        <is>
          <t>La Jolla Village Drive</t>
        </is>
      </c>
      <c r="F703" t="inlineStr"/>
      <c r="G703" t="n">
        <v>25</v>
      </c>
      <c r="H703" t="inlineStr">
        <is>
          <t>inferred</t>
        </is>
      </c>
      <c r="I703" t="inlineStr">
        <is>
          <t>cart+LSV</t>
        </is>
      </c>
      <c r="J703" t="inlineStr">
        <is>
          <t>https://www.google.com/maps/@?api=1&amp;map_action=pano&amp;viewpoint=32.870865,-117.216150&amp;heading=191</t>
        </is>
      </c>
      <c r="K703" t="inlineStr">
        <is>
          <t>https://www.google.com/maps/search/?api=1&amp;query=32.870865,-117.216150</t>
        </is>
      </c>
      <c r="L703" t="inlineStr"/>
      <c r="M703" t="inlineStr"/>
      <c r="N703" t="inlineStr"/>
      <c r="O703" t="inlineStr"/>
      <c r="P703" t="inlineStr">
        <is>
          <t>pending</t>
        </is>
      </c>
      <c r="Q703" t="inlineStr"/>
      <c r="R703" t="inlineStr"/>
      <c r="S703" t="inlineStr"/>
      <c r="T703" t="inlineStr"/>
      <c r="U703" t="inlineStr"/>
      <c r="V703">
        <f>IF(OR(L703="",S703=""),"",IF(VALUE(L703)=VALUE(S703),"Y","N"))</f>
        <v/>
      </c>
      <c r="W703">
        <f>IF(V703="Y",S703,"")</f>
        <v/>
      </c>
      <c r="X703" t="inlineStr">
        <is>
          <t>unverified: map has 25 mph (guessed from road type); is it 25 (carts OK) or 30+?</t>
        </is>
      </c>
      <c r="Y703" t="inlineStr"/>
      <c r="Z703" t="n">
        <v>809</v>
      </c>
      <c r="AA703" t="inlineStr">
        <is>
          <t>sd</t>
        </is>
      </c>
      <c r="AB703" t="inlineStr">
        <is>
          <t>sd|32.87087,-117.21615</t>
        </is>
      </c>
    </row>
    <row r="704">
      <c r="A704" t="inlineStr">
        <is>
          <t>SD-B2-703</t>
        </is>
      </c>
      <c r="B704" t="inlineStr">
        <is>
          <t>San Diego area</t>
        </is>
      </c>
      <c r="C704" t="inlineStr">
        <is>
          <t>University Avenue</t>
        </is>
      </c>
      <c r="D704" t="inlineStr">
        <is>
          <t>(see map link)</t>
        </is>
      </c>
      <c r="E704" t="inlineStr">
        <is>
          <t>Ray Street</t>
        </is>
      </c>
      <c r="F704" t="inlineStr"/>
      <c r="G704" t="n">
        <v>25</v>
      </c>
      <c r="H704" t="inlineStr">
        <is>
          <t>tag</t>
        </is>
      </c>
      <c r="I704" t="inlineStr">
        <is>
          <t>cart+LSV</t>
        </is>
      </c>
      <c r="J704" t="inlineStr">
        <is>
          <t>https://www.google.com/maps/@?api=1&amp;map_action=pano&amp;viewpoint=32.748450,-117.126435&amp;heading=90</t>
        </is>
      </c>
      <c r="K704" t="inlineStr">
        <is>
          <t>https://www.google.com/maps/search/?api=1&amp;query=32.748450,-117.126435</t>
        </is>
      </c>
      <c r="L704" t="inlineStr"/>
      <c r="M704" t="inlineStr"/>
      <c r="N704" t="inlineStr"/>
      <c r="O704" t="inlineStr"/>
      <c r="P704" t="inlineStr">
        <is>
          <t>pending</t>
        </is>
      </c>
      <c r="Q704" t="inlineStr"/>
      <c r="R704" t="inlineStr"/>
      <c r="S704" t="inlineStr"/>
      <c r="T704" t="inlineStr"/>
      <c r="U704" t="inlineStr"/>
      <c r="V704">
        <f>IF(OR(L704="",S704=""),"",IF(VALUE(L704)=VALUE(S704),"Y","N"))</f>
        <v/>
      </c>
      <c r="W704">
        <f>IF(V704="Y",S704,"")</f>
        <v/>
      </c>
      <c r="X704" t="inlineStr">
        <is>
          <t>unverified: map has 25 mph (OSM tag only); is it 25 (carts OK) or 30+?</t>
        </is>
      </c>
      <c r="Y704" t="inlineStr"/>
      <c r="Z704" t="n">
        <v>700</v>
      </c>
      <c r="AA704" t="inlineStr">
        <is>
          <t>sd</t>
        </is>
      </c>
      <c r="AB704" t="inlineStr">
        <is>
          <t>sd|32.74845,-117.12643</t>
        </is>
      </c>
    </row>
    <row r="705">
      <c r="A705" t="inlineStr">
        <is>
          <t>SD-B2-704</t>
        </is>
      </c>
      <c r="B705" t="inlineStr">
        <is>
          <t>San Diego area</t>
        </is>
      </c>
      <c r="C705" t="inlineStr">
        <is>
          <t>Camino Lindo</t>
        </is>
      </c>
      <c r="D705" t="inlineStr">
        <is>
          <t>Corte Domingo</t>
        </is>
      </c>
      <c r="E705" t="inlineStr">
        <is>
          <t>Calle Acervo</t>
        </is>
      </c>
      <c r="F705" t="inlineStr">
        <is>
          <t>5967677</t>
        </is>
      </c>
      <c r="G705" t="n">
        <v>25</v>
      </c>
      <c r="H705" t="inlineStr">
        <is>
          <t>inferred</t>
        </is>
      </c>
      <c r="I705" t="inlineStr">
        <is>
          <t>cart+LSV</t>
        </is>
      </c>
      <c r="J705" t="inlineStr">
        <is>
          <t>https://www.google.com/maps/@?api=1&amp;map_action=pano&amp;viewpoint=33.068930,-117.231880&amp;heading=263</t>
        </is>
      </c>
      <c r="K705" t="inlineStr">
        <is>
          <t>https://www.google.com/maps/search/?api=1&amp;query=33.068930,-117.231880</t>
        </is>
      </c>
      <c r="L705" t="inlineStr"/>
      <c r="M705" t="inlineStr"/>
      <c r="N705" t="inlineStr"/>
      <c r="O705" t="inlineStr"/>
      <c r="P705" t="inlineStr">
        <is>
          <t>pending</t>
        </is>
      </c>
      <c r="Q705" t="inlineStr"/>
      <c r="R705" t="inlineStr"/>
      <c r="S705" t="inlineStr"/>
      <c r="T705" t="inlineStr"/>
      <c r="U705" t="inlineStr"/>
      <c r="V705">
        <f>IF(OR(L705="",S705=""),"",IF(VALUE(L705)=VALUE(S705),"Y","N"))</f>
        <v/>
      </c>
      <c r="W705">
        <f>IF(V705="Y",S705,"")</f>
        <v/>
      </c>
      <c r="X705" t="inlineStr">
        <is>
          <t>unverified: map has 25 mph (guessed from road type); is it 25 (carts OK) or 30+?</t>
        </is>
      </c>
      <c r="Y705" t="inlineStr"/>
      <c r="Z705" t="n">
        <v>805</v>
      </c>
      <c r="AA705" t="inlineStr">
        <is>
          <t>sd</t>
        </is>
      </c>
      <c r="AB705" t="inlineStr">
        <is>
          <t>sd|33.06893,-117.23188</t>
        </is>
      </c>
    </row>
    <row r="706">
      <c r="A706" t="inlineStr">
        <is>
          <t>SD-B2-705</t>
        </is>
      </c>
      <c r="B706" t="inlineStr">
        <is>
          <t>San Diego area</t>
        </is>
      </c>
      <c r="C706" t="inlineStr">
        <is>
          <t>El Camino Real</t>
        </is>
      </c>
      <c r="D706" t="inlineStr">
        <is>
          <t>El Nido</t>
        </is>
      </c>
      <c r="E706" t="inlineStr">
        <is>
          <t>La Orilla</t>
        </is>
      </c>
      <c r="F706" t="inlineStr">
        <is>
          <t>234736326</t>
        </is>
      </c>
      <c r="G706" t="n">
        <v>45</v>
      </c>
      <c r="H706" t="inlineStr">
        <is>
          <t>mapillary</t>
        </is>
      </c>
      <c r="I706" t="inlineStr">
        <is>
          <t>no</t>
        </is>
      </c>
      <c r="J706" t="inlineStr">
        <is>
          <t>https://www.google.com/maps/@?api=1&amp;map_action=pano&amp;viewpoint=33.007615,-117.237955&amp;heading=328</t>
        </is>
      </c>
      <c r="K706" t="inlineStr">
        <is>
          <t>https://www.google.com/maps/search/?api=1&amp;query=33.007615,-117.237955</t>
        </is>
      </c>
      <c r="L706" t="inlineStr"/>
      <c r="M706" t="inlineStr"/>
      <c r="N706" t="inlineStr"/>
      <c r="O706" t="inlineStr"/>
      <c r="P706" t="inlineStr">
        <is>
          <t>pending</t>
        </is>
      </c>
      <c r="Q706" t="inlineStr"/>
      <c r="R706" t="inlineStr"/>
      <c r="S706" t="inlineStr"/>
      <c r="T706" t="inlineStr">
        <is>
          <t>Mapillary: 2 posted 45 mph sign(s) detected</t>
        </is>
      </c>
      <c r="U706" t="inlineStr">
        <is>
          <t>https://www.mapillary.com/app/?lat=33.004612&amp;lng=-117.235600&amp;z=19&amp;focus=map&amp;mapFeatureId=570482544262117</t>
        </is>
      </c>
      <c r="V706">
        <f>IF(OR(L706="",S706=""),"",IF(VALUE(L706)=VALUE(S706),"Y","N"))</f>
        <v/>
      </c>
      <c r="W706">
        <f>IF(V706="Y",S706,"")</f>
        <v/>
      </c>
      <c r="X706" t="inlineStr">
        <is>
          <t>unverified: map has 45 mph (one Mapillary sign); main road: what is posted? 35 or lower opens it to LSVs</t>
        </is>
      </c>
      <c r="Y706" t="inlineStr"/>
      <c r="Z706" t="n">
        <v>1047</v>
      </c>
      <c r="AA706" t="inlineStr">
        <is>
          <t>sd</t>
        </is>
      </c>
      <c r="AB706" t="inlineStr">
        <is>
          <t>sd|33.00762,-117.23795</t>
        </is>
      </c>
    </row>
    <row r="707">
      <c r="A707" t="inlineStr">
        <is>
          <t>SD-B2-706</t>
        </is>
      </c>
      <c r="B707" t="inlineStr">
        <is>
          <t>San Diego area</t>
        </is>
      </c>
      <c r="C707" t="inlineStr">
        <is>
          <t>Vista Campana North</t>
        </is>
      </c>
      <c r="D707" t="inlineStr">
        <is>
          <t>Vista Bella</t>
        </is>
      </c>
      <c r="E707" t="inlineStr">
        <is>
          <t>O Street</t>
        </is>
      </c>
      <c r="F707" t="inlineStr">
        <is>
          <t>5957954</t>
        </is>
      </c>
      <c r="G707" t="n">
        <v>25</v>
      </c>
      <c r="H707" t="inlineStr">
        <is>
          <t>inferred</t>
        </is>
      </c>
      <c r="I707" t="inlineStr">
        <is>
          <t>cart+LSV</t>
        </is>
      </c>
      <c r="J707" t="inlineStr">
        <is>
          <t>https://www.google.com/maps/@?api=1&amp;map_action=pano&amp;viewpoint=33.219120,-117.324210&amp;heading=62</t>
        </is>
      </c>
      <c r="K707" t="inlineStr">
        <is>
          <t>https://www.google.com/maps/search/?api=1&amp;query=33.219120,-117.324210</t>
        </is>
      </c>
      <c r="L707" t="inlineStr"/>
      <c r="M707" t="inlineStr"/>
      <c r="N707" t="inlineStr"/>
      <c r="O707" t="inlineStr"/>
      <c r="P707" t="inlineStr">
        <is>
          <t>pending</t>
        </is>
      </c>
      <c r="Q707" t="inlineStr"/>
      <c r="R707" t="inlineStr"/>
      <c r="S707" t="inlineStr"/>
      <c r="T707" t="inlineStr"/>
      <c r="U707" t="inlineStr"/>
      <c r="V707">
        <f>IF(OR(L707="",S707=""),"",IF(VALUE(L707)=VALUE(S707),"Y","N"))</f>
        <v/>
      </c>
      <c r="W707">
        <f>IF(V707="Y",S707,"")</f>
        <v/>
      </c>
      <c r="X707" t="inlineStr">
        <is>
          <t>unverified: map has 25 mph (guessed from road type); is it 25 (carts OK) or 30+?</t>
        </is>
      </c>
      <c r="Y707" t="inlineStr"/>
      <c r="Z707" t="n">
        <v>805</v>
      </c>
      <c r="AA707" t="inlineStr">
        <is>
          <t>sd</t>
        </is>
      </c>
      <c r="AB707" t="inlineStr">
        <is>
          <t>sd|33.21912,-117.32421</t>
        </is>
      </c>
    </row>
    <row r="708">
      <c r="A708" t="inlineStr">
        <is>
          <t>SD-B2-707</t>
        </is>
      </c>
      <c r="B708" t="inlineStr">
        <is>
          <t>San Diego area</t>
        </is>
      </c>
      <c r="C708" t="inlineStr">
        <is>
          <t>Sports Arena Boulevard</t>
        </is>
      </c>
      <c r="D708" t="inlineStr">
        <is>
          <t>Midway Drive</t>
        </is>
      </c>
      <c r="E708" t="inlineStr">
        <is>
          <t>Channel Way</t>
        </is>
      </c>
      <c r="F708" t="inlineStr">
        <is>
          <t>1033760403</t>
        </is>
      </c>
      <c r="G708" t="inlineStr"/>
      <c r="H708" t="inlineStr">
        <is>
          <t>inferred</t>
        </is>
      </c>
      <c r="I708" t="inlineStr">
        <is>
          <t>no</t>
        </is>
      </c>
      <c r="J708" t="inlineStr">
        <is>
          <t>https://www.google.com/maps/@?api=1&amp;map_action=pano&amp;viewpoint=32.756805,-117.222575&amp;heading=307</t>
        </is>
      </c>
      <c r="K708" t="inlineStr">
        <is>
          <t>https://www.google.com/maps/search/?api=1&amp;query=32.756805,-117.222575</t>
        </is>
      </c>
      <c r="L708" t="inlineStr"/>
      <c r="M708" t="inlineStr"/>
      <c r="N708" t="inlineStr"/>
      <c r="O708" t="inlineStr"/>
      <c r="P708" t="inlineStr">
        <is>
          <t>pending</t>
        </is>
      </c>
      <c r="Q708" t="inlineStr"/>
      <c r="R708" t="inlineStr"/>
      <c r="S708" t="inlineStr"/>
      <c r="T708" t="inlineStr"/>
      <c r="U708" t="inlineStr"/>
      <c r="V708">
        <f>IF(OR(L708="",S708=""),"",IF(VALUE(L708)=VALUE(S708),"Y","N"))</f>
        <v/>
      </c>
      <c r="W708">
        <f>IF(V708="Y",S708,"")</f>
        <v/>
      </c>
      <c r="X708" t="inlineStr">
        <is>
          <t>unverified: map has no limit (guessed from road type); main road: what is posted? 35 or lower opens it to LSVs</t>
        </is>
      </c>
      <c r="Y708" t="inlineStr"/>
      <c r="Z708" t="n">
        <v>535</v>
      </c>
      <c r="AA708" t="inlineStr">
        <is>
          <t>sd</t>
        </is>
      </c>
      <c r="AB708" t="inlineStr">
        <is>
          <t>sd|32.75680,-117.22258</t>
        </is>
      </c>
    </row>
    <row r="709">
      <c r="A709" t="inlineStr">
        <is>
          <t>SD-B2-708</t>
        </is>
      </c>
      <c r="B709" t="inlineStr">
        <is>
          <t>San Diego area</t>
        </is>
      </c>
      <c r="C709" t="inlineStr">
        <is>
          <t>Emerald Drive</t>
        </is>
      </c>
      <c r="D709" t="inlineStr">
        <is>
          <t>Fieldgate Road</t>
        </is>
      </c>
      <c r="E709" t="inlineStr">
        <is>
          <t>Sunset Drive</t>
        </is>
      </c>
      <c r="F709" t="inlineStr">
        <is>
          <t>5956494</t>
        </is>
      </c>
      <c r="G709" t="inlineStr"/>
      <c r="H709" t="inlineStr">
        <is>
          <t>inferred</t>
        </is>
      </c>
      <c r="I709" t="inlineStr">
        <is>
          <t>no</t>
        </is>
      </c>
      <c r="J709" t="inlineStr">
        <is>
          <t>https://www.google.com/maps/@?api=1&amp;map_action=pano&amp;viewpoint=33.178480,-117.273090&amp;heading=166</t>
        </is>
      </c>
      <c r="K709" t="inlineStr">
        <is>
          <t>https://www.google.com/maps/search/?api=1&amp;query=33.178480,-117.273090</t>
        </is>
      </c>
      <c r="L709" t="inlineStr"/>
      <c r="M709" t="inlineStr"/>
      <c r="N709" t="inlineStr"/>
      <c r="O709" t="inlineStr"/>
      <c r="P709" t="inlineStr">
        <is>
          <t>pending</t>
        </is>
      </c>
      <c r="Q709" t="inlineStr"/>
      <c r="R709" t="inlineStr"/>
      <c r="S709" t="inlineStr"/>
      <c r="T709" t="inlineStr"/>
      <c r="U709" t="inlineStr"/>
      <c r="V709">
        <f>IF(OR(L709="",S709=""),"",IF(VALUE(L709)=VALUE(S709),"Y","N"))</f>
        <v/>
      </c>
      <c r="W709">
        <f>IF(V709="Y",S709,"")</f>
        <v/>
      </c>
      <c r="X709" t="inlineStr">
        <is>
          <t>unverified: map has no limit (guessed from road type); main road: what is posted? 35 or lower opens it to LSVs</t>
        </is>
      </c>
      <c r="Y709" t="inlineStr"/>
      <c r="Z709" t="n">
        <v>642</v>
      </c>
      <c r="AA709" t="inlineStr">
        <is>
          <t>sd</t>
        </is>
      </c>
      <c r="AB709" t="inlineStr">
        <is>
          <t>sd|33.17848,-117.27309</t>
        </is>
      </c>
    </row>
    <row r="710">
      <c r="A710" t="inlineStr">
        <is>
          <t>SD-B2-709</t>
        </is>
      </c>
      <c r="B710" t="inlineStr">
        <is>
          <t>San Diego area</t>
        </is>
      </c>
      <c r="C710" t="inlineStr">
        <is>
          <t>Santa Fe Drive</t>
        </is>
      </c>
      <c r="D710" t="inlineStr">
        <is>
          <t>(see map link)</t>
        </is>
      </c>
      <c r="E710" t="inlineStr">
        <is>
          <t>Crest Drive</t>
        </is>
      </c>
      <c r="F710" t="inlineStr">
        <is>
          <t>436261496</t>
        </is>
      </c>
      <c r="G710" t="n">
        <v>30</v>
      </c>
      <c r="H710" t="inlineStr">
        <is>
          <t>tag</t>
        </is>
      </c>
      <c r="I710" t="inlineStr">
        <is>
          <t>LSV</t>
        </is>
      </c>
      <c r="J710" t="inlineStr">
        <is>
          <t>https://www.google.com/maps/@?api=1&amp;map_action=pano&amp;viewpoint=33.036235,-117.267920&amp;heading=91</t>
        </is>
      </c>
      <c r="K710" t="inlineStr">
        <is>
          <t>https://www.google.com/maps/search/?api=1&amp;query=33.036235,-117.267920</t>
        </is>
      </c>
      <c r="L710" t="inlineStr"/>
      <c r="M710" t="inlineStr"/>
      <c r="N710" t="inlineStr"/>
      <c r="O710" t="inlineStr"/>
      <c r="P710" t="inlineStr">
        <is>
          <t>pending</t>
        </is>
      </c>
      <c r="Q710" t="inlineStr"/>
      <c r="R710" t="inlineStr"/>
      <c r="S710" t="inlineStr"/>
      <c r="T710" t="inlineStr"/>
      <c r="U710" t="inlineStr"/>
      <c r="V710">
        <f>IF(OR(L710="",S710=""),"",IF(VALUE(L710)=VALUE(S710),"Y","N"))</f>
        <v/>
      </c>
      <c r="W710">
        <f>IF(V710="Y",S710,"")</f>
        <v/>
      </c>
      <c r="X710" t="inlineStr">
        <is>
          <t>unverified: map has 30 mph (OSM tag only); is it 25 (carts OK) or 30+?</t>
        </is>
      </c>
      <c r="Y710" t="inlineStr"/>
      <c r="Z710" t="n">
        <v>835</v>
      </c>
      <c r="AA710" t="inlineStr">
        <is>
          <t>sd</t>
        </is>
      </c>
      <c r="AB710" t="inlineStr">
        <is>
          <t>sd|33.03624,-117.26792</t>
        </is>
      </c>
    </row>
    <row r="711">
      <c r="A711" t="inlineStr">
        <is>
          <t>SD-B2-710</t>
        </is>
      </c>
      <c r="B711" t="inlineStr">
        <is>
          <t>San Diego area</t>
        </is>
      </c>
      <c r="C711" t="inlineStr">
        <is>
          <t>Paseo del Norte</t>
        </is>
      </c>
      <c r="D711" t="inlineStr">
        <is>
          <t>(see map link)</t>
        </is>
      </c>
      <c r="E711" t="inlineStr">
        <is>
          <t>Camino del Parque</t>
        </is>
      </c>
      <c r="F711" t="inlineStr">
        <is>
          <t>781663922</t>
        </is>
      </c>
      <c r="G711" t="inlineStr"/>
      <c r="H711" t="inlineStr">
        <is>
          <t>inferred</t>
        </is>
      </c>
      <c r="I711" t="inlineStr">
        <is>
          <t>no</t>
        </is>
      </c>
      <c r="J711" t="inlineStr">
        <is>
          <t>https://www.google.com/maps/@?api=1&amp;map_action=pano&amp;viewpoint=33.118250,-117.318170&amp;heading=141</t>
        </is>
      </c>
      <c r="K711" t="inlineStr">
        <is>
          <t>https://www.google.com/maps/search/?api=1&amp;query=33.118250,-117.318170</t>
        </is>
      </c>
      <c r="L711" t="inlineStr"/>
      <c r="M711" t="inlineStr"/>
      <c r="N711" t="inlineStr"/>
      <c r="O711" t="inlineStr"/>
      <c r="P711" t="inlineStr">
        <is>
          <t>pending</t>
        </is>
      </c>
      <c r="Q711" t="inlineStr"/>
      <c r="R711" t="inlineStr"/>
      <c r="S711" t="inlineStr"/>
      <c r="T711" t="inlineStr"/>
      <c r="U711" t="inlineStr"/>
      <c r="V711">
        <f>IF(OR(L711="",S711=""),"",IF(VALUE(L711)=VALUE(S711),"Y","N"))</f>
        <v/>
      </c>
      <c r="W711">
        <f>IF(V711="Y",S711,"")</f>
        <v/>
      </c>
      <c r="X711" t="inlineStr">
        <is>
          <t>unverified: map has no limit (guessed from road type); main road: what is posted? 35 or lower opens it to LSVs</t>
        </is>
      </c>
      <c r="Y711" t="inlineStr"/>
      <c r="Z711" t="n">
        <v>641</v>
      </c>
      <c r="AA711" t="inlineStr">
        <is>
          <t>sd</t>
        </is>
      </c>
      <c r="AB711" t="inlineStr">
        <is>
          <t>sd|33.11825,-117.31817</t>
        </is>
      </c>
    </row>
    <row r="712">
      <c r="A712" t="inlineStr">
        <is>
          <t>SD-B2-711</t>
        </is>
      </c>
      <c r="B712" t="inlineStr">
        <is>
          <t>San Diego area</t>
        </is>
      </c>
      <c r="C712" t="inlineStr">
        <is>
          <t>North Ditmar Street</t>
        </is>
      </c>
      <c r="D712" t="inlineStr">
        <is>
          <t>Seagaze Drive</t>
        </is>
      </c>
      <c r="E712" t="inlineStr">
        <is>
          <t>Neptune Way</t>
        </is>
      </c>
      <c r="F712" t="inlineStr">
        <is>
          <t>5961619</t>
        </is>
      </c>
      <c r="G712" t="n">
        <v>25</v>
      </c>
      <c r="H712" t="inlineStr">
        <is>
          <t>inferred</t>
        </is>
      </c>
      <c r="I712" t="inlineStr">
        <is>
          <t>cart+LSV</t>
        </is>
      </c>
      <c r="J712" t="inlineStr">
        <is>
          <t>https://www.google.com/maps/@?api=1&amp;map_action=pano&amp;viewpoint=33.199800,-117.380535&amp;heading=325</t>
        </is>
      </c>
      <c r="K712" t="inlineStr">
        <is>
          <t>https://www.google.com/maps/search/?api=1&amp;query=33.199800,-117.380535</t>
        </is>
      </c>
      <c r="L712" t="inlineStr"/>
      <c r="M712" t="inlineStr"/>
      <c r="N712" t="inlineStr"/>
      <c r="O712" t="inlineStr"/>
      <c r="P712" t="inlineStr">
        <is>
          <t>pending</t>
        </is>
      </c>
      <c r="Q712" t="inlineStr"/>
      <c r="R712" t="inlineStr"/>
      <c r="S712" t="inlineStr"/>
      <c r="T712" t="inlineStr"/>
      <c r="U712" t="inlineStr"/>
      <c r="V712">
        <f>IF(OR(L712="",S712=""),"",IF(VALUE(L712)=VALUE(S712),"Y","N"))</f>
        <v/>
      </c>
      <c r="W712">
        <f>IF(V712="Y",S712,"")</f>
        <v/>
      </c>
      <c r="X712" t="inlineStr">
        <is>
          <t>unverified: map has 25 mph (guessed from road type); is it 25 (carts OK) or 30+?</t>
        </is>
      </c>
      <c r="Y712" t="inlineStr"/>
      <c r="Z712" t="n">
        <v>800</v>
      </c>
      <c r="AA712" t="inlineStr">
        <is>
          <t>sd</t>
        </is>
      </c>
      <c r="AB712" t="inlineStr">
        <is>
          <t>sd|33.19980,-117.38054</t>
        </is>
      </c>
    </row>
    <row r="713">
      <c r="A713" t="inlineStr">
        <is>
          <t>SD-B2-712</t>
        </is>
      </c>
      <c r="B713" t="inlineStr">
        <is>
          <t>San Diego area</t>
        </is>
      </c>
      <c r="C713" t="inlineStr">
        <is>
          <t>Adella Avenue</t>
        </is>
      </c>
      <c r="D713" t="inlineStr">
        <is>
          <t>Pomona Avenue</t>
        </is>
      </c>
      <c r="E713" t="inlineStr">
        <is>
          <t>Adella Lane</t>
        </is>
      </c>
      <c r="F713" t="inlineStr">
        <is>
          <t>6003029</t>
        </is>
      </c>
      <c r="G713" t="n">
        <v>25</v>
      </c>
      <c r="H713" t="inlineStr">
        <is>
          <t>inferred</t>
        </is>
      </c>
      <c r="I713" t="inlineStr">
        <is>
          <t>cart+LSV</t>
        </is>
      </c>
      <c r="J713" t="inlineStr">
        <is>
          <t>https://www.google.com/maps/@?api=1&amp;map_action=pano&amp;viewpoint=32.683810,-117.175320&amp;heading=207</t>
        </is>
      </c>
      <c r="K713" t="inlineStr">
        <is>
          <t>https://www.google.com/maps/search/?api=1&amp;query=32.683810,-117.175320</t>
        </is>
      </c>
      <c r="L713" t="inlineStr"/>
      <c r="M713" t="inlineStr"/>
      <c r="N713" t="inlineStr"/>
      <c r="O713" t="inlineStr"/>
      <c r="P713" t="inlineStr">
        <is>
          <t>pending</t>
        </is>
      </c>
      <c r="Q713" t="inlineStr"/>
      <c r="R713" t="inlineStr"/>
      <c r="S713" t="inlineStr"/>
      <c r="T713" t="inlineStr"/>
      <c r="U713" t="inlineStr"/>
      <c r="V713">
        <f>IF(OR(L713="",S713=""),"",IF(VALUE(L713)=VALUE(S713),"Y","N"))</f>
        <v/>
      </c>
      <c r="W713">
        <f>IF(V713="Y",S713,"")</f>
        <v/>
      </c>
      <c r="X713" t="inlineStr">
        <is>
          <t>unverified: map has 25 mph (guessed from road type); is it 25 (carts OK) or 30+?</t>
        </is>
      </c>
      <c r="Y713" t="inlineStr"/>
      <c r="Z713" t="n">
        <v>800</v>
      </c>
      <c r="AA713" t="inlineStr">
        <is>
          <t>sd</t>
        </is>
      </c>
      <c r="AB713" t="inlineStr">
        <is>
          <t>sd|32.68381,-117.17532</t>
        </is>
      </c>
    </row>
    <row r="714">
      <c r="A714" t="inlineStr">
        <is>
          <t>SD-B2-713</t>
        </is>
      </c>
      <c r="B714" t="inlineStr">
        <is>
          <t>San Diego area</t>
        </is>
      </c>
      <c r="C714" t="inlineStr">
        <is>
          <t>Sampson Street</t>
        </is>
      </c>
      <c r="D714" t="inlineStr">
        <is>
          <t>Logan Avenue</t>
        </is>
      </c>
      <c r="E714" t="inlineStr">
        <is>
          <t>South 28th Street</t>
        </is>
      </c>
      <c r="F714" t="inlineStr">
        <is>
          <t>25500830</t>
        </is>
      </c>
      <c r="G714" t="n">
        <v>25</v>
      </c>
      <c r="H714" t="inlineStr">
        <is>
          <t>inferred</t>
        </is>
      </c>
      <c r="I714" t="inlineStr">
        <is>
          <t>cart+LSV</t>
        </is>
      </c>
      <c r="J714" t="inlineStr">
        <is>
          <t>https://www.google.com/maps/@?api=1&amp;map_action=pano&amp;viewpoint=32.698545,-117.138815&amp;heading=219</t>
        </is>
      </c>
      <c r="K714" t="inlineStr">
        <is>
          <t>https://www.google.com/maps/search/?api=1&amp;query=32.698545,-117.138815</t>
        </is>
      </c>
      <c r="L714" t="inlineStr"/>
      <c r="M714" t="inlineStr"/>
      <c r="N714" t="inlineStr"/>
      <c r="O714" t="inlineStr"/>
      <c r="P714" t="inlineStr">
        <is>
          <t>pending</t>
        </is>
      </c>
      <c r="Q714" t="inlineStr"/>
      <c r="R714" t="inlineStr"/>
      <c r="S714" t="inlineStr"/>
      <c r="T714" t="inlineStr"/>
      <c r="U714" t="inlineStr"/>
      <c r="V714">
        <f>IF(OR(L714="",S714=""),"",IF(VALUE(L714)=VALUE(S714),"Y","N"))</f>
        <v/>
      </c>
      <c r="W714">
        <f>IF(V714="Y",S714,"")</f>
        <v/>
      </c>
      <c r="X714" t="inlineStr">
        <is>
          <t>unverified: map has 25 mph (guessed from road type); is it 25 (carts OK) or 30+?</t>
        </is>
      </c>
      <c r="Y714" t="inlineStr"/>
      <c r="Z714" t="n">
        <v>799</v>
      </c>
      <c r="AA714" t="inlineStr">
        <is>
          <t>sd</t>
        </is>
      </c>
      <c r="AB714" t="inlineStr">
        <is>
          <t>sd|32.69854,-117.13881</t>
        </is>
      </c>
    </row>
    <row r="715">
      <c r="A715" t="inlineStr">
        <is>
          <t>SD-B2-714</t>
        </is>
      </c>
      <c r="B715" t="inlineStr">
        <is>
          <t>San Diego area</t>
        </is>
      </c>
      <c r="C715" t="inlineStr">
        <is>
          <t>Cushing Road</t>
        </is>
      </c>
      <c r="D715" t="inlineStr">
        <is>
          <t>Laning Road</t>
        </is>
      </c>
      <c r="E715" t="inlineStr">
        <is>
          <t>Chauncey Road</t>
        </is>
      </c>
      <c r="F715" t="inlineStr">
        <is>
          <t>500552014</t>
        </is>
      </c>
      <c r="G715" t="n">
        <v>25</v>
      </c>
      <c r="H715" t="inlineStr">
        <is>
          <t>mapillary</t>
        </is>
      </c>
      <c r="I715" t="inlineStr">
        <is>
          <t>cart+LSV</t>
        </is>
      </c>
      <c r="J715" t="inlineStr">
        <is>
          <t>https://www.google.com/maps/@?api=1&amp;map_action=pano&amp;viewpoint=32.735150,-117.214010&amp;heading=41</t>
        </is>
      </c>
      <c r="K715" t="inlineStr">
        <is>
          <t>https://www.google.com/maps/search/?api=1&amp;query=32.735150,-117.214010</t>
        </is>
      </c>
      <c r="L715" t="inlineStr"/>
      <c r="M715" t="inlineStr"/>
      <c r="N715" t="inlineStr"/>
      <c r="O715" t="inlineStr"/>
      <c r="P715" t="inlineStr">
        <is>
          <t>pending</t>
        </is>
      </c>
      <c r="Q715" t="inlineStr"/>
      <c r="R715" t="inlineStr"/>
      <c r="S715" t="inlineStr"/>
      <c r="T715" t="inlineStr">
        <is>
          <t>Mapillary: 6 posted 25 mph sign(s) detected</t>
        </is>
      </c>
      <c r="U715" t="inlineStr">
        <is>
          <t>https://www.mapillary.com/app/?lat=32.730080&amp;lng=-117.218510&amp;z=19&amp;focus=map&amp;mapFeatureId=1141165661071433</t>
        </is>
      </c>
      <c r="V715">
        <f>IF(OR(L715="",S715=""),"",IF(VALUE(L715)=VALUE(S715),"Y","N"))</f>
        <v/>
      </c>
      <c r="W715">
        <f>IF(V715="Y",S715,"")</f>
        <v/>
      </c>
      <c r="X715" t="inlineStr">
        <is>
          <t>unverified: map has 25 mph (one Mapillary sign); is it 25 (carts OK) or 30+?</t>
        </is>
      </c>
      <c r="Y715" t="inlineStr"/>
      <c r="Z715" t="n">
        <v>1298</v>
      </c>
      <c r="AA715" t="inlineStr">
        <is>
          <t>sd</t>
        </is>
      </c>
      <c r="AB715" t="inlineStr">
        <is>
          <t>sd|32.73515,-117.21401</t>
        </is>
      </c>
    </row>
    <row r="716">
      <c r="A716" t="inlineStr">
        <is>
          <t>SD-B2-715</t>
        </is>
      </c>
      <c r="B716" t="inlineStr">
        <is>
          <t>San Diego area</t>
        </is>
      </c>
      <c r="C716" t="inlineStr">
        <is>
          <t>John J Montgomery Drive</t>
        </is>
      </c>
      <c r="D716" t="inlineStr">
        <is>
          <t>(see map link)</t>
        </is>
      </c>
      <c r="E716" t="inlineStr">
        <is>
          <t>Aero Drive</t>
        </is>
      </c>
      <c r="F716" t="inlineStr">
        <is>
          <t>162934773</t>
        </is>
      </c>
      <c r="G716" t="n">
        <v>25</v>
      </c>
      <c r="H716" t="inlineStr">
        <is>
          <t>inferred</t>
        </is>
      </c>
      <c r="I716" t="inlineStr">
        <is>
          <t>cart+LSV</t>
        </is>
      </c>
      <c r="J716" t="inlineStr">
        <is>
          <t>https://www.google.com/maps/@?api=1&amp;map_action=pano&amp;viewpoint=32.812230,-117.140270&amp;heading=236</t>
        </is>
      </c>
      <c r="K716" t="inlineStr">
        <is>
          <t>https://www.google.com/maps/search/?api=1&amp;query=32.812230,-117.140270</t>
        </is>
      </c>
      <c r="L716" t="inlineStr"/>
      <c r="M716" t="inlineStr"/>
      <c r="N716" t="inlineStr"/>
      <c r="O716" t="inlineStr"/>
      <c r="P716" t="inlineStr">
        <is>
          <t>pending</t>
        </is>
      </c>
      <c r="Q716" t="inlineStr"/>
      <c r="R716" t="inlineStr"/>
      <c r="S716" t="inlineStr"/>
      <c r="T716" t="inlineStr"/>
      <c r="U716" t="inlineStr"/>
      <c r="V716">
        <f>IF(OR(L716="",S716=""),"",IF(VALUE(L716)=VALUE(S716),"Y","N"))</f>
        <v/>
      </c>
      <c r="W716">
        <f>IF(V716="Y",S716,"")</f>
        <v/>
      </c>
      <c r="X716" t="inlineStr">
        <is>
          <t>unverified: map has 25 mph (guessed from road type); is it 25 (carts OK) or 30+?</t>
        </is>
      </c>
      <c r="Y716" t="inlineStr"/>
      <c r="Z716" t="n">
        <v>797</v>
      </c>
      <c r="AA716" t="inlineStr">
        <is>
          <t>sd</t>
        </is>
      </c>
      <c r="AB716" t="inlineStr">
        <is>
          <t>sd|32.81223,-117.14027</t>
        </is>
      </c>
    </row>
    <row r="717">
      <c r="A717" t="inlineStr">
        <is>
          <t>SD-B2-716</t>
        </is>
      </c>
      <c r="B717" t="inlineStr">
        <is>
          <t>San Diego area</t>
        </is>
      </c>
      <c r="C717" t="inlineStr">
        <is>
          <t>West 8th Street</t>
        </is>
      </c>
      <c r="D717" t="inlineStr">
        <is>
          <t>(see map link)</t>
        </is>
      </c>
      <c r="E717" t="inlineStr">
        <is>
          <t>East Harbor Drive</t>
        </is>
      </c>
      <c r="F717" t="inlineStr">
        <is>
          <t>1549018483</t>
        </is>
      </c>
      <c r="G717" t="n">
        <v>30</v>
      </c>
      <c r="H717" t="inlineStr">
        <is>
          <t>tag</t>
        </is>
      </c>
      <c r="I717" t="inlineStr">
        <is>
          <t>LSV</t>
        </is>
      </c>
      <c r="J717" t="inlineStr">
        <is>
          <t>https://www.google.com/maps/@?api=1&amp;map_action=pano&amp;viewpoint=32.674870,-117.110460&amp;heading=248</t>
        </is>
      </c>
      <c r="K717" t="inlineStr">
        <is>
          <t>https://www.google.com/maps/search/?api=1&amp;query=32.674870,-117.110460</t>
        </is>
      </c>
      <c r="L717" t="inlineStr"/>
      <c r="M717" t="inlineStr"/>
      <c r="N717" t="inlineStr"/>
      <c r="O717" t="inlineStr"/>
      <c r="P717" t="inlineStr">
        <is>
          <t>pending</t>
        </is>
      </c>
      <c r="Q717" t="inlineStr"/>
      <c r="R717" t="inlineStr"/>
      <c r="S717" t="inlineStr"/>
      <c r="T717" t="inlineStr"/>
      <c r="U717" t="inlineStr"/>
      <c r="V717">
        <f>IF(OR(L717="",S717=""),"",IF(VALUE(L717)=VALUE(S717),"Y","N"))</f>
        <v/>
      </c>
      <c r="W717">
        <f>IF(V717="Y",S717,"")</f>
        <v/>
      </c>
      <c r="X717" t="inlineStr">
        <is>
          <t>unverified: map has 30 mph (OSM tag only); is it 25 (carts OK) or 30+?</t>
        </is>
      </c>
      <c r="Y717" t="inlineStr"/>
      <c r="Z717" t="n">
        <v>691</v>
      </c>
      <c r="AA717" t="inlineStr">
        <is>
          <t>sd</t>
        </is>
      </c>
      <c r="AB717" t="inlineStr">
        <is>
          <t>sd|32.67487,-117.11046</t>
        </is>
      </c>
    </row>
    <row r="718">
      <c r="A718" t="inlineStr">
        <is>
          <t>SD-B2-717</t>
        </is>
      </c>
      <c r="B718" t="inlineStr">
        <is>
          <t>San Diego area</t>
        </is>
      </c>
      <c r="C718" t="inlineStr">
        <is>
          <t>Bannock Avenue</t>
        </is>
      </c>
      <c r="D718" t="inlineStr">
        <is>
          <t>Dubois Drive</t>
        </is>
      </c>
      <c r="E718" t="inlineStr">
        <is>
          <t>Kleefeld Avenue</t>
        </is>
      </c>
      <c r="F718" t="inlineStr">
        <is>
          <t>129900545</t>
        </is>
      </c>
      <c r="G718" t="n">
        <v>25</v>
      </c>
      <c r="H718" t="inlineStr">
        <is>
          <t>inferred</t>
        </is>
      </c>
      <c r="I718" t="inlineStr">
        <is>
          <t>cart+LSV</t>
        </is>
      </c>
      <c r="J718" t="inlineStr">
        <is>
          <t>https://www.google.com/maps/@?api=1&amp;map_action=pano&amp;viewpoint=32.833240,-117.198780&amp;heading=56</t>
        </is>
      </c>
      <c r="K718" t="inlineStr">
        <is>
          <t>https://www.google.com/maps/search/?api=1&amp;query=32.833240,-117.198780</t>
        </is>
      </c>
      <c r="L718" t="inlineStr"/>
      <c r="M718" t="inlineStr"/>
      <c r="N718" t="inlineStr"/>
      <c r="O718" t="inlineStr"/>
      <c r="P718" t="inlineStr">
        <is>
          <t>pending</t>
        </is>
      </c>
      <c r="Q718" t="inlineStr"/>
      <c r="R718" t="inlineStr"/>
      <c r="S718" t="inlineStr"/>
      <c r="T718" t="inlineStr"/>
      <c r="U718" t="inlineStr"/>
      <c r="V718">
        <f>IF(OR(L718="",S718=""),"",IF(VALUE(L718)=VALUE(S718),"Y","N"))</f>
        <v/>
      </c>
      <c r="W718">
        <f>IF(V718="Y",S718,"")</f>
        <v/>
      </c>
      <c r="X718" t="inlineStr">
        <is>
          <t>unverified: map has 25 mph (guessed from road type); is it 25 (carts OK) or 30+?</t>
        </is>
      </c>
      <c r="Y718" t="inlineStr"/>
      <c r="Z718" t="n">
        <v>794</v>
      </c>
      <c r="AA718" t="inlineStr">
        <is>
          <t>sd</t>
        </is>
      </c>
      <c r="AB718" t="inlineStr">
        <is>
          <t>sd|32.83324,-117.19878</t>
        </is>
      </c>
    </row>
    <row r="719">
      <c r="A719" t="inlineStr">
        <is>
          <t>SD-B2-718</t>
        </is>
      </c>
      <c r="B719" t="inlineStr">
        <is>
          <t>San Diego area</t>
        </is>
      </c>
      <c r="C719" t="inlineStr">
        <is>
          <t>North Tremont Street</t>
        </is>
      </c>
      <c r="D719" t="inlineStr">
        <is>
          <t>Mission Avenue</t>
        </is>
      </c>
      <c r="E719" t="inlineStr">
        <is>
          <t>Neptune Way</t>
        </is>
      </c>
      <c r="F719" t="inlineStr">
        <is>
          <t>504489531</t>
        </is>
      </c>
      <c r="G719" t="n">
        <v>25</v>
      </c>
      <c r="H719" t="inlineStr">
        <is>
          <t>inferred</t>
        </is>
      </c>
      <c r="I719" t="inlineStr">
        <is>
          <t>cart+LSV</t>
        </is>
      </c>
      <c r="J719" t="inlineStr">
        <is>
          <t>https://www.google.com/maps/@?api=1&amp;map_action=pano&amp;viewpoint=33.195860,-117.380695&amp;heading=325</t>
        </is>
      </c>
      <c r="K719" t="inlineStr">
        <is>
          <t>https://www.google.com/maps/search/?api=1&amp;query=33.195860,-117.380695</t>
        </is>
      </c>
      <c r="L719" t="inlineStr"/>
      <c r="M719" t="inlineStr"/>
      <c r="N719" t="inlineStr"/>
      <c r="O719" t="inlineStr"/>
      <c r="P719" t="inlineStr">
        <is>
          <t>pending</t>
        </is>
      </c>
      <c r="Q719" t="inlineStr"/>
      <c r="R719" t="inlineStr"/>
      <c r="S719" t="inlineStr"/>
      <c r="T719" t="inlineStr"/>
      <c r="U719" t="inlineStr"/>
      <c r="V719">
        <f>IF(OR(L719="",S719=""),"",IF(VALUE(L719)=VALUE(S719),"Y","N"))</f>
        <v/>
      </c>
      <c r="W719">
        <f>IF(V719="Y",S719,"")</f>
        <v/>
      </c>
      <c r="X719" t="inlineStr">
        <is>
          <t>unverified: map has 25 mph (guessed from road type); is it 25 (carts OK) or 30+?</t>
        </is>
      </c>
      <c r="Y719" t="inlineStr"/>
      <c r="Z719" t="n">
        <v>793</v>
      </c>
      <c r="AA719" t="inlineStr">
        <is>
          <t>sd</t>
        </is>
      </c>
      <c r="AB719" t="inlineStr">
        <is>
          <t>sd|33.19586,-117.38070</t>
        </is>
      </c>
    </row>
    <row r="720">
      <c r="A720" t="inlineStr">
        <is>
          <t>SD-B2-719</t>
        </is>
      </c>
      <c r="B720" t="inlineStr">
        <is>
          <t>San Diego area</t>
        </is>
      </c>
      <c r="C720" t="inlineStr">
        <is>
          <t>9th Street</t>
        </is>
      </c>
      <c r="D720" t="inlineStr">
        <is>
          <t>Palm Avenue</t>
        </is>
      </c>
      <c r="E720" t="inlineStr">
        <is>
          <t>Imperial Beach Boulevard</t>
        </is>
      </c>
      <c r="F720" t="inlineStr">
        <is>
          <t>1347741542</t>
        </is>
      </c>
      <c r="G720" t="n">
        <v>35</v>
      </c>
      <c r="H720" t="inlineStr">
        <is>
          <t>tag</t>
        </is>
      </c>
      <c r="I720" t="inlineStr">
        <is>
          <t>LSV</t>
        </is>
      </c>
      <c r="J720" t="inlineStr">
        <is>
          <t>https://www.google.com/maps/@?api=1&amp;map_action=pano&amp;viewpoint=32.581510,-117.114315&amp;heading=180</t>
        </is>
      </c>
      <c r="K720" t="inlineStr">
        <is>
          <t>https://www.google.com/maps/search/?api=1&amp;query=32.581510,-117.114315</t>
        </is>
      </c>
      <c r="L720" t="inlineStr"/>
      <c r="M720" t="inlineStr"/>
      <c r="N720" t="inlineStr"/>
      <c r="O720" t="inlineStr"/>
      <c r="P720" t="inlineStr">
        <is>
          <t>pending</t>
        </is>
      </c>
      <c r="Q720" t="inlineStr"/>
      <c r="R720" t="inlineStr"/>
      <c r="S720" t="inlineStr"/>
      <c r="T720" t="inlineStr"/>
      <c r="U720" t="inlineStr"/>
      <c r="V720">
        <f>IF(OR(L720="",S720=""),"",IF(VALUE(L720)=VALUE(S720),"Y","N"))</f>
        <v/>
      </c>
      <c r="W720">
        <f>IF(V720="Y",S720,"")</f>
        <v/>
      </c>
      <c r="X720" t="inlineStr">
        <is>
          <t>unverified: map has 35 mph (OSM tag only); is it 35 (LSV OK) or 40+?</t>
        </is>
      </c>
      <c r="Y720" t="inlineStr"/>
      <c r="Z720" t="n">
        <v>821</v>
      </c>
      <c r="AA720" t="inlineStr">
        <is>
          <t>sd</t>
        </is>
      </c>
      <c r="AB720" t="inlineStr">
        <is>
          <t>sd|32.58151,-117.11432</t>
        </is>
      </c>
    </row>
    <row r="721">
      <c r="A721" t="inlineStr">
        <is>
          <t>SD-B2-720</t>
        </is>
      </c>
      <c r="B721" t="inlineStr">
        <is>
          <t>San Diego area</t>
        </is>
      </c>
      <c r="C721" t="inlineStr">
        <is>
          <t>Balboa Avenue</t>
        </is>
      </c>
      <c r="D721" t="inlineStr">
        <is>
          <t>(see map link)</t>
        </is>
      </c>
      <c r="E721" t="inlineStr">
        <is>
          <t>Moraga Avenue</t>
        </is>
      </c>
      <c r="F721" t="inlineStr">
        <is>
          <t>1005071160</t>
        </is>
      </c>
      <c r="G721" t="n">
        <v>45</v>
      </c>
      <c r="H721" t="inlineStr">
        <is>
          <t>tag</t>
        </is>
      </c>
      <c r="I721" t="inlineStr">
        <is>
          <t>no</t>
        </is>
      </c>
      <c r="J721" t="inlineStr">
        <is>
          <t>https://www.google.com/maps/@?api=1&amp;map_action=pano&amp;viewpoint=32.807020,-117.214310&amp;heading=76</t>
        </is>
      </c>
      <c r="K721" t="inlineStr">
        <is>
          <t>https://www.google.com/maps/search/?api=1&amp;query=32.807020,-117.214310</t>
        </is>
      </c>
      <c r="L721" t="inlineStr"/>
      <c r="M721" t="inlineStr"/>
      <c r="N721" t="inlineStr"/>
      <c r="O721" t="inlineStr"/>
      <c r="P721" t="inlineStr">
        <is>
          <t>pending</t>
        </is>
      </c>
      <c r="Q721" t="inlineStr"/>
      <c r="R721" t="inlineStr"/>
      <c r="S721" t="inlineStr"/>
      <c r="T721" t="inlineStr"/>
      <c r="U721" t="inlineStr"/>
      <c r="V721">
        <f>IF(OR(L721="",S721=""),"",IF(VALUE(L721)=VALUE(S721),"Y","N"))</f>
        <v/>
      </c>
      <c r="W721">
        <f>IF(V721="Y",S721,"")</f>
        <v/>
      </c>
      <c r="X721" t="inlineStr">
        <is>
          <t>unverified: map has 45 mph (OSM tag only); main road: what is posted? 35 or lower opens it to LSVs</t>
        </is>
      </c>
      <c r="Y721" t="inlineStr"/>
      <c r="Z721" t="n">
        <v>682</v>
      </c>
      <c r="AA721" t="inlineStr">
        <is>
          <t>sd</t>
        </is>
      </c>
      <c r="AB721" t="inlineStr">
        <is>
          <t>sd|32.80702,-117.21431</t>
        </is>
      </c>
    </row>
    <row r="722">
      <c r="A722" t="inlineStr">
        <is>
          <t>SD-B2-721</t>
        </is>
      </c>
      <c r="B722" t="inlineStr">
        <is>
          <t>San Diego area</t>
        </is>
      </c>
      <c r="C722" t="inlineStr">
        <is>
          <t>Olive Avenue</t>
        </is>
      </c>
      <c r="D722" t="inlineStr">
        <is>
          <t>Burke Road</t>
        </is>
      </c>
      <c r="E722" t="inlineStr">
        <is>
          <t>Granada Drive</t>
        </is>
      </c>
      <c r="F722" t="inlineStr">
        <is>
          <t>225875379</t>
        </is>
      </c>
      <c r="G722" t="n">
        <v>35</v>
      </c>
      <c r="H722" t="inlineStr">
        <is>
          <t>tag</t>
        </is>
      </c>
      <c r="I722" t="inlineStr">
        <is>
          <t>LSV</t>
        </is>
      </c>
      <c r="J722" t="inlineStr">
        <is>
          <t>https://www.google.com/maps/@?api=1&amp;map_action=pano&amp;viewpoint=33.204725,-117.265110&amp;heading=270</t>
        </is>
      </c>
      <c r="K722" t="inlineStr">
        <is>
          <t>https://www.google.com/maps/search/?api=1&amp;query=33.204725,-117.265110</t>
        </is>
      </c>
      <c r="L722" t="inlineStr"/>
      <c r="M722" t="inlineStr"/>
      <c r="N722" t="inlineStr"/>
      <c r="O722" t="inlineStr"/>
      <c r="P722" t="inlineStr">
        <is>
          <t>pending</t>
        </is>
      </c>
      <c r="Q722" t="inlineStr"/>
      <c r="R722" t="inlineStr"/>
      <c r="S722" t="inlineStr"/>
      <c r="T722" t="inlineStr"/>
      <c r="U722" t="inlineStr"/>
      <c r="V722">
        <f>IF(OR(L722="",S722=""),"",IF(VALUE(L722)=VALUE(S722),"Y","N"))</f>
        <v/>
      </c>
      <c r="W722">
        <f>IF(V722="Y",S722,"")</f>
        <v/>
      </c>
      <c r="X722" t="inlineStr">
        <is>
          <t>unverified: map has 35 mph (OSM tag only); is it 35 (LSV OK) or 40+?</t>
        </is>
      </c>
      <c r="Y722" t="inlineStr"/>
      <c r="Z722" t="n">
        <v>817</v>
      </c>
      <c r="AA722" t="inlineStr">
        <is>
          <t>sd</t>
        </is>
      </c>
      <c r="AB722" t="inlineStr">
        <is>
          <t>sd|33.20472,-117.26511</t>
        </is>
      </c>
    </row>
    <row r="723">
      <c r="A723" t="inlineStr">
        <is>
          <t>SD-B2-722</t>
        </is>
      </c>
      <c r="B723" t="inlineStr">
        <is>
          <t>San Diego area</t>
        </is>
      </c>
      <c r="C723" t="inlineStr">
        <is>
          <t>San Dieguito Road</t>
        </is>
      </c>
      <c r="D723" t="inlineStr">
        <is>
          <t>(see map link)</t>
        </is>
      </c>
      <c r="E723" t="inlineStr">
        <is>
          <t>(see map link)</t>
        </is>
      </c>
      <c r="F723" t="inlineStr">
        <is>
          <t>436261466</t>
        </is>
      </c>
      <c r="G723" t="n">
        <v>45</v>
      </c>
      <c r="H723" t="inlineStr">
        <is>
          <t>mapillary</t>
        </is>
      </c>
      <c r="I723" t="inlineStr">
        <is>
          <t>no</t>
        </is>
      </c>
      <c r="J723" t="inlineStr">
        <is>
          <t>https://www.google.com/maps/@?api=1&amp;map_action=pano&amp;viewpoint=32.974450,-117.217840&amp;heading=97</t>
        </is>
      </c>
      <c r="K723" t="inlineStr">
        <is>
          <t>https://www.google.com/maps/search/?api=1&amp;query=32.974450,-117.217840</t>
        </is>
      </c>
      <c r="L723" t="inlineStr"/>
      <c r="M723" t="inlineStr"/>
      <c r="N723" t="inlineStr"/>
      <c r="O723" t="inlineStr"/>
      <c r="P723" t="inlineStr">
        <is>
          <t>pending</t>
        </is>
      </c>
      <c r="Q723" t="inlineStr"/>
      <c r="R723" t="inlineStr"/>
      <c r="S723" t="inlineStr"/>
      <c r="T723" t="inlineStr">
        <is>
          <t>Mapillary: 3 posted 45 mph sign(s) detected</t>
        </is>
      </c>
      <c r="U723" t="inlineStr">
        <is>
          <t>https://www.mapillary.com/app/?lat=32.975887&amp;lng=-117.211870&amp;z=19&amp;focus=map&amp;mapFeatureId=594902151685744</t>
        </is>
      </c>
      <c r="V723">
        <f>IF(OR(L723="",S723=""),"",IF(VALUE(L723)=VALUE(S723),"Y","N"))</f>
        <v/>
      </c>
      <c r="W723">
        <f>IF(V723="Y",S723,"")</f>
        <v/>
      </c>
      <c r="X723" t="inlineStr">
        <is>
          <t>unverified: map has 45 mph (one Mapillary sign); main road: what is posted? 35 or lower opens it to LSVs</t>
        </is>
      </c>
      <c r="Y723" t="inlineStr"/>
      <c r="Z723" t="n">
        <v>1021</v>
      </c>
      <c r="AA723" t="inlineStr">
        <is>
          <t>sd</t>
        </is>
      </c>
      <c r="AB723" t="inlineStr">
        <is>
          <t>sd|32.97445,-117.21784</t>
        </is>
      </c>
    </row>
    <row r="724">
      <c r="A724" t="inlineStr">
        <is>
          <t>SD-B2-723</t>
        </is>
      </c>
      <c r="B724" t="inlineStr">
        <is>
          <t>San Diego area</t>
        </is>
      </c>
      <c r="C724" t="inlineStr">
        <is>
          <t>South El Camino Real</t>
        </is>
      </c>
      <c r="D724" t="inlineStr">
        <is>
          <t>Industry Street</t>
        </is>
      </c>
      <c r="E724" t="inlineStr">
        <is>
          <t>(see map link)</t>
        </is>
      </c>
      <c r="F724" t="inlineStr">
        <is>
          <t>166855134</t>
        </is>
      </c>
      <c r="G724" t="n">
        <v>45</v>
      </c>
      <c r="H724" t="inlineStr">
        <is>
          <t>mapillary</t>
        </is>
      </c>
      <c r="I724" t="inlineStr">
        <is>
          <t>no</t>
        </is>
      </c>
      <c r="J724" t="inlineStr">
        <is>
          <t>https://www.google.com/maps/@?api=1&amp;map_action=pano&amp;viewpoint=33.194770,-117.328290&amp;heading=157</t>
        </is>
      </c>
      <c r="K724" t="inlineStr">
        <is>
          <t>https://www.google.com/maps/search/?api=1&amp;query=33.194770,-117.328290</t>
        </is>
      </c>
      <c r="L724" t="inlineStr"/>
      <c r="M724" t="inlineStr"/>
      <c r="N724" t="inlineStr"/>
      <c r="O724" t="inlineStr"/>
      <c r="P724" t="inlineStr">
        <is>
          <t>pending</t>
        </is>
      </c>
      <c r="Q724" t="inlineStr"/>
      <c r="R724" t="inlineStr"/>
      <c r="S724" t="inlineStr"/>
      <c r="T724" t="inlineStr">
        <is>
          <t>Mapillary: 2 posted 45 mph sign(s) detected</t>
        </is>
      </c>
      <c r="U724" t="inlineStr">
        <is>
          <t>https://www.mapillary.com/app/?lat=33.198930&amp;lng=-117.330320&amp;z=19&amp;focus=map&amp;mapFeatureId=1171815873260216</t>
        </is>
      </c>
      <c r="V724">
        <f>IF(OR(L724="",S724=""),"",IF(VALUE(L724)=VALUE(S724),"Y","N"))</f>
        <v/>
      </c>
      <c r="W724">
        <f>IF(V724="Y",S724,"")</f>
        <v/>
      </c>
      <c r="X724" t="inlineStr">
        <is>
          <t>unverified: map has 45 mph (one Mapillary sign); main road: what is posted? 35 or lower opens it to LSVs</t>
        </is>
      </c>
      <c r="Y724" t="inlineStr"/>
      <c r="Z724" t="n">
        <v>850</v>
      </c>
      <c r="AA724" t="inlineStr">
        <is>
          <t>sd</t>
        </is>
      </c>
      <c r="AB724" t="inlineStr">
        <is>
          <t>sd|33.19477,-117.32829</t>
        </is>
      </c>
    </row>
    <row r="725">
      <c r="A725" t="inlineStr">
        <is>
          <t>SD-B2-724</t>
        </is>
      </c>
      <c r="B725" t="inlineStr">
        <is>
          <t>San Diego area</t>
        </is>
      </c>
      <c r="C725" t="inlineStr">
        <is>
          <t>Glorietta Boulevard</t>
        </is>
      </c>
      <c r="D725" t="inlineStr">
        <is>
          <t>10th Street</t>
        </is>
      </c>
      <c r="E725" t="inlineStr">
        <is>
          <t>Monterey Avenue</t>
        </is>
      </c>
      <c r="F725" t="inlineStr">
        <is>
          <t>1504139668</t>
        </is>
      </c>
      <c r="G725" t="n">
        <v>25</v>
      </c>
      <c r="H725" t="inlineStr">
        <is>
          <t>tag</t>
        </is>
      </c>
      <c r="I725" t="inlineStr">
        <is>
          <t>cart+LSV</t>
        </is>
      </c>
      <c r="J725" t="inlineStr">
        <is>
          <t>https://www.google.com/maps/@?api=1&amp;map_action=pano&amp;viewpoint=32.683930,-117.171510&amp;heading=334</t>
        </is>
      </c>
      <c r="K725" t="inlineStr">
        <is>
          <t>https://www.google.com/maps/search/?api=1&amp;query=32.683930,-117.171510</t>
        </is>
      </c>
      <c r="L725" t="inlineStr"/>
      <c r="M725" t="inlineStr"/>
      <c r="N725" t="inlineStr"/>
      <c r="O725" t="inlineStr"/>
      <c r="P725" t="inlineStr">
        <is>
          <t>pending</t>
        </is>
      </c>
      <c r="Q725" t="inlineStr"/>
      <c r="R725" t="inlineStr"/>
      <c r="S725" t="inlineStr"/>
      <c r="T725" t="inlineStr"/>
      <c r="U725" t="inlineStr"/>
      <c r="V725">
        <f>IF(OR(L725="",S725=""),"",IF(VALUE(L725)=VALUE(S725),"Y","N"))</f>
        <v/>
      </c>
      <c r="W725">
        <f>IF(V725="Y",S725,"")</f>
        <v/>
      </c>
      <c r="X725" t="inlineStr">
        <is>
          <t>unverified: map has 25 mph (OSM tag only); is it 25 (carts OK) or 30+?</t>
        </is>
      </c>
      <c r="Y725" t="inlineStr"/>
      <c r="Z725" t="n">
        <v>1020</v>
      </c>
      <c r="AA725" t="inlineStr">
        <is>
          <t>sd</t>
        </is>
      </c>
      <c r="AB725" t="inlineStr">
        <is>
          <t>sd|32.68393,-117.17151</t>
        </is>
      </c>
    </row>
    <row r="726">
      <c r="A726" t="inlineStr">
        <is>
          <t>SD-B2-725</t>
        </is>
      </c>
      <c r="B726" t="inlineStr">
        <is>
          <t>San Diego area</t>
        </is>
      </c>
      <c r="C726" t="inlineStr">
        <is>
          <t>La Costa Avenue</t>
        </is>
      </c>
      <c r="D726" t="inlineStr">
        <is>
          <t>(see map link)</t>
        </is>
      </c>
      <c r="E726" t="inlineStr">
        <is>
          <t>Viejo Castilla Way</t>
        </is>
      </c>
      <c r="F726" t="inlineStr">
        <is>
          <t>436275077</t>
        </is>
      </c>
      <c r="G726" t="n">
        <v>40</v>
      </c>
      <c r="H726" t="inlineStr">
        <is>
          <t>tag</t>
        </is>
      </c>
      <c r="I726" t="inlineStr">
        <is>
          <t>no</t>
        </is>
      </c>
      <c r="J726" t="inlineStr">
        <is>
          <t>https://www.google.com/maps/@?api=1&amp;map_action=pano&amp;viewpoint=33.084950,-117.250620&amp;heading=295</t>
        </is>
      </c>
      <c r="K726" t="inlineStr">
        <is>
          <t>https://www.google.com/maps/search/?api=1&amp;query=33.084950,-117.250620</t>
        </is>
      </c>
      <c r="L726" t="inlineStr"/>
      <c r="M726" t="inlineStr"/>
      <c r="N726" t="inlineStr"/>
      <c r="O726" t="inlineStr"/>
      <c r="P726" t="inlineStr">
        <is>
          <t>pending</t>
        </is>
      </c>
      <c r="Q726" t="inlineStr"/>
      <c r="R726" t="inlineStr"/>
      <c r="S726" t="inlineStr"/>
      <c r="T726" t="inlineStr"/>
      <c r="U726" t="inlineStr"/>
      <c r="V726">
        <f>IF(OR(L726="",S726=""),"",IF(VALUE(L726)=VALUE(S726),"Y","N"))</f>
        <v/>
      </c>
      <c r="W726">
        <f>IF(V726="Y",S726,"")</f>
        <v/>
      </c>
      <c r="X726" t="inlineStr">
        <is>
          <t>unverified: map has 40 mph (OSM tag only); is it 35 (LSV OK) or 40+?</t>
        </is>
      </c>
      <c r="Y726" t="inlineStr"/>
      <c r="Z726" t="n">
        <v>815</v>
      </c>
      <c r="AA726" t="inlineStr">
        <is>
          <t>sd</t>
        </is>
      </c>
      <c r="AB726" t="inlineStr">
        <is>
          <t>sd|33.08495,-117.25062</t>
        </is>
      </c>
    </row>
    <row r="727">
      <c r="A727" t="inlineStr">
        <is>
          <t>SD-B2-726</t>
        </is>
      </c>
      <c r="B727" t="inlineStr">
        <is>
          <t>San Diego area</t>
        </is>
      </c>
      <c r="C727" t="inlineStr">
        <is>
          <t>Hill Drive</t>
        </is>
      </c>
      <c r="D727" t="inlineStr">
        <is>
          <t>West Vista Way</t>
        </is>
      </c>
      <c r="E727" t="inlineStr">
        <is>
          <t>Grapevine Road</t>
        </is>
      </c>
      <c r="F727" t="inlineStr">
        <is>
          <t>5988577</t>
        </is>
      </c>
      <c r="G727" t="n">
        <v>25</v>
      </c>
      <c r="H727" t="inlineStr">
        <is>
          <t>inferred</t>
        </is>
      </c>
      <c r="I727" t="inlineStr">
        <is>
          <t>cart+LSV</t>
        </is>
      </c>
      <c r="J727" t="inlineStr">
        <is>
          <t>https://www.google.com/maps/@?api=1&amp;map_action=pano&amp;viewpoint=33.195670,-117.270880&amp;heading=359</t>
        </is>
      </c>
      <c r="K727" t="inlineStr">
        <is>
          <t>https://www.google.com/maps/search/?api=1&amp;query=33.195670,-117.270880</t>
        </is>
      </c>
      <c r="L727" t="inlineStr"/>
      <c r="M727" t="inlineStr"/>
      <c r="N727" t="inlineStr"/>
      <c r="O727" t="inlineStr"/>
      <c r="P727" t="inlineStr">
        <is>
          <t>pending</t>
        </is>
      </c>
      <c r="Q727" t="inlineStr"/>
      <c r="R727" t="inlineStr"/>
      <c r="S727" t="inlineStr"/>
      <c r="T727" t="inlineStr"/>
      <c r="U727" t="inlineStr"/>
      <c r="V727">
        <f>IF(OR(L727="",S727=""),"",IF(VALUE(L727)=VALUE(S727),"Y","N"))</f>
        <v/>
      </c>
      <c r="W727">
        <f>IF(V727="Y",S727,"")</f>
        <v/>
      </c>
      <c r="X727" t="inlineStr">
        <is>
          <t>unverified: map has 25 mph (guessed from road type); is it 25 (carts OK) or 30+?</t>
        </is>
      </c>
      <c r="Y727" t="inlineStr"/>
      <c r="Z727" t="n">
        <v>784</v>
      </c>
      <c r="AA727" t="inlineStr">
        <is>
          <t>sd</t>
        </is>
      </c>
      <c r="AB727" t="inlineStr">
        <is>
          <t>sd|33.19567,-117.27088</t>
        </is>
      </c>
    </row>
    <row r="728">
      <c r="A728" t="inlineStr">
        <is>
          <t>SD-B2-727</t>
        </is>
      </c>
      <c r="B728" t="inlineStr">
        <is>
          <t>San Diego area</t>
        </is>
      </c>
      <c r="C728" t="inlineStr">
        <is>
          <t>North Cedros Avenue</t>
        </is>
      </c>
      <c r="D728" t="inlineStr">
        <is>
          <t>(see map link)</t>
        </is>
      </c>
      <c r="E728" t="inlineStr">
        <is>
          <t>Lomas Santa Fe Drive</t>
        </is>
      </c>
      <c r="F728" t="inlineStr">
        <is>
          <t>34123346</t>
        </is>
      </c>
      <c r="G728" t="n">
        <v>25</v>
      </c>
      <c r="H728" t="inlineStr">
        <is>
          <t>inferred</t>
        </is>
      </c>
      <c r="I728" t="inlineStr">
        <is>
          <t>cart+LSV</t>
        </is>
      </c>
      <c r="J728" t="inlineStr">
        <is>
          <t>https://www.google.com/maps/@?api=1&amp;map_action=pano&amp;viewpoint=32.998185,-117.272810&amp;heading=339</t>
        </is>
      </c>
      <c r="K728" t="inlineStr">
        <is>
          <t>https://www.google.com/maps/search/?api=1&amp;query=32.998185,-117.272810</t>
        </is>
      </c>
      <c r="L728" t="inlineStr"/>
      <c r="M728" t="inlineStr"/>
      <c r="N728" t="inlineStr"/>
      <c r="O728" t="inlineStr"/>
      <c r="P728" t="inlineStr">
        <is>
          <t>pending</t>
        </is>
      </c>
      <c r="Q728" t="inlineStr"/>
      <c r="R728" t="inlineStr"/>
      <c r="S728" t="inlineStr"/>
      <c r="T728" t="inlineStr"/>
      <c r="U728" t="inlineStr"/>
      <c r="V728">
        <f>IF(OR(L728="",S728=""),"",IF(VALUE(L728)=VALUE(S728),"Y","N"))</f>
        <v/>
      </c>
      <c r="W728">
        <f>IF(V728="Y",S728,"")</f>
        <v/>
      </c>
      <c r="X728" t="inlineStr">
        <is>
          <t>unverified: map has 25 mph (guessed from road type); is it 25 (carts OK) or 30+?</t>
        </is>
      </c>
      <c r="Y728" t="inlineStr"/>
      <c r="Z728" t="n">
        <v>782</v>
      </c>
      <c r="AA728" t="inlineStr">
        <is>
          <t>sd</t>
        </is>
      </c>
      <c r="AB728" t="inlineStr">
        <is>
          <t>sd|32.99818,-117.27281</t>
        </is>
      </c>
    </row>
    <row r="729">
      <c r="A729" t="inlineStr">
        <is>
          <t>SD-B2-728</t>
        </is>
      </c>
      <c r="B729" t="inlineStr">
        <is>
          <t>San Diego area</t>
        </is>
      </c>
      <c r="C729" t="inlineStr">
        <is>
          <t>Morehouse Drive</t>
        </is>
      </c>
      <c r="D729" t="inlineStr">
        <is>
          <t>(see map link)</t>
        </is>
      </c>
      <c r="E729" t="inlineStr">
        <is>
          <t>Lusk Boulevard</t>
        </is>
      </c>
      <c r="F729" t="inlineStr">
        <is>
          <t>6010813</t>
        </is>
      </c>
      <c r="G729" t="n">
        <v>25</v>
      </c>
      <c r="H729" t="inlineStr">
        <is>
          <t>inferred</t>
        </is>
      </c>
      <c r="I729" t="inlineStr">
        <is>
          <t>cart+LSV</t>
        </is>
      </c>
      <c r="J729" t="inlineStr">
        <is>
          <t>https://www.google.com/maps/@?api=1&amp;map_action=pano&amp;viewpoint=32.896505,-117.196595&amp;heading=215</t>
        </is>
      </c>
      <c r="K729" t="inlineStr">
        <is>
          <t>https://www.google.com/maps/search/?api=1&amp;query=32.896505,-117.196595</t>
        </is>
      </c>
      <c r="L729" t="inlineStr"/>
      <c r="M729" t="inlineStr"/>
      <c r="N729" t="inlineStr"/>
      <c r="O729" t="inlineStr"/>
      <c r="P729" t="inlineStr">
        <is>
          <t>pending</t>
        </is>
      </c>
      <c r="Q729" t="inlineStr"/>
      <c r="R729" t="inlineStr"/>
      <c r="S729" t="inlineStr"/>
      <c r="T729" t="inlineStr"/>
      <c r="U729" t="inlineStr"/>
      <c r="V729">
        <f>IF(OR(L729="",S729=""),"",IF(VALUE(L729)=VALUE(S729),"Y","N"))</f>
        <v/>
      </c>
      <c r="W729">
        <f>IF(V729="Y",S729,"")</f>
        <v/>
      </c>
      <c r="X729" t="inlineStr">
        <is>
          <t>unverified: map has 25 mph (guessed from road type); is it 25 (carts OK) or 30+?</t>
        </is>
      </c>
      <c r="Y729" t="inlineStr"/>
      <c r="Z729" t="n">
        <v>781</v>
      </c>
      <c r="AA729" t="inlineStr">
        <is>
          <t>sd</t>
        </is>
      </c>
      <c r="AB729" t="inlineStr">
        <is>
          <t>sd|32.89651,-117.19660</t>
        </is>
      </c>
    </row>
    <row r="730">
      <c r="A730" t="inlineStr">
        <is>
          <t>SD-B2-729</t>
        </is>
      </c>
      <c r="B730" t="inlineStr">
        <is>
          <t>San Diego area</t>
        </is>
      </c>
      <c r="C730" t="inlineStr">
        <is>
          <t>Top Gun Street</t>
        </is>
      </c>
      <c r="D730" t="inlineStr">
        <is>
          <t>Flanders Drive</t>
        </is>
      </c>
      <c r="E730" t="inlineStr">
        <is>
          <t>Camino Santa Fe</t>
        </is>
      </c>
      <c r="F730" t="inlineStr">
        <is>
          <t>6002865</t>
        </is>
      </c>
      <c r="G730" t="inlineStr"/>
      <c r="H730" t="inlineStr">
        <is>
          <t>inferred</t>
        </is>
      </c>
      <c r="I730" t="inlineStr">
        <is>
          <t>no</t>
        </is>
      </c>
      <c r="J730" t="inlineStr">
        <is>
          <t>https://www.google.com/maps/@?api=1&amp;map_action=pano&amp;viewpoint=32.909645,-117.173630&amp;heading=32</t>
        </is>
      </c>
      <c r="K730" t="inlineStr">
        <is>
          <t>https://www.google.com/maps/search/?api=1&amp;query=32.909645,-117.173630</t>
        </is>
      </c>
      <c r="L730" t="inlineStr"/>
      <c r="M730" t="inlineStr"/>
      <c r="N730" t="inlineStr"/>
      <c r="O730" t="inlineStr"/>
      <c r="P730" t="inlineStr">
        <is>
          <t>pending</t>
        </is>
      </c>
      <c r="Q730" t="inlineStr"/>
      <c r="R730" t="inlineStr"/>
      <c r="S730" t="inlineStr"/>
      <c r="T730" t="inlineStr"/>
      <c r="U730" t="inlineStr"/>
      <c r="V730">
        <f>IF(OR(L730="",S730=""),"",IF(VALUE(L730)=VALUE(S730),"Y","N"))</f>
        <v/>
      </c>
      <c r="W730">
        <f>IF(V730="Y",S730,"")</f>
        <v/>
      </c>
      <c r="X730" t="inlineStr">
        <is>
          <t>unverified: map has no limit (guessed from road type); main road: what is posted? 35 or lower opens it to LSVs</t>
        </is>
      </c>
      <c r="Y730" t="inlineStr"/>
      <c r="Z730" t="n">
        <v>622</v>
      </c>
      <c r="AA730" t="inlineStr">
        <is>
          <t>sd</t>
        </is>
      </c>
      <c r="AB730" t="inlineStr">
        <is>
          <t>sd|32.90964,-117.17363</t>
        </is>
      </c>
    </row>
    <row r="731">
      <c r="A731" t="inlineStr">
        <is>
          <t>SD-B2-730</t>
        </is>
      </c>
      <c r="B731" t="inlineStr">
        <is>
          <t>San Diego area</t>
        </is>
      </c>
      <c r="C731" t="inlineStr">
        <is>
          <t>Mac Donald Street</t>
        </is>
      </c>
      <c r="D731" t="inlineStr">
        <is>
          <t>(see map link)</t>
        </is>
      </c>
      <c r="E731" t="inlineStr">
        <is>
          <t>Kennedy Lane</t>
        </is>
      </c>
      <c r="F731" t="inlineStr">
        <is>
          <t>225813016</t>
        </is>
      </c>
      <c r="G731" t="n">
        <v>25</v>
      </c>
      <c r="H731" t="inlineStr">
        <is>
          <t>inferred</t>
        </is>
      </c>
      <c r="I731" t="inlineStr">
        <is>
          <t>cart+LSV</t>
        </is>
      </c>
      <c r="J731" t="inlineStr">
        <is>
          <t>https://www.google.com/maps/@?api=1&amp;map_action=pano&amp;viewpoint=33.202380,-117.348970&amp;heading=74</t>
        </is>
      </c>
      <c r="K731" t="inlineStr">
        <is>
          <t>https://www.google.com/maps/search/?api=1&amp;query=33.202380,-117.348970</t>
        </is>
      </c>
      <c r="L731" t="inlineStr"/>
      <c r="M731" t="inlineStr"/>
      <c r="N731" t="inlineStr"/>
      <c r="O731" t="inlineStr"/>
      <c r="P731" t="inlineStr">
        <is>
          <t>pending</t>
        </is>
      </c>
      <c r="Q731" t="inlineStr"/>
      <c r="R731" t="inlineStr"/>
      <c r="S731" t="inlineStr"/>
      <c r="T731" t="inlineStr"/>
      <c r="U731" t="inlineStr"/>
      <c r="V731">
        <f>IF(OR(L731="",S731=""),"",IF(VALUE(L731)=VALUE(S731),"Y","N"))</f>
        <v/>
      </c>
      <c r="W731">
        <f>IF(V731="Y",S731,"")</f>
        <v/>
      </c>
      <c r="X731" t="inlineStr">
        <is>
          <t>unverified: map has 25 mph (guessed from road type); is it 25 (carts OK) or 30+?</t>
        </is>
      </c>
      <c r="Y731" t="inlineStr"/>
      <c r="Z731" t="n">
        <v>777</v>
      </c>
      <c r="AA731" t="inlineStr">
        <is>
          <t>sd</t>
        </is>
      </c>
      <c r="AB731" t="inlineStr">
        <is>
          <t>sd|33.20238,-117.34897</t>
        </is>
      </c>
    </row>
    <row r="732">
      <c r="A732" t="inlineStr">
        <is>
          <t>SD-B2-731</t>
        </is>
      </c>
      <c r="B732" t="inlineStr">
        <is>
          <t>San Diego area</t>
        </is>
      </c>
      <c r="C732" t="inlineStr">
        <is>
          <t>Gardenia Street</t>
        </is>
      </c>
      <c r="D732" t="inlineStr">
        <is>
          <t>Adams Street</t>
        </is>
      </c>
      <c r="E732" t="inlineStr">
        <is>
          <t>Sumac Place</t>
        </is>
      </c>
      <c r="F732" t="inlineStr">
        <is>
          <t>5957133</t>
        </is>
      </c>
      <c r="G732" t="n">
        <v>25</v>
      </c>
      <c r="H732" t="inlineStr">
        <is>
          <t>inferred</t>
        </is>
      </c>
      <c r="I732" t="inlineStr">
        <is>
          <t>cart+LSV</t>
        </is>
      </c>
      <c r="J732" t="inlineStr">
        <is>
          <t>https://www.google.com/maps/@?api=1&amp;map_action=pano&amp;viewpoint=33.245590,-117.298360&amp;heading=200</t>
        </is>
      </c>
      <c r="K732" t="inlineStr">
        <is>
          <t>https://www.google.com/maps/search/?api=1&amp;query=33.245590,-117.298360</t>
        </is>
      </c>
      <c r="L732" t="inlineStr"/>
      <c r="M732" t="inlineStr"/>
      <c r="N732" t="inlineStr"/>
      <c r="O732" t="inlineStr"/>
      <c r="P732" t="inlineStr">
        <is>
          <t>pending</t>
        </is>
      </c>
      <c r="Q732" t="inlineStr"/>
      <c r="R732" t="inlineStr"/>
      <c r="S732" t="inlineStr"/>
      <c r="T732" t="inlineStr"/>
      <c r="U732" t="inlineStr"/>
      <c r="V732">
        <f>IF(OR(L732="",S732=""),"",IF(VALUE(L732)=VALUE(S732),"Y","N"))</f>
        <v/>
      </c>
      <c r="W732">
        <f>IF(V732="Y",S732,"")</f>
        <v/>
      </c>
      <c r="X732" t="inlineStr">
        <is>
          <t>unverified: map has 25 mph (guessed from road type); is it 25 (carts OK) or 30+?</t>
        </is>
      </c>
      <c r="Y732" t="inlineStr"/>
      <c r="Z732" t="n">
        <v>776</v>
      </c>
      <c r="AA732" t="inlineStr">
        <is>
          <t>sd</t>
        </is>
      </c>
      <c r="AB732" t="inlineStr">
        <is>
          <t>sd|33.24559,-117.29836</t>
        </is>
      </c>
    </row>
    <row r="733">
      <c r="A733" t="inlineStr">
        <is>
          <t>SD-B2-732</t>
        </is>
      </c>
      <c r="B733" t="inlineStr">
        <is>
          <t>San Diego area</t>
        </is>
      </c>
      <c r="C733" t="inlineStr">
        <is>
          <t>Poinsettia Lane</t>
        </is>
      </c>
      <c r="D733" t="inlineStr">
        <is>
          <t>Ambrosia Lane</t>
        </is>
      </c>
      <c r="E733" t="inlineStr">
        <is>
          <t>Black Rail Road</t>
        </is>
      </c>
      <c r="F733" t="inlineStr"/>
      <c r="G733" t="inlineStr"/>
      <c r="H733" t="inlineStr">
        <is>
          <t>inferred</t>
        </is>
      </c>
      <c r="I733" t="inlineStr">
        <is>
          <t>no</t>
        </is>
      </c>
      <c r="J733" t="inlineStr">
        <is>
          <t>https://www.google.com/maps/@?api=1&amp;map_action=pano&amp;viewpoint=33.113460,-117.284980&amp;heading=273</t>
        </is>
      </c>
      <c r="K733" t="inlineStr">
        <is>
          <t>https://www.google.com/maps/search/?api=1&amp;query=33.113460,-117.284980</t>
        </is>
      </c>
      <c r="L733" t="inlineStr"/>
      <c r="M733" t="inlineStr"/>
      <c r="N733" t="inlineStr"/>
      <c r="O733" t="inlineStr"/>
      <c r="P733" t="inlineStr">
        <is>
          <t>pending</t>
        </is>
      </c>
      <c r="Q733" t="inlineStr"/>
      <c r="R733" t="inlineStr"/>
      <c r="S733" t="inlineStr"/>
      <c r="T733" t="inlineStr"/>
      <c r="U733" t="inlineStr"/>
      <c r="V733">
        <f>IF(OR(L733="",S733=""),"",IF(VALUE(L733)=VALUE(S733),"Y","N"))</f>
        <v/>
      </c>
      <c r="W733">
        <f>IF(V733="Y",S733,"")</f>
        <v/>
      </c>
      <c r="X733" t="inlineStr">
        <is>
          <t>unverified: map has no limit (guessed from road type); main road: what is posted? 35 or lower opens it to LSVs</t>
        </is>
      </c>
      <c r="Y733" t="inlineStr"/>
      <c r="Z733" t="n">
        <v>621</v>
      </c>
      <c r="AA733" t="inlineStr">
        <is>
          <t>sd</t>
        </is>
      </c>
      <c r="AB733" t="inlineStr">
        <is>
          <t>sd|33.11346,-117.28498</t>
        </is>
      </c>
    </row>
    <row r="734">
      <c r="A734" t="inlineStr">
        <is>
          <t>SD-B2-733</t>
        </is>
      </c>
      <c r="B734" t="inlineStr">
        <is>
          <t>San Diego area</t>
        </is>
      </c>
      <c r="C734" t="inlineStr">
        <is>
          <t>10th Street</t>
        </is>
      </c>
      <c r="D734" t="inlineStr">
        <is>
          <t>Adella Avenue</t>
        </is>
      </c>
      <c r="E734" t="inlineStr">
        <is>
          <t>D Avenue</t>
        </is>
      </c>
      <c r="F734" t="inlineStr">
        <is>
          <t>1334249057</t>
        </is>
      </c>
      <c r="G734" t="n">
        <v>25</v>
      </c>
      <c r="H734" t="inlineStr">
        <is>
          <t>inferred</t>
        </is>
      </c>
      <c r="I734" t="inlineStr">
        <is>
          <t>cart+LSV</t>
        </is>
      </c>
      <c r="J734" t="inlineStr">
        <is>
          <t>https://www.google.com/maps/@?api=1&amp;map_action=pano&amp;viewpoint=32.684320,-117.175450&amp;heading=86</t>
        </is>
      </c>
      <c r="K734" t="inlineStr">
        <is>
          <t>https://www.google.com/maps/search/?api=1&amp;query=32.684320,-117.175450</t>
        </is>
      </c>
      <c r="L734" t="inlineStr"/>
      <c r="M734" t="inlineStr"/>
      <c r="N734" t="inlineStr"/>
      <c r="O734" t="inlineStr"/>
      <c r="P734" t="inlineStr">
        <is>
          <t>pending</t>
        </is>
      </c>
      <c r="Q734" t="inlineStr"/>
      <c r="R734" t="inlineStr"/>
      <c r="S734" t="inlineStr"/>
      <c r="T734" t="inlineStr"/>
      <c r="U734" t="inlineStr"/>
      <c r="V734">
        <f>IF(OR(L734="",S734=""),"",IF(VALUE(L734)=VALUE(S734),"Y","N"))</f>
        <v/>
      </c>
      <c r="W734">
        <f>IF(V734="Y",S734,"")</f>
        <v/>
      </c>
      <c r="X734" t="inlineStr">
        <is>
          <t>unverified: map has 25 mph (guessed from road type); is it 25 (carts OK) or 30+?</t>
        </is>
      </c>
      <c r="Y734" t="inlineStr"/>
      <c r="Z734" t="n">
        <v>776</v>
      </c>
      <c r="AA734" t="inlineStr">
        <is>
          <t>sd</t>
        </is>
      </c>
      <c r="AB734" t="inlineStr">
        <is>
          <t>sd|32.68432,-117.17545</t>
        </is>
      </c>
    </row>
    <row r="735">
      <c r="A735" t="inlineStr">
        <is>
          <t>SD-B2-734</t>
        </is>
      </c>
      <c r="B735" t="inlineStr">
        <is>
          <t>San Diego area</t>
        </is>
      </c>
      <c r="C735" t="inlineStr">
        <is>
          <t>32nd Street</t>
        </is>
      </c>
      <c r="D735" t="inlineStr">
        <is>
          <t>Juniper Street</t>
        </is>
      </c>
      <c r="E735" t="inlineStr">
        <is>
          <t>Upas Street</t>
        </is>
      </c>
      <c r="F735" t="inlineStr">
        <is>
          <t>5942172</t>
        </is>
      </c>
      <c r="G735" t="n">
        <v>25</v>
      </c>
      <c r="H735" t="inlineStr">
        <is>
          <t>mapillary</t>
        </is>
      </c>
      <c r="I735" t="inlineStr">
        <is>
          <t>cart+LSV</t>
        </is>
      </c>
      <c r="J735" t="inlineStr">
        <is>
          <t>https://www.google.com/maps/@?api=1&amp;map_action=pano&amp;viewpoint=32.738350,-117.125045&amp;heading=0</t>
        </is>
      </c>
      <c r="K735" t="inlineStr">
        <is>
          <t>https://www.google.com/maps/search/?api=1&amp;query=32.738350,-117.125045</t>
        </is>
      </c>
      <c r="L735" t="inlineStr"/>
      <c r="M735" t="inlineStr"/>
      <c r="N735" t="inlineStr"/>
      <c r="O735" t="inlineStr"/>
      <c r="P735" t="inlineStr">
        <is>
          <t>pending</t>
        </is>
      </c>
      <c r="Q735" t="inlineStr"/>
      <c r="R735" t="inlineStr"/>
      <c r="S735" t="inlineStr"/>
      <c r="T735" t="inlineStr">
        <is>
          <t>Mapillary: 6 posted 25 mph sign(s) detected</t>
        </is>
      </c>
      <c r="U735" t="inlineStr">
        <is>
          <t>https://www.mapillary.com/app/?lat=32.729690&amp;lng=-117.125305&amp;z=19&amp;focus=map&amp;mapFeatureId=627554380225349</t>
        </is>
      </c>
      <c r="V735">
        <f>IF(OR(L735="",S735=""),"",IF(VALUE(L735)=VALUE(S735),"Y","N"))</f>
        <v/>
      </c>
      <c r="W735">
        <f>IF(V735="Y",S735,"")</f>
        <v/>
      </c>
      <c r="X735" t="inlineStr">
        <is>
          <t>unverified: map has 25 mph (one Mapillary sign); is it 25 (carts OK) or 30+?</t>
        </is>
      </c>
      <c r="Y735" t="inlineStr"/>
      <c r="Z735" t="n">
        <v>1261</v>
      </c>
      <c r="AA735" t="inlineStr">
        <is>
          <t>sd</t>
        </is>
      </c>
      <c r="AB735" t="inlineStr">
        <is>
          <t>sd|32.73835,-117.12505</t>
        </is>
      </c>
    </row>
    <row r="736">
      <c r="A736" t="inlineStr">
        <is>
          <t>SD-B2-735</t>
        </is>
      </c>
      <c r="B736" t="inlineStr">
        <is>
          <t>San Diego area</t>
        </is>
      </c>
      <c r="C736" t="inlineStr">
        <is>
          <t>National Avenue</t>
        </is>
      </c>
      <c r="D736" t="inlineStr">
        <is>
          <t>13th Street</t>
        </is>
      </c>
      <c r="E736" t="inlineStr">
        <is>
          <t>Sigsbee Street</t>
        </is>
      </c>
      <c r="F736" t="inlineStr">
        <is>
          <t>592671235</t>
        </is>
      </c>
      <c r="G736" t="inlineStr"/>
      <c r="H736" t="inlineStr">
        <is>
          <t>inferred</t>
        </is>
      </c>
      <c r="I736" t="inlineStr">
        <is>
          <t>no</t>
        </is>
      </c>
      <c r="J736" t="inlineStr">
        <is>
          <t>https://www.google.com/maps/@?api=1&amp;map_action=pano&amp;viewpoint=32.704595,-117.150725&amp;heading=130</t>
        </is>
      </c>
      <c r="K736" t="inlineStr">
        <is>
          <t>https://www.google.com/maps/search/?api=1&amp;query=32.704595,-117.150725</t>
        </is>
      </c>
      <c r="L736" t="inlineStr"/>
      <c r="M736" t="inlineStr"/>
      <c r="N736" t="inlineStr"/>
      <c r="O736" t="inlineStr"/>
      <c r="P736" t="inlineStr">
        <is>
          <t>pending</t>
        </is>
      </c>
      <c r="Q736" t="inlineStr"/>
      <c r="R736" t="inlineStr"/>
      <c r="S736" t="inlineStr"/>
      <c r="T736" t="inlineStr"/>
      <c r="U736" t="inlineStr"/>
      <c r="V736">
        <f>IF(OR(L736="",S736=""),"",IF(VALUE(L736)=VALUE(S736),"Y","N"))</f>
        <v/>
      </c>
      <c r="W736">
        <f>IF(V736="Y",S736,"")</f>
        <v/>
      </c>
      <c r="X736" t="inlineStr">
        <is>
          <t>unverified: map has no limit (guessed from road type); main road: what is posted? 35 or lower opens it to LSVs</t>
        </is>
      </c>
      <c r="Y736" t="inlineStr"/>
      <c r="Z736" t="n">
        <v>517</v>
      </c>
      <c r="AA736" t="inlineStr">
        <is>
          <t>sd</t>
        </is>
      </c>
      <c r="AB736" t="inlineStr">
        <is>
          <t>sd|32.70459,-117.15072</t>
        </is>
      </c>
    </row>
    <row r="737">
      <c r="A737" t="inlineStr">
        <is>
          <t>SD-B2-736</t>
        </is>
      </c>
      <c r="B737" t="inlineStr">
        <is>
          <t>San Diego area</t>
        </is>
      </c>
      <c r="C737" t="inlineStr">
        <is>
          <t>North Harbor Drive</t>
        </is>
      </c>
      <c r="D737" t="inlineStr">
        <is>
          <t>West Laurel Street</t>
        </is>
      </c>
      <c r="E737" t="inlineStr">
        <is>
          <t>Crosswind Way</t>
        </is>
      </c>
      <c r="F737" t="inlineStr">
        <is>
          <t>436296443</t>
        </is>
      </c>
      <c r="G737" t="n">
        <v>45</v>
      </c>
      <c r="H737" t="inlineStr">
        <is>
          <t>tag</t>
        </is>
      </c>
      <c r="I737" t="inlineStr">
        <is>
          <t>no</t>
        </is>
      </c>
      <c r="J737" t="inlineStr">
        <is>
          <t>https://www.google.com/maps/@?api=1&amp;map_action=pano&amp;viewpoint=32.727660,-117.178250&amp;heading=84</t>
        </is>
      </c>
      <c r="K737" t="inlineStr">
        <is>
          <t>https://www.google.com/maps/search/?api=1&amp;query=32.727660,-117.178250</t>
        </is>
      </c>
      <c r="L737" t="inlineStr"/>
      <c r="M737" t="inlineStr"/>
      <c r="N737" t="inlineStr"/>
      <c r="O737" t="inlineStr"/>
      <c r="P737" t="inlineStr">
        <is>
          <t>pending</t>
        </is>
      </c>
      <c r="Q737" t="inlineStr"/>
      <c r="R737" t="inlineStr"/>
      <c r="S737" t="inlineStr"/>
      <c r="T737" t="inlineStr"/>
      <c r="U737" t="inlineStr"/>
      <c r="V737">
        <f>IF(OR(L737="",S737=""),"",IF(VALUE(L737)=VALUE(S737),"Y","N"))</f>
        <v/>
      </c>
      <c r="W737">
        <f>IF(V737="Y",S737,"")</f>
        <v/>
      </c>
      <c r="X737" t="inlineStr">
        <is>
          <t>unverified: map has 45 mph (OSM tag only); main road: what is posted? 35 or lower opens it to LSVs</t>
        </is>
      </c>
      <c r="Y737" t="inlineStr"/>
      <c r="Z737" t="n">
        <v>672</v>
      </c>
      <c r="AA737" t="inlineStr">
        <is>
          <t>sd</t>
        </is>
      </c>
      <c r="AB737" t="inlineStr">
        <is>
          <t>sd|32.72766,-117.17825</t>
        </is>
      </c>
    </row>
    <row r="738">
      <c r="A738" t="inlineStr">
        <is>
          <t>SD-B2-737</t>
        </is>
      </c>
      <c r="B738" t="inlineStr">
        <is>
          <t>San Diego area</t>
        </is>
      </c>
      <c r="C738" t="inlineStr">
        <is>
          <t>East Harbor Drive</t>
        </is>
      </c>
      <c r="D738" t="inlineStr">
        <is>
          <t>(see map link)</t>
        </is>
      </c>
      <c r="E738" t="inlineStr">
        <is>
          <t>South 28th Street</t>
        </is>
      </c>
      <c r="F738" t="inlineStr">
        <is>
          <t>436404798</t>
        </is>
      </c>
      <c r="G738" t="n">
        <v>45</v>
      </c>
      <c r="H738" t="inlineStr">
        <is>
          <t>tag</t>
        </is>
      </c>
      <c r="I738" t="inlineStr">
        <is>
          <t>no</t>
        </is>
      </c>
      <c r="J738" t="inlineStr">
        <is>
          <t>https://www.google.com/maps/@?api=1&amp;map_action=pano&amp;viewpoint=32.690190,-117.131710&amp;heading=308</t>
        </is>
      </c>
      <c r="K738" t="inlineStr">
        <is>
          <t>https://www.google.com/maps/search/?api=1&amp;query=32.690190,-117.131710</t>
        </is>
      </c>
      <c r="L738" t="inlineStr"/>
      <c r="M738" t="inlineStr"/>
      <c r="N738" t="inlineStr"/>
      <c r="O738" t="inlineStr"/>
      <c r="P738" t="inlineStr">
        <is>
          <t>pending</t>
        </is>
      </c>
      <c r="Q738" t="inlineStr"/>
      <c r="R738" t="inlineStr"/>
      <c r="S738" t="inlineStr"/>
      <c r="T738" t="inlineStr"/>
      <c r="U738" t="inlineStr"/>
      <c r="V738">
        <f>IF(OR(L738="",S738=""),"",IF(VALUE(L738)=VALUE(S738),"Y","N"))</f>
        <v/>
      </c>
      <c r="W738">
        <f>IF(V738="Y",S738,"")</f>
        <v/>
      </c>
      <c r="X738" t="inlineStr">
        <is>
          <t>unverified: map has 45 mph (OSM tag only); main road: what is posted? 35 or lower opens it to LSVs</t>
        </is>
      </c>
      <c r="Y738" t="inlineStr"/>
      <c r="Z738" t="n">
        <v>672</v>
      </c>
      <c r="AA738" t="inlineStr">
        <is>
          <t>sd</t>
        </is>
      </c>
      <c r="AB738" t="inlineStr">
        <is>
          <t>sd|32.69019,-117.13171</t>
        </is>
      </c>
    </row>
    <row r="739">
      <c r="A739" t="inlineStr">
        <is>
          <t>SD-B2-738</t>
        </is>
      </c>
      <c r="B739" t="inlineStr">
        <is>
          <t>San Diego area</t>
        </is>
      </c>
      <c r="C739" t="inlineStr">
        <is>
          <t>North River Road</t>
        </is>
      </c>
      <c r="D739" t="inlineStr">
        <is>
          <t>Whalen Lake Road</t>
        </is>
      </c>
      <c r="E739" t="inlineStr">
        <is>
          <t>Douglas Drive</t>
        </is>
      </c>
      <c r="F739" t="inlineStr">
        <is>
          <t>5988198</t>
        </is>
      </c>
      <c r="G739" t="n">
        <v>25</v>
      </c>
      <c r="H739" t="inlineStr">
        <is>
          <t>inferred</t>
        </is>
      </c>
      <c r="I739" t="inlineStr">
        <is>
          <t>cart+LSV</t>
        </is>
      </c>
      <c r="J739" t="inlineStr">
        <is>
          <t>https://www.google.com/maps/@?api=1&amp;map_action=pano&amp;viewpoint=33.244850,-117.328675&amp;heading=89</t>
        </is>
      </c>
      <c r="K739" t="inlineStr">
        <is>
          <t>https://www.google.com/maps/search/?api=1&amp;query=33.244850,-117.328675</t>
        </is>
      </c>
      <c r="L739" t="inlineStr"/>
      <c r="M739" t="inlineStr"/>
      <c r="N739" t="inlineStr"/>
      <c r="O739" t="inlineStr"/>
      <c r="P739" t="inlineStr">
        <is>
          <t>pending</t>
        </is>
      </c>
      <c r="Q739" t="inlineStr"/>
      <c r="R739" t="inlineStr"/>
      <c r="S739" t="inlineStr"/>
      <c r="T739" t="inlineStr"/>
      <c r="U739" t="inlineStr"/>
      <c r="V739">
        <f>IF(OR(L739="",S739=""),"",IF(VALUE(L739)=VALUE(S739),"Y","N"))</f>
        <v/>
      </c>
      <c r="W739">
        <f>IF(V739="Y",S739,"")</f>
        <v/>
      </c>
      <c r="X739" t="inlineStr">
        <is>
          <t>unverified: map has 25 mph (guessed from road type); is it 25 (carts OK) or 30+?</t>
        </is>
      </c>
      <c r="Y739" t="inlineStr"/>
      <c r="Z739" t="n">
        <v>774</v>
      </c>
      <c r="AA739" t="inlineStr">
        <is>
          <t>sd</t>
        </is>
      </c>
      <c r="AB739" t="inlineStr">
        <is>
          <t>sd|33.24485,-117.32868</t>
        </is>
      </c>
    </row>
    <row r="740">
      <c r="A740" t="inlineStr">
        <is>
          <t>SD-B2-739</t>
        </is>
      </c>
      <c r="B740" t="inlineStr">
        <is>
          <t>San Diego area</t>
        </is>
      </c>
      <c r="C740" t="inlineStr">
        <is>
          <t>Gabbiano Lane</t>
        </is>
      </c>
      <c r="D740" t="inlineStr">
        <is>
          <t>Batiquitos Drive</t>
        </is>
      </c>
      <c r="E740" t="inlineStr">
        <is>
          <t>Grivetta Court</t>
        </is>
      </c>
      <c r="F740" t="inlineStr">
        <is>
          <t>747194341</t>
        </is>
      </c>
      <c r="G740" t="n">
        <v>25</v>
      </c>
      <c r="H740" t="inlineStr">
        <is>
          <t>inferred</t>
        </is>
      </c>
      <c r="I740" t="inlineStr">
        <is>
          <t>cart+LSV</t>
        </is>
      </c>
      <c r="J740" t="inlineStr">
        <is>
          <t>https://www.google.com/maps/@?api=1&amp;map_action=pano&amp;viewpoint=33.097300,-117.303180&amp;heading=172</t>
        </is>
      </c>
      <c r="K740" t="inlineStr">
        <is>
          <t>https://www.google.com/maps/search/?api=1&amp;query=33.097300,-117.303180</t>
        </is>
      </c>
      <c r="L740" t="inlineStr"/>
      <c r="M740" t="inlineStr"/>
      <c r="N740" t="inlineStr"/>
      <c r="O740" t="inlineStr"/>
      <c r="P740" t="inlineStr">
        <is>
          <t>pending</t>
        </is>
      </c>
      <c r="Q740" t="inlineStr"/>
      <c r="R740" t="inlineStr"/>
      <c r="S740" t="inlineStr"/>
      <c r="T740" t="inlineStr"/>
      <c r="U740" t="inlineStr"/>
      <c r="V740">
        <f>IF(OR(L740="",S740=""),"",IF(VALUE(L740)=VALUE(S740),"Y","N"))</f>
        <v/>
      </c>
      <c r="W740">
        <f>IF(V740="Y",S740,"")</f>
        <v/>
      </c>
      <c r="X740" t="inlineStr">
        <is>
          <t>unverified: map has 25 mph (guessed from road type); is it 25 (carts OK) or 30+?</t>
        </is>
      </c>
      <c r="Y740" t="inlineStr"/>
      <c r="Z740" t="n">
        <v>773</v>
      </c>
      <c r="AA740" t="inlineStr">
        <is>
          <t>sd</t>
        </is>
      </c>
      <c r="AB740" t="inlineStr">
        <is>
          <t>sd|33.09730,-117.30318</t>
        </is>
      </c>
    </row>
    <row r="741">
      <c r="A741" t="inlineStr">
        <is>
          <t>SD-B2-740</t>
        </is>
      </c>
      <c r="B741" t="inlineStr">
        <is>
          <t>San Diego area</t>
        </is>
      </c>
      <c r="C741" t="inlineStr">
        <is>
          <t>South Ditmar Street</t>
        </is>
      </c>
      <c r="D741" t="inlineStr">
        <is>
          <t>Wisconsin Avenue</t>
        </is>
      </c>
      <c r="E741" t="inlineStr">
        <is>
          <t>Godfrey Street</t>
        </is>
      </c>
      <c r="F741" t="inlineStr">
        <is>
          <t>5964849</t>
        </is>
      </c>
      <c r="G741" t="n">
        <v>25</v>
      </c>
      <c r="H741" t="inlineStr">
        <is>
          <t>inferred</t>
        </is>
      </c>
      <c r="I741" t="inlineStr">
        <is>
          <t>cart+LSV</t>
        </is>
      </c>
      <c r="J741" t="inlineStr">
        <is>
          <t>https://www.google.com/maps/@?api=1&amp;map_action=pano&amp;viewpoint=33.186755,-117.368935&amp;heading=145</t>
        </is>
      </c>
      <c r="K741" t="inlineStr">
        <is>
          <t>https://www.google.com/maps/search/?api=1&amp;query=33.186755,-117.368935</t>
        </is>
      </c>
      <c r="L741" t="inlineStr"/>
      <c r="M741" t="inlineStr"/>
      <c r="N741" t="inlineStr"/>
      <c r="O741" t="inlineStr"/>
      <c r="P741" t="inlineStr">
        <is>
          <t>pending</t>
        </is>
      </c>
      <c r="Q741" t="inlineStr"/>
      <c r="R741" t="inlineStr"/>
      <c r="S741" t="inlineStr"/>
      <c r="T741" t="inlineStr"/>
      <c r="U741" t="inlineStr"/>
      <c r="V741">
        <f>IF(OR(L741="",S741=""),"",IF(VALUE(L741)=VALUE(S741),"Y","N"))</f>
        <v/>
      </c>
      <c r="W741">
        <f>IF(V741="Y",S741,"")</f>
        <v/>
      </c>
      <c r="X741" t="inlineStr">
        <is>
          <t>unverified: map has 25 mph (guessed from road type); is it 25 (carts OK) or 30+?</t>
        </is>
      </c>
      <c r="Y741" t="inlineStr"/>
      <c r="Z741" t="n">
        <v>773</v>
      </c>
      <c r="AA741" t="inlineStr">
        <is>
          <t>sd</t>
        </is>
      </c>
      <c r="AB741" t="inlineStr">
        <is>
          <t>sd|33.18676,-117.36893</t>
        </is>
      </c>
    </row>
    <row r="742">
      <c r="A742" t="inlineStr">
        <is>
          <t>SD-B2-741</t>
        </is>
      </c>
      <c r="B742" t="inlineStr">
        <is>
          <t>San Diego area</t>
        </is>
      </c>
      <c r="C742" t="inlineStr">
        <is>
          <t>Balboa Avenue</t>
        </is>
      </c>
      <c r="D742" t="inlineStr">
        <is>
          <t>(see map link)</t>
        </is>
      </c>
      <c r="E742" t="inlineStr">
        <is>
          <t>(see map link)</t>
        </is>
      </c>
      <c r="F742" t="inlineStr">
        <is>
          <t>436423407</t>
        </is>
      </c>
      <c r="G742" t="n">
        <v>40</v>
      </c>
      <c r="H742" t="inlineStr">
        <is>
          <t>tag</t>
        </is>
      </c>
      <c r="I742" t="inlineStr">
        <is>
          <t>no</t>
        </is>
      </c>
      <c r="J742" t="inlineStr">
        <is>
          <t>https://www.google.com/maps/@?api=1&amp;map_action=pano&amp;viewpoint=32.820510,-117.138420&amp;heading=245</t>
        </is>
      </c>
      <c r="K742" t="inlineStr">
        <is>
          <t>https://www.google.com/maps/search/?api=1&amp;query=32.820510,-117.138420</t>
        </is>
      </c>
      <c r="L742" t="inlineStr"/>
      <c r="M742" t="inlineStr"/>
      <c r="N742" t="inlineStr"/>
      <c r="O742" t="inlineStr"/>
      <c r="P742" t="inlineStr">
        <is>
          <t>pending</t>
        </is>
      </c>
      <c r="Q742" t="inlineStr"/>
      <c r="R742" t="inlineStr"/>
      <c r="S742" t="inlineStr"/>
      <c r="T742" t="inlineStr"/>
      <c r="U742" t="inlineStr"/>
      <c r="V742">
        <f>IF(OR(L742="",S742=""),"",IF(VALUE(L742)=VALUE(S742),"Y","N"))</f>
        <v/>
      </c>
      <c r="W742">
        <f>IF(V742="Y",S742,"")</f>
        <v/>
      </c>
      <c r="X742" t="inlineStr">
        <is>
          <t>unverified: map has 40 mph (OSM tag only); is it 35 (LSV OK) or 40+?</t>
        </is>
      </c>
      <c r="Y742" t="inlineStr"/>
      <c r="Z742" t="n">
        <v>804</v>
      </c>
      <c r="AA742" t="inlineStr">
        <is>
          <t>sd</t>
        </is>
      </c>
      <c r="AB742" t="inlineStr">
        <is>
          <t>sd|32.82051,-117.13842</t>
        </is>
      </c>
    </row>
    <row r="743">
      <c r="A743" t="inlineStr">
        <is>
          <t>SD-B2-742</t>
        </is>
      </c>
      <c r="B743" t="inlineStr">
        <is>
          <t>San Diego area</t>
        </is>
      </c>
      <c r="C743" t="inlineStr">
        <is>
          <t>Old Grove Road</t>
        </is>
      </c>
      <c r="D743" t="inlineStr">
        <is>
          <t>(see map link)</t>
        </is>
      </c>
      <c r="E743" t="inlineStr">
        <is>
          <t>(see map link)</t>
        </is>
      </c>
      <c r="F743" t="inlineStr">
        <is>
          <t>5991595</t>
        </is>
      </c>
      <c r="G743" t="n">
        <v>25</v>
      </c>
      <c r="H743" t="inlineStr">
        <is>
          <t>inferred</t>
        </is>
      </c>
      <c r="I743" t="inlineStr">
        <is>
          <t>cart+LSV</t>
        </is>
      </c>
      <c r="J743" t="inlineStr">
        <is>
          <t>https://www.google.com/maps/@?api=1&amp;map_action=pano&amp;viewpoint=33.237990,-117.311160&amp;heading=91</t>
        </is>
      </c>
      <c r="K743" t="inlineStr">
        <is>
          <t>https://www.google.com/maps/search/?api=1&amp;query=33.237990,-117.311160</t>
        </is>
      </c>
      <c r="L743" t="inlineStr"/>
      <c r="M743" t="inlineStr"/>
      <c r="N743" t="inlineStr"/>
      <c r="O743" t="inlineStr"/>
      <c r="P743" t="inlineStr">
        <is>
          <t>pending</t>
        </is>
      </c>
      <c r="Q743" t="inlineStr"/>
      <c r="R743" t="inlineStr"/>
      <c r="S743" t="inlineStr"/>
      <c r="T743" t="inlineStr"/>
      <c r="U743" t="inlineStr"/>
      <c r="V743">
        <f>IF(OR(L743="",S743=""),"",IF(VALUE(L743)=VALUE(S743),"Y","N"))</f>
        <v/>
      </c>
      <c r="W743">
        <f>IF(V743="Y",S743,"")</f>
        <v/>
      </c>
      <c r="X743" t="inlineStr">
        <is>
          <t>unverified: map has 25 mph (guessed from road type); is it 25 (carts OK) or 30+?</t>
        </is>
      </c>
      <c r="Y743" t="inlineStr"/>
      <c r="Z743" t="n">
        <v>772</v>
      </c>
      <c r="AA743" t="inlineStr">
        <is>
          <t>sd</t>
        </is>
      </c>
      <c r="AB743" t="inlineStr">
        <is>
          <t>sd|33.23799,-117.31116</t>
        </is>
      </c>
    </row>
    <row r="744">
      <c r="A744" t="inlineStr">
        <is>
          <t>SD-B2-743</t>
        </is>
      </c>
      <c r="B744" t="inlineStr">
        <is>
          <t>San Diego area</t>
        </is>
      </c>
      <c r="C744" t="inlineStr">
        <is>
          <t>Camino del Rio North</t>
        </is>
      </c>
      <c r="D744" t="inlineStr">
        <is>
          <t>(see map link)</t>
        </is>
      </c>
      <c r="E744" t="inlineStr">
        <is>
          <t>(see map link)</t>
        </is>
      </c>
      <c r="F744" t="inlineStr">
        <is>
          <t>137622472</t>
        </is>
      </c>
      <c r="G744" t="n">
        <v>25</v>
      </c>
      <c r="H744" t="inlineStr">
        <is>
          <t>inferred</t>
        </is>
      </c>
      <c r="I744" t="inlineStr">
        <is>
          <t>cart+LSV</t>
        </is>
      </c>
      <c r="J744" t="inlineStr">
        <is>
          <t>https://www.google.com/maps/@?api=1&amp;map_action=pano&amp;viewpoint=32.767255,-117.148180&amp;heading=255</t>
        </is>
      </c>
      <c r="K744" t="inlineStr">
        <is>
          <t>https://www.google.com/maps/search/?api=1&amp;query=32.767255,-117.148180</t>
        </is>
      </c>
      <c r="L744" t="inlineStr"/>
      <c r="M744" t="inlineStr"/>
      <c r="N744" t="inlineStr"/>
      <c r="O744" t="inlineStr"/>
      <c r="P744" t="inlineStr">
        <is>
          <t>pending</t>
        </is>
      </c>
      <c r="Q744" t="inlineStr"/>
      <c r="R744" t="inlineStr"/>
      <c r="S744" t="inlineStr"/>
      <c r="T744" t="inlineStr"/>
      <c r="U744" t="inlineStr"/>
      <c r="V744">
        <f>IF(OR(L744="",S744=""),"",IF(VALUE(L744)=VALUE(S744),"Y","N"))</f>
        <v/>
      </c>
      <c r="W744">
        <f>IF(V744="Y",S744,"")</f>
        <v/>
      </c>
      <c r="X744" t="inlineStr">
        <is>
          <t>unverified: map has 25 mph (guessed from road type); is it 25 (carts OK) or 30+?</t>
        </is>
      </c>
      <c r="Y744" t="inlineStr"/>
      <c r="Z744" t="n">
        <v>771</v>
      </c>
      <c r="AA744" t="inlineStr">
        <is>
          <t>sd</t>
        </is>
      </c>
      <c r="AB744" t="inlineStr">
        <is>
          <t>sd|32.76725,-117.14818</t>
        </is>
      </c>
    </row>
    <row r="745">
      <c r="A745" t="inlineStr">
        <is>
          <t>SD-B2-744</t>
        </is>
      </c>
      <c r="B745" t="inlineStr">
        <is>
          <t>San Diego area</t>
        </is>
      </c>
      <c r="C745" t="inlineStr">
        <is>
          <t>Pacific Coast Highway</t>
        </is>
      </c>
      <c r="D745" t="inlineStr">
        <is>
          <t>Civic Center Drive</t>
        </is>
      </c>
      <c r="E745" t="inlineStr">
        <is>
          <t>Michigan Avenue</t>
        </is>
      </c>
      <c r="F745" t="inlineStr">
        <is>
          <t>6009671</t>
        </is>
      </c>
      <c r="G745" t="n">
        <v>30</v>
      </c>
      <c r="H745" t="inlineStr">
        <is>
          <t>tag</t>
        </is>
      </c>
      <c r="I745" t="inlineStr">
        <is>
          <t>LSV</t>
        </is>
      </c>
      <c r="J745" t="inlineStr">
        <is>
          <t>https://www.google.com/maps/@?api=1&amp;map_action=pano&amp;viewpoint=33.194640,-117.378465&amp;heading=325</t>
        </is>
      </c>
      <c r="K745" t="inlineStr">
        <is>
          <t>https://www.google.com/maps/search/?api=1&amp;query=33.194640,-117.378465</t>
        </is>
      </c>
      <c r="L745" t="inlineStr"/>
      <c r="M745" t="inlineStr"/>
      <c r="N745" t="inlineStr"/>
      <c r="O745" t="inlineStr"/>
      <c r="P745" t="inlineStr">
        <is>
          <t>pending</t>
        </is>
      </c>
      <c r="Q745" t="inlineStr"/>
      <c r="R745" t="inlineStr"/>
      <c r="S745" t="inlineStr"/>
      <c r="T745" t="inlineStr"/>
      <c r="U745" t="inlineStr"/>
      <c r="V745">
        <f>IF(OR(L745="",S745=""),"",IF(VALUE(L745)=VALUE(S745),"Y","N"))</f>
        <v/>
      </c>
      <c r="W745">
        <f>IF(V745="Y",S745,"")</f>
        <v/>
      </c>
      <c r="X745" t="inlineStr">
        <is>
          <t>unverified: map has 30 mph (OSM tag only); is it 25 (carts OK) or 30+?</t>
        </is>
      </c>
      <c r="Y745" t="inlineStr"/>
      <c r="Z745" t="n">
        <v>668</v>
      </c>
      <c r="AA745" t="inlineStr">
        <is>
          <t>sd</t>
        </is>
      </c>
      <c r="AB745" t="inlineStr">
        <is>
          <t>sd|33.19464,-117.37847</t>
        </is>
      </c>
    </row>
    <row r="746">
      <c r="A746" t="inlineStr">
        <is>
          <t>SD-B2-745</t>
        </is>
      </c>
      <c r="B746" t="inlineStr">
        <is>
          <t>San Diego area</t>
        </is>
      </c>
      <c r="C746" t="inlineStr">
        <is>
          <t>Hidden Valley Road</t>
        </is>
      </c>
      <c r="D746" t="inlineStr">
        <is>
          <t>Palomar Airport Road</t>
        </is>
      </c>
      <c r="E746" t="inlineStr">
        <is>
          <t>Plum Tree Road</t>
        </is>
      </c>
      <c r="F746" t="inlineStr">
        <is>
          <t>1112105752</t>
        </is>
      </c>
      <c r="G746" t="n">
        <v>40</v>
      </c>
      <c r="H746" t="inlineStr">
        <is>
          <t>tag</t>
        </is>
      </c>
      <c r="I746" t="inlineStr">
        <is>
          <t>no</t>
        </is>
      </c>
      <c r="J746" t="inlineStr">
        <is>
          <t>https://www.google.com/maps/@?api=1&amp;map_action=pano&amp;viewpoint=33.121120,-117.306130&amp;heading=358</t>
        </is>
      </c>
      <c r="K746" t="inlineStr">
        <is>
          <t>https://www.google.com/maps/search/?api=1&amp;query=33.121120,-117.306130</t>
        </is>
      </c>
      <c r="L746" t="inlineStr"/>
      <c r="M746" t="inlineStr"/>
      <c r="N746" t="inlineStr"/>
      <c r="O746" t="inlineStr"/>
      <c r="P746" t="inlineStr">
        <is>
          <t>pending</t>
        </is>
      </c>
      <c r="Q746" t="inlineStr"/>
      <c r="R746" t="inlineStr"/>
      <c r="S746" t="inlineStr"/>
      <c r="T746" t="inlineStr"/>
      <c r="U746" t="inlineStr"/>
      <c r="V746">
        <f>IF(OR(L746="",S746=""),"",IF(VALUE(L746)=VALUE(S746),"Y","N"))</f>
        <v/>
      </c>
      <c r="W746">
        <f>IF(V746="Y",S746,"")</f>
        <v/>
      </c>
      <c r="X746" t="inlineStr">
        <is>
          <t>unverified: map has 40 mph (OSM tag only); is it 35 (LSV OK) or 40+?</t>
        </is>
      </c>
      <c r="Y746" t="inlineStr"/>
      <c r="Z746" t="n">
        <v>1000</v>
      </c>
      <c r="AA746" t="inlineStr">
        <is>
          <t>sd</t>
        </is>
      </c>
      <c r="AB746" t="inlineStr">
        <is>
          <t>sd|33.12112,-117.30613</t>
        </is>
      </c>
    </row>
    <row r="747">
      <c r="A747" t="inlineStr">
        <is>
          <t>SD-B2-746</t>
        </is>
      </c>
      <c r="B747" t="inlineStr">
        <is>
          <t>San Diego area</t>
        </is>
      </c>
      <c r="C747" t="inlineStr">
        <is>
          <t>Lusk Boulevard</t>
        </is>
      </c>
      <c r="D747" t="inlineStr">
        <is>
          <t>Wateridge Circle</t>
        </is>
      </c>
      <c r="E747" t="inlineStr">
        <is>
          <t>(see map link)</t>
        </is>
      </c>
      <c r="F747" t="inlineStr">
        <is>
          <t>280910343</t>
        </is>
      </c>
      <c r="G747" t="n">
        <v>45</v>
      </c>
      <c r="H747" t="inlineStr">
        <is>
          <t>tag</t>
        </is>
      </c>
      <c r="I747" t="inlineStr">
        <is>
          <t>no</t>
        </is>
      </c>
      <c r="J747" t="inlineStr">
        <is>
          <t>https://www.google.com/maps/@?api=1&amp;map_action=pano&amp;viewpoint=32.901540,-117.214150&amp;heading=265</t>
        </is>
      </c>
      <c r="K747" t="inlineStr">
        <is>
          <t>https://www.google.com/maps/search/?api=1&amp;query=32.901540,-117.214150</t>
        </is>
      </c>
      <c r="L747" t="inlineStr"/>
      <c r="M747" t="inlineStr"/>
      <c r="N747" t="inlineStr"/>
      <c r="O747" t="inlineStr"/>
      <c r="P747" t="inlineStr">
        <is>
          <t>pending</t>
        </is>
      </c>
      <c r="Q747" t="inlineStr"/>
      <c r="R747" t="inlineStr"/>
      <c r="S747" t="inlineStr"/>
      <c r="T747" t="inlineStr"/>
      <c r="U747" t="inlineStr"/>
      <c r="V747">
        <f>IF(OR(L747="",S747=""),"",IF(VALUE(L747)=VALUE(S747),"Y","N"))</f>
        <v/>
      </c>
      <c r="W747">
        <f>IF(V747="Y",S747,"")</f>
        <v/>
      </c>
      <c r="X747" t="inlineStr">
        <is>
          <t>unverified: map has 45 mph (OSM tag only); main road: what is posted? 35 or lower opens it to LSVs</t>
        </is>
      </c>
      <c r="Y747" t="inlineStr"/>
      <c r="Z747" t="n">
        <v>798</v>
      </c>
      <c r="AA747" t="inlineStr">
        <is>
          <t>sd</t>
        </is>
      </c>
      <c r="AB747" t="inlineStr">
        <is>
          <t>sd|32.90154,-117.21415</t>
        </is>
      </c>
    </row>
    <row r="748">
      <c r="A748" t="inlineStr">
        <is>
          <t>SD-B2-747</t>
        </is>
      </c>
      <c r="B748" t="inlineStr">
        <is>
          <t>San Diego area</t>
        </is>
      </c>
      <c r="C748" t="inlineStr">
        <is>
          <t>Pacific Heights Boulevard</t>
        </is>
      </c>
      <c r="D748" t="inlineStr">
        <is>
          <t>(see map link)</t>
        </is>
      </c>
      <c r="E748" t="inlineStr">
        <is>
          <t>Mira Mesa Boulevard</t>
        </is>
      </c>
      <c r="F748" t="inlineStr">
        <is>
          <t>594603699</t>
        </is>
      </c>
      <c r="G748" t="n">
        <v>40</v>
      </c>
      <c r="H748" t="inlineStr">
        <is>
          <t>tag</t>
        </is>
      </c>
      <c r="I748" t="inlineStr">
        <is>
          <t>no</t>
        </is>
      </c>
      <c r="J748" t="inlineStr">
        <is>
          <t>https://www.google.com/maps/@?api=1&amp;map_action=pano&amp;viewpoint=32.895270,-117.189680&amp;heading=190</t>
        </is>
      </c>
      <c r="K748" t="inlineStr">
        <is>
          <t>https://www.google.com/maps/search/?api=1&amp;query=32.895270,-117.189680</t>
        </is>
      </c>
      <c r="L748" t="inlineStr"/>
      <c r="M748" t="inlineStr"/>
      <c r="N748" t="inlineStr"/>
      <c r="O748" t="inlineStr"/>
      <c r="P748" t="inlineStr">
        <is>
          <t>pending</t>
        </is>
      </c>
      <c r="Q748" t="inlineStr"/>
      <c r="R748" t="inlineStr"/>
      <c r="S748" t="inlineStr"/>
      <c r="T748" t="inlineStr"/>
      <c r="U748" t="inlineStr"/>
      <c r="V748">
        <f>IF(OR(L748="",S748=""),"",IF(VALUE(L748)=VALUE(S748),"Y","N"))</f>
        <v/>
      </c>
      <c r="W748">
        <f>IF(V748="Y",S748,"")</f>
        <v/>
      </c>
      <c r="X748" t="inlineStr">
        <is>
          <t>unverified: map has 40 mph (OSM tag only); is it 35 (LSV OK) or 40+?</t>
        </is>
      </c>
      <c r="Y748" t="inlineStr"/>
      <c r="Z748" t="n">
        <v>798</v>
      </c>
      <c r="AA748" t="inlineStr">
        <is>
          <t>sd</t>
        </is>
      </c>
      <c r="AB748" t="inlineStr">
        <is>
          <t>sd|32.89527,-117.18968</t>
        </is>
      </c>
    </row>
    <row r="749">
      <c r="A749" t="inlineStr">
        <is>
          <t>SD-B2-748</t>
        </is>
      </c>
      <c r="B749" t="inlineStr">
        <is>
          <t>San Diego area</t>
        </is>
      </c>
      <c r="C749" t="inlineStr">
        <is>
          <t>Curlew Street</t>
        </is>
      </c>
      <c r="D749" t="inlineStr">
        <is>
          <t>West Pennsylvania Avenue</t>
        </is>
      </c>
      <c r="E749" t="inlineStr">
        <is>
          <t>Reynard Way</t>
        </is>
      </c>
      <c r="F749" t="inlineStr">
        <is>
          <t>6008572</t>
        </is>
      </c>
      <c r="G749" t="n">
        <v>25</v>
      </c>
      <c r="H749" t="inlineStr">
        <is>
          <t>inferred</t>
        </is>
      </c>
      <c r="I749" t="inlineStr">
        <is>
          <t>cart+LSV</t>
        </is>
      </c>
      <c r="J749" t="inlineStr">
        <is>
          <t>https://www.google.com/maps/@?api=1&amp;map_action=pano&amp;viewpoint=32.744250,-117.167550&amp;heading=180</t>
        </is>
      </c>
      <c r="K749" t="inlineStr">
        <is>
          <t>https://www.google.com/maps/search/?api=1&amp;query=32.744250,-117.167550</t>
        </is>
      </c>
      <c r="L749" t="inlineStr"/>
      <c r="M749" t="inlineStr"/>
      <c r="N749" t="inlineStr"/>
      <c r="O749" t="inlineStr"/>
      <c r="P749" t="inlineStr">
        <is>
          <t>pending</t>
        </is>
      </c>
      <c r="Q749" t="inlineStr"/>
      <c r="R749" t="inlineStr"/>
      <c r="S749" t="inlineStr"/>
      <c r="T749" t="inlineStr"/>
      <c r="U749" t="inlineStr"/>
      <c r="V749">
        <f>IF(OR(L749="",S749=""),"",IF(VALUE(L749)=VALUE(S749),"Y","N"))</f>
        <v/>
      </c>
      <c r="W749">
        <f>IF(V749="Y",S749,"")</f>
        <v/>
      </c>
      <c r="X749" t="inlineStr">
        <is>
          <t>unverified: map has 25 mph (guessed from road type); is it 25 (carts OK) or 30+?</t>
        </is>
      </c>
      <c r="Y749" t="inlineStr"/>
      <c r="Z749" t="n">
        <v>767</v>
      </c>
      <c r="AA749" t="inlineStr">
        <is>
          <t>sd</t>
        </is>
      </c>
      <c r="AB749" t="inlineStr">
        <is>
          <t>sd|32.74425,-117.16755</t>
        </is>
      </c>
    </row>
    <row r="750">
      <c r="A750" t="inlineStr">
        <is>
          <t>SD-B2-749</t>
        </is>
      </c>
      <c r="B750" t="inlineStr">
        <is>
          <t>San Diego area</t>
        </is>
      </c>
      <c r="C750" t="inlineStr">
        <is>
          <t>Mackinnon Avenue</t>
        </is>
      </c>
      <c r="D750" t="inlineStr">
        <is>
          <t>Villa Cardiff Drive</t>
        </is>
      </c>
      <c r="E750" t="inlineStr">
        <is>
          <t>Faith Avenue</t>
        </is>
      </c>
      <c r="F750" t="inlineStr">
        <is>
          <t>26598904</t>
        </is>
      </c>
      <c r="G750" t="n">
        <v>25</v>
      </c>
      <c r="H750" t="inlineStr">
        <is>
          <t>inferred</t>
        </is>
      </c>
      <c r="I750" t="inlineStr">
        <is>
          <t>cart+LSV</t>
        </is>
      </c>
      <c r="J750" t="inlineStr">
        <is>
          <t>https://www.google.com/maps/@?api=1&amp;map_action=pano&amp;viewpoint=33.029995,-117.277295&amp;heading=180</t>
        </is>
      </c>
      <c r="K750" t="inlineStr">
        <is>
          <t>https://www.google.com/maps/search/?api=1&amp;query=33.029995,-117.277295</t>
        </is>
      </c>
      <c r="L750" t="inlineStr"/>
      <c r="M750" t="inlineStr"/>
      <c r="N750" t="inlineStr"/>
      <c r="O750" t="inlineStr"/>
      <c r="P750" t="inlineStr">
        <is>
          <t>pending</t>
        </is>
      </c>
      <c r="Q750" t="inlineStr"/>
      <c r="R750" t="inlineStr"/>
      <c r="S750" t="inlineStr"/>
      <c r="T750" t="inlineStr"/>
      <c r="U750" t="inlineStr"/>
      <c r="V750">
        <f>IF(OR(L750="",S750=""),"",IF(VALUE(L750)=VALUE(S750),"Y","N"))</f>
        <v/>
      </c>
      <c r="W750">
        <f>IF(V750="Y",S750,"")</f>
        <v/>
      </c>
      <c r="X750" t="inlineStr">
        <is>
          <t>unverified: map has 25 mph (guessed from road type); is it 25 (carts OK) or 30+?</t>
        </is>
      </c>
      <c r="Y750" t="inlineStr"/>
      <c r="Z750" t="n">
        <v>767</v>
      </c>
      <c r="AA750" t="inlineStr">
        <is>
          <t>sd</t>
        </is>
      </c>
      <c r="AB750" t="inlineStr">
        <is>
          <t>sd|33.02999,-117.27729</t>
        </is>
      </c>
    </row>
    <row r="751">
      <c r="A751" t="inlineStr">
        <is>
          <t>SD-B2-750</t>
        </is>
      </c>
      <c r="B751" t="inlineStr">
        <is>
          <t>San Diego area</t>
        </is>
      </c>
      <c r="C751" t="inlineStr">
        <is>
          <t>Avenida Encinas</t>
        </is>
      </c>
      <c r="D751" t="inlineStr">
        <is>
          <t>(see map link)</t>
        </is>
      </c>
      <c r="E751" t="inlineStr">
        <is>
          <t>Raintree Drive</t>
        </is>
      </c>
      <c r="F751" t="inlineStr">
        <is>
          <t>837276744</t>
        </is>
      </c>
      <c r="G751" t="n">
        <v>25</v>
      </c>
      <c r="H751" t="inlineStr">
        <is>
          <t>inferred</t>
        </is>
      </c>
      <c r="I751" t="inlineStr">
        <is>
          <t>cart+LSV</t>
        </is>
      </c>
      <c r="J751" t="inlineStr">
        <is>
          <t>https://www.google.com/maps/@?api=1&amp;map_action=pano&amp;viewpoint=33.109730,-117.316030&amp;heading=131</t>
        </is>
      </c>
      <c r="K751" t="inlineStr">
        <is>
          <t>https://www.google.com/maps/search/?api=1&amp;query=33.109730,-117.316030</t>
        </is>
      </c>
      <c r="L751" t="inlineStr"/>
      <c r="M751" t="inlineStr"/>
      <c r="N751" t="inlineStr"/>
      <c r="O751" t="inlineStr"/>
      <c r="P751" t="inlineStr">
        <is>
          <t>pending</t>
        </is>
      </c>
      <c r="Q751" t="inlineStr"/>
      <c r="R751" t="inlineStr"/>
      <c r="S751" t="inlineStr"/>
      <c r="T751" t="inlineStr"/>
      <c r="U751" t="inlineStr"/>
      <c r="V751">
        <f>IF(OR(L751="",S751=""),"",IF(VALUE(L751)=VALUE(S751),"Y","N"))</f>
        <v/>
      </c>
      <c r="W751">
        <f>IF(V751="Y",S751,"")</f>
        <v/>
      </c>
      <c r="X751" t="inlineStr">
        <is>
          <t>unverified: map has 25 mph (guessed from road type); is it 25 (carts OK) or 30+?</t>
        </is>
      </c>
      <c r="Y751" t="inlineStr"/>
      <c r="Z751" t="n">
        <v>767</v>
      </c>
      <c r="AA751" t="inlineStr">
        <is>
          <t>sd</t>
        </is>
      </c>
      <c r="AB751" t="inlineStr">
        <is>
          <t>sd|33.10973,-117.31603</t>
        </is>
      </c>
    </row>
    <row r="752">
      <c r="A752" t="inlineStr">
        <is>
          <t>SD-B2-751</t>
        </is>
      </c>
      <c r="B752" t="inlineStr">
        <is>
          <t>San Diego area</t>
        </is>
      </c>
      <c r="C752" t="inlineStr">
        <is>
          <t>Linda Vista Road</t>
        </is>
      </c>
      <c r="D752" t="inlineStr">
        <is>
          <t>Markham Street</t>
        </is>
      </c>
      <c r="E752" t="inlineStr">
        <is>
          <t>Stalmer Street</t>
        </is>
      </c>
      <c r="F752" t="inlineStr">
        <is>
          <t>202907841</t>
        </is>
      </c>
      <c r="G752" t="n">
        <v>35</v>
      </c>
      <c r="H752" t="inlineStr">
        <is>
          <t>tag</t>
        </is>
      </c>
      <c r="I752" t="inlineStr">
        <is>
          <t>LSV</t>
        </is>
      </c>
      <c r="J752" t="inlineStr">
        <is>
          <t>https://www.google.com/maps/@?api=1&amp;map_action=pano&amp;viewpoint=32.803385,-117.156620&amp;heading=26</t>
        </is>
      </c>
      <c r="K752" t="inlineStr">
        <is>
          <t>https://www.google.com/maps/search/?api=1&amp;query=32.803385,-117.156620</t>
        </is>
      </c>
      <c r="L752" t="inlineStr"/>
      <c r="M752" t="inlineStr"/>
      <c r="N752" t="inlineStr"/>
      <c r="O752" t="inlineStr"/>
      <c r="P752" t="inlineStr">
        <is>
          <t>pending</t>
        </is>
      </c>
      <c r="Q752" t="inlineStr"/>
      <c r="R752" t="inlineStr"/>
      <c r="S752" t="inlineStr"/>
      <c r="T752" t="inlineStr"/>
      <c r="U752" t="inlineStr"/>
      <c r="V752">
        <f>IF(OR(L752="",S752=""),"",IF(VALUE(L752)=VALUE(S752),"Y","N"))</f>
        <v/>
      </c>
      <c r="W752">
        <f>IF(V752="Y",S752,"")</f>
        <v/>
      </c>
      <c r="X752" t="inlineStr">
        <is>
          <t>unverified: map has 35 mph (OSM tag only); is it 35 (LSV OK) or 40+?</t>
        </is>
      </c>
      <c r="Y752" t="inlineStr"/>
      <c r="Z752" t="n">
        <v>664</v>
      </c>
      <c r="AA752" t="inlineStr">
        <is>
          <t>sd</t>
        </is>
      </c>
      <c r="AB752" t="inlineStr">
        <is>
          <t>sd|32.80339,-117.15662</t>
        </is>
      </c>
    </row>
    <row r="753">
      <c r="A753" t="inlineStr">
        <is>
          <t>SD-B2-752</t>
        </is>
      </c>
      <c r="B753" t="inlineStr">
        <is>
          <t>San Diego area</t>
        </is>
      </c>
      <c r="C753" t="inlineStr">
        <is>
          <t>Genesee Avenue</t>
        </is>
      </c>
      <c r="D753" t="inlineStr">
        <is>
          <t>Eastgate Mall</t>
        </is>
      </c>
      <c r="E753" t="inlineStr">
        <is>
          <t>Fez Street</t>
        </is>
      </c>
      <c r="F753" t="inlineStr">
        <is>
          <t>436419458</t>
        </is>
      </c>
      <c r="G753" t="n">
        <v>45</v>
      </c>
      <c r="H753" t="inlineStr">
        <is>
          <t>tag</t>
        </is>
      </c>
      <c r="I753" t="inlineStr">
        <is>
          <t>no</t>
        </is>
      </c>
      <c r="J753" t="inlineStr">
        <is>
          <t>https://www.google.com/maps/@?api=1&amp;map_action=pano&amp;viewpoint=32.879020,-117.214580&amp;heading=323</t>
        </is>
      </c>
      <c r="K753" t="inlineStr">
        <is>
          <t>https://www.google.com/maps/search/?api=1&amp;query=32.879020,-117.214580</t>
        </is>
      </c>
      <c r="L753" t="inlineStr"/>
      <c r="M753" t="inlineStr"/>
      <c r="N753" t="inlineStr"/>
      <c r="O753" t="inlineStr"/>
      <c r="P753" t="inlineStr">
        <is>
          <t>pending</t>
        </is>
      </c>
      <c r="Q753" t="inlineStr"/>
      <c r="R753" t="inlineStr"/>
      <c r="S753" t="inlineStr"/>
      <c r="T753" t="inlineStr"/>
      <c r="U753" t="inlineStr"/>
      <c r="V753">
        <f>IF(OR(L753="",S753=""),"",IF(VALUE(L753)=VALUE(S753),"Y","N"))</f>
        <v/>
      </c>
      <c r="W753">
        <f>IF(V753="Y",S753,"")</f>
        <v/>
      </c>
      <c r="X753" t="inlineStr">
        <is>
          <t>unverified: map has 45 mph (OSM tag only); main road: what is posted? 35 or lower opens it to LSVs</t>
        </is>
      </c>
      <c r="Y753" t="inlineStr"/>
      <c r="Z753" t="n">
        <v>664</v>
      </c>
      <c r="AA753" t="inlineStr">
        <is>
          <t>sd</t>
        </is>
      </c>
      <c r="AB753" t="inlineStr">
        <is>
          <t>sd|32.87902,-117.21458</t>
        </is>
      </c>
    </row>
    <row r="754">
      <c r="A754" t="inlineStr">
        <is>
          <t>SD-B2-753</t>
        </is>
      </c>
      <c r="B754" t="inlineStr">
        <is>
          <t>San Diego area</t>
        </is>
      </c>
      <c r="C754" t="inlineStr">
        <is>
          <t>Hilltop Drive</t>
        </is>
      </c>
      <c r="D754" t="inlineStr">
        <is>
          <t>Quail Street</t>
        </is>
      </c>
      <c r="E754" t="inlineStr">
        <is>
          <t>39th Street</t>
        </is>
      </c>
      <c r="F754" t="inlineStr">
        <is>
          <t>5946285</t>
        </is>
      </c>
      <c r="G754" t="n">
        <v>25</v>
      </c>
      <c r="H754" t="inlineStr">
        <is>
          <t>inferred</t>
        </is>
      </c>
      <c r="I754" t="inlineStr">
        <is>
          <t>cart+LSV</t>
        </is>
      </c>
      <c r="J754" t="inlineStr">
        <is>
          <t>https://www.google.com/maps/@?api=1&amp;map_action=pano&amp;viewpoint=32.715120,-117.105400&amp;heading=90</t>
        </is>
      </c>
      <c r="K754" t="inlineStr">
        <is>
          <t>https://www.google.com/maps/search/?api=1&amp;query=32.715120,-117.105400</t>
        </is>
      </c>
      <c r="L754" t="inlineStr"/>
      <c r="M754" t="inlineStr"/>
      <c r="N754" t="inlineStr"/>
      <c r="O754" t="inlineStr"/>
      <c r="P754" t="inlineStr">
        <is>
          <t>pending</t>
        </is>
      </c>
      <c r="Q754" t="inlineStr"/>
      <c r="R754" t="inlineStr"/>
      <c r="S754" t="inlineStr"/>
      <c r="T754" t="inlineStr"/>
      <c r="U754" t="inlineStr"/>
      <c r="V754">
        <f>IF(OR(L754="",S754=""),"",IF(VALUE(L754)=VALUE(S754),"Y","N"))</f>
        <v/>
      </c>
      <c r="W754">
        <f>IF(V754="Y",S754,"")</f>
        <v/>
      </c>
      <c r="X754" t="inlineStr">
        <is>
          <t>unverified: map has 25 mph (guessed from road type); is it 25 (carts OK) or 30+?</t>
        </is>
      </c>
      <c r="Y754" t="inlineStr"/>
      <c r="Z754" t="n">
        <v>766</v>
      </c>
      <c r="AA754" t="inlineStr">
        <is>
          <t>sd</t>
        </is>
      </c>
      <c r="AB754" t="inlineStr">
        <is>
          <t>sd|32.71512,-117.10540</t>
        </is>
      </c>
    </row>
    <row r="755">
      <c r="A755" t="inlineStr">
        <is>
          <t>SD-B2-754</t>
        </is>
      </c>
      <c r="B755" t="inlineStr">
        <is>
          <t>San Diego area</t>
        </is>
      </c>
      <c r="C755" t="inlineStr">
        <is>
          <t>Del Mar Scenic Parkway</t>
        </is>
      </c>
      <c r="D755" t="inlineStr">
        <is>
          <t>Caminito del Canto</t>
        </is>
      </c>
      <c r="E755" t="inlineStr">
        <is>
          <t>Carmel Valley Road</t>
        </is>
      </c>
      <c r="F755" t="inlineStr">
        <is>
          <t>201067341</t>
        </is>
      </c>
      <c r="G755" t="n">
        <v>25</v>
      </c>
      <c r="H755" t="inlineStr">
        <is>
          <t>inferred</t>
        </is>
      </c>
      <c r="I755" t="inlineStr">
        <is>
          <t>cart+LSV</t>
        </is>
      </c>
      <c r="J755" t="inlineStr">
        <is>
          <t>https://www.google.com/maps/@?api=1&amp;map_action=pano&amp;viewpoint=32.936280,-117.255820&amp;heading=79</t>
        </is>
      </c>
      <c r="K755" t="inlineStr">
        <is>
          <t>https://www.google.com/maps/search/?api=1&amp;query=32.936280,-117.255820</t>
        </is>
      </c>
      <c r="L755" t="inlineStr"/>
      <c r="M755" t="inlineStr"/>
      <c r="N755" t="inlineStr"/>
      <c r="O755" t="inlineStr"/>
      <c r="P755" t="inlineStr">
        <is>
          <t>pending</t>
        </is>
      </c>
      <c r="Q755" t="inlineStr"/>
      <c r="R755" t="inlineStr"/>
      <c r="S755" t="inlineStr"/>
      <c r="T755" t="inlineStr"/>
      <c r="U755" t="inlineStr"/>
      <c r="V755">
        <f>IF(OR(L755="",S755=""),"",IF(VALUE(L755)=VALUE(S755),"Y","N"))</f>
        <v/>
      </c>
      <c r="W755">
        <f>IF(V755="Y",S755,"")</f>
        <v/>
      </c>
      <c r="X755" t="inlineStr">
        <is>
          <t>unverified: map has 25 mph (guessed from road type); is it 25 (carts OK) or 30+?</t>
        </is>
      </c>
      <c r="Y755" t="inlineStr"/>
      <c r="Z755" t="n">
        <v>766</v>
      </c>
      <c r="AA755" t="inlineStr">
        <is>
          <t>sd</t>
        </is>
      </c>
      <c r="AB755" t="inlineStr">
        <is>
          <t>sd|32.93628,-117.25582</t>
        </is>
      </c>
    </row>
    <row r="756">
      <c r="A756" t="inlineStr">
        <is>
          <t>SD-B2-755</t>
        </is>
      </c>
      <c r="B756" t="inlineStr">
        <is>
          <t>San Diego area</t>
        </is>
      </c>
      <c r="C756" t="inlineStr">
        <is>
          <t>Via de Fortuna</t>
        </is>
      </c>
      <c r="D756" t="inlineStr">
        <is>
          <t>San Elijo Avenue</t>
        </is>
      </c>
      <c r="E756" t="inlineStr">
        <is>
          <t>El Mirlo</t>
        </is>
      </c>
      <c r="F756" t="inlineStr">
        <is>
          <t>5971880</t>
        </is>
      </c>
      <c r="G756" t="n">
        <v>45</v>
      </c>
      <c r="H756" t="inlineStr">
        <is>
          <t>mapillary</t>
        </is>
      </c>
      <c r="I756" t="inlineStr">
        <is>
          <t>no</t>
        </is>
      </c>
      <c r="J756" t="inlineStr">
        <is>
          <t>https://www.google.com/maps/@?api=1&amp;map_action=pano&amp;viewpoint=33.025800,-117.224490&amp;heading=52</t>
        </is>
      </c>
      <c r="K756" t="inlineStr">
        <is>
          <t>https://www.google.com/maps/search/?api=1&amp;query=33.025800,-117.224490</t>
        </is>
      </c>
      <c r="L756" t="inlineStr"/>
      <c r="M756" t="inlineStr"/>
      <c r="N756" t="inlineStr"/>
      <c r="O756" t="inlineStr"/>
      <c r="P756" t="inlineStr">
        <is>
          <t>pending</t>
        </is>
      </c>
      <c r="Q756" t="inlineStr"/>
      <c r="R756" t="inlineStr"/>
      <c r="S756" t="inlineStr"/>
      <c r="T756" t="inlineStr">
        <is>
          <t>Mapillary: 6 posted 45 mph sign(s) detected</t>
        </is>
      </c>
      <c r="U756" t="inlineStr">
        <is>
          <t>https://www.mapillary.com/app/?lat=33.024900&amp;lng=-117.224900&amp;z=19&amp;focus=map&amp;mapFeatureId=897752080855575</t>
        </is>
      </c>
      <c r="V756">
        <f>IF(OR(L756="",S756=""),"",IF(VALUE(L756)=VALUE(S756),"Y","N"))</f>
        <v/>
      </c>
      <c r="W756">
        <f>IF(V756="Y",S756,"")</f>
        <v/>
      </c>
      <c r="X756" t="inlineStr">
        <is>
          <t>unverified: map has 45 mph (one Mapillary sign); main road: what is posted? 35 or lower opens it to LSVs</t>
        </is>
      </c>
      <c r="Y756" t="inlineStr"/>
      <c r="Z756" t="n">
        <v>1244</v>
      </c>
      <c r="AA756" t="inlineStr">
        <is>
          <t>sd</t>
        </is>
      </c>
      <c r="AB756" t="inlineStr">
        <is>
          <t>sd|33.02580,-117.22449</t>
        </is>
      </c>
    </row>
    <row r="757">
      <c r="A757" t="inlineStr">
        <is>
          <t>SD-B2-756</t>
        </is>
      </c>
      <c r="B757" t="inlineStr">
        <is>
          <t>San Diego area</t>
        </is>
      </c>
      <c r="C757" t="inlineStr">
        <is>
          <t>Mission Avenue</t>
        </is>
      </c>
      <c r="D757" t="inlineStr">
        <is>
          <t>North Myers Street</t>
        </is>
      </c>
      <c r="E757" t="inlineStr">
        <is>
          <t>North Cleveland Street</t>
        </is>
      </c>
      <c r="F757" t="inlineStr">
        <is>
          <t>504489518</t>
        </is>
      </c>
      <c r="G757" t="inlineStr"/>
      <c r="H757" t="inlineStr">
        <is>
          <t>inferred</t>
        </is>
      </c>
      <c r="I757" t="inlineStr">
        <is>
          <t>no</t>
        </is>
      </c>
      <c r="J757" t="inlineStr">
        <is>
          <t>https://www.google.com/maps/@?api=1&amp;map_action=pano&amp;viewpoint=33.194950,-117.381280&amp;heading=257</t>
        </is>
      </c>
      <c r="K757" t="inlineStr">
        <is>
          <t>https://www.google.com/maps/search/?api=1&amp;query=33.194950,-117.381280</t>
        </is>
      </c>
      <c r="L757" t="inlineStr"/>
      <c r="M757" t="inlineStr"/>
      <c r="N757" t="inlineStr"/>
      <c r="O757" t="inlineStr"/>
      <c r="P757" t="inlineStr">
        <is>
          <t>pending</t>
        </is>
      </c>
      <c r="Q757" t="inlineStr"/>
      <c r="R757" t="inlineStr"/>
      <c r="S757" t="inlineStr"/>
      <c r="T757" t="inlineStr"/>
      <c r="U757" t="inlineStr"/>
      <c r="V757">
        <f>IF(OR(L757="",S757=""),"",IF(VALUE(L757)=VALUE(S757),"Y","N"))</f>
        <v/>
      </c>
      <c r="W757">
        <f>IF(V757="Y",S757,"")</f>
        <v/>
      </c>
      <c r="X757" t="inlineStr">
        <is>
          <t>unverified: map has no limit (guessed from road type); main road: what is posted? 35 or lower opens it to LSVs</t>
        </is>
      </c>
      <c r="Y757" t="inlineStr"/>
      <c r="Z757" t="n">
        <v>612</v>
      </c>
      <c r="AA757" t="inlineStr">
        <is>
          <t>sd</t>
        </is>
      </c>
      <c r="AB757" t="inlineStr">
        <is>
          <t>sd|33.19495,-117.38128</t>
        </is>
      </c>
    </row>
    <row r="758">
      <c r="A758" t="inlineStr">
        <is>
          <t>SD-B2-757</t>
        </is>
      </c>
      <c r="B758" t="inlineStr">
        <is>
          <t>San Diego area</t>
        </is>
      </c>
      <c r="C758" t="inlineStr">
        <is>
          <t>Opportunity Road</t>
        </is>
      </c>
      <c r="D758" t="inlineStr">
        <is>
          <t>Cardin Street</t>
        </is>
      </c>
      <c r="E758" t="inlineStr">
        <is>
          <t>Convoy Street</t>
        </is>
      </c>
      <c r="F758" t="inlineStr">
        <is>
          <t>6013355</t>
        </is>
      </c>
      <c r="G758" t="n">
        <v>25</v>
      </c>
      <c r="H758" t="inlineStr">
        <is>
          <t>inferred</t>
        </is>
      </c>
      <c r="I758" t="inlineStr">
        <is>
          <t>cart+LSV</t>
        </is>
      </c>
      <c r="J758" t="inlineStr">
        <is>
          <t>https://www.google.com/maps/@?api=1&amp;map_action=pano&amp;viewpoint=32.825370,-117.158770&amp;heading=89</t>
        </is>
      </c>
      <c r="K758" t="inlineStr">
        <is>
          <t>https://www.google.com/maps/search/?api=1&amp;query=32.825370,-117.158770</t>
        </is>
      </c>
      <c r="L758" t="inlineStr"/>
      <c r="M758" t="inlineStr"/>
      <c r="N758" t="inlineStr"/>
      <c r="O758" t="inlineStr"/>
      <c r="P758" t="inlineStr">
        <is>
          <t>pending</t>
        </is>
      </c>
      <c r="Q758" t="inlineStr"/>
      <c r="R758" t="inlineStr"/>
      <c r="S758" t="inlineStr"/>
      <c r="T758" t="inlineStr"/>
      <c r="U758" t="inlineStr"/>
      <c r="V758">
        <f>IF(OR(L758="",S758=""),"",IF(VALUE(L758)=VALUE(S758),"Y","N"))</f>
        <v/>
      </c>
      <c r="W758">
        <f>IF(V758="Y",S758,"")</f>
        <v/>
      </c>
      <c r="X758" t="inlineStr">
        <is>
          <t>unverified: map has 25 mph (guessed from road type); is it 25 (carts OK) or 30+?</t>
        </is>
      </c>
      <c r="Y758" t="inlineStr"/>
      <c r="Z758" t="n">
        <v>764</v>
      </c>
      <c r="AA758" t="inlineStr">
        <is>
          <t>sd</t>
        </is>
      </c>
      <c r="AB758" t="inlineStr">
        <is>
          <t>sd|32.82537,-117.15877</t>
        </is>
      </c>
    </row>
    <row r="759">
      <c r="A759" t="inlineStr">
        <is>
          <t>SD-B2-758</t>
        </is>
      </c>
      <c r="B759" t="inlineStr">
        <is>
          <t>San Diego area</t>
        </is>
      </c>
      <c r="C759" t="inlineStr">
        <is>
          <t>Trade Street</t>
        </is>
      </c>
      <c r="D759" t="inlineStr">
        <is>
          <t>(see map link)</t>
        </is>
      </c>
      <c r="E759" t="inlineStr">
        <is>
          <t>Trade Place</t>
        </is>
      </c>
      <c r="F759" t="inlineStr">
        <is>
          <t>5962637</t>
        </is>
      </c>
      <c r="G759" t="n">
        <v>40</v>
      </c>
      <c r="H759" t="inlineStr">
        <is>
          <t>mapillary</t>
        </is>
      </c>
      <c r="I759" t="inlineStr">
        <is>
          <t>no</t>
        </is>
      </c>
      <c r="J759" t="inlineStr">
        <is>
          <t>https://www.google.com/maps/@?api=1&amp;map_action=pano&amp;viewpoint=32.889135,-117.157390&amp;heading=90</t>
        </is>
      </c>
      <c r="K759" t="inlineStr">
        <is>
          <t>https://www.google.com/maps/search/?api=1&amp;query=32.889135,-117.157390</t>
        </is>
      </c>
      <c r="L759" t="inlineStr"/>
      <c r="M759" t="inlineStr"/>
      <c r="N759" t="inlineStr"/>
      <c r="O759" t="inlineStr"/>
      <c r="P759" t="inlineStr">
        <is>
          <t>pending</t>
        </is>
      </c>
      <c r="Q759" t="inlineStr"/>
      <c r="R759" t="inlineStr"/>
      <c r="S759" t="inlineStr"/>
      <c r="T759" t="inlineStr">
        <is>
          <t>Mapillary: 3 posted 40 mph sign(s) detected</t>
        </is>
      </c>
      <c r="U759" t="inlineStr">
        <is>
          <t>https://www.mapillary.com/app/?lat=32.889150&amp;lng=-117.153656&amp;z=19&amp;focus=map&amp;mapFeatureId=2149292005614843</t>
        </is>
      </c>
      <c r="V759">
        <f>IF(OR(L759="",S759=""),"",IF(VALUE(L759)=VALUE(S759),"Y","N"))</f>
        <v/>
      </c>
      <c r="W759">
        <f>IF(V759="Y",S759,"")</f>
        <v/>
      </c>
      <c r="X759" t="inlineStr">
        <is>
          <t>unverified: map has 40 mph (one Mapillary sign); is it 35 (LSV OK) or 40+?</t>
        </is>
      </c>
      <c r="Y759" t="inlineStr"/>
      <c r="Z759" t="n">
        <v>1241</v>
      </c>
      <c r="AA759" t="inlineStr">
        <is>
          <t>sd</t>
        </is>
      </c>
      <c r="AB759" t="inlineStr">
        <is>
          <t>sd|32.88913,-117.15739</t>
        </is>
      </c>
    </row>
    <row r="760">
      <c r="A760" t="inlineStr">
        <is>
          <t>SD-B2-759</t>
        </is>
      </c>
      <c r="B760" t="inlineStr">
        <is>
          <t>San Diego area</t>
        </is>
      </c>
      <c r="C760" t="inlineStr">
        <is>
          <t>Harbor Island Drive</t>
        </is>
      </c>
      <c r="D760" t="inlineStr">
        <is>
          <t>(see map link)</t>
        </is>
      </c>
      <c r="E760" t="inlineStr">
        <is>
          <t>North Harbor Drive</t>
        </is>
      </c>
      <c r="F760" t="inlineStr">
        <is>
          <t>436302494</t>
        </is>
      </c>
      <c r="G760" t="n">
        <v>25</v>
      </c>
      <c r="H760" t="inlineStr">
        <is>
          <t>inferred</t>
        </is>
      </c>
      <c r="I760" t="inlineStr">
        <is>
          <t>cart+LSV</t>
        </is>
      </c>
      <c r="J760" t="inlineStr">
        <is>
          <t>https://www.google.com/maps/@?api=1&amp;map_action=pano&amp;viewpoint=32.725260,-117.197480&amp;heading=234</t>
        </is>
      </c>
      <c r="K760" t="inlineStr">
        <is>
          <t>https://www.google.com/maps/search/?api=1&amp;query=32.725260,-117.197480</t>
        </is>
      </c>
      <c r="L760" t="inlineStr"/>
      <c r="M760" t="inlineStr"/>
      <c r="N760" t="inlineStr"/>
      <c r="O760" t="inlineStr"/>
      <c r="P760" t="inlineStr">
        <is>
          <t>pending</t>
        </is>
      </c>
      <c r="Q760" t="inlineStr"/>
      <c r="R760" t="inlineStr"/>
      <c r="S760" t="inlineStr"/>
      <c r="T760" t="inlineStr"/>
      <c r="U760" t="inlineStr"/>
      <c r="V760">
        <f>IF(OR(L760="",S760=""),"",IF(VALUE(L760)=VALUE(S760),"Y","N"))</f>
        <v/>
      </c>
      <c r="W760">
        <f>IF(V760="Y",S760,"")</f>
        <v/>
      </c>
      <c r="X760" t="inlineStr">
        <is>
          <t>unverified: map has 25 mph (guessed from road type); is it 25 (carts OK) or 30+?</t>
        </is>
      </c>
      <c r="Y760" t="inlineStr"/>
      <c r="Z760" t="n">
        <v>762</v>
      </c>
      <c r="AA760" t="inlineStr">
        <is>
          <t>sd</t>
        </is>
      </c>
      <c r="AB760" t="inlineStr">
        <is>
          <t>sd|32.72526,-117.19748</t>
        </is>
      </c>
    </row>
    <row r="761">
      <c r="A761" t="inlineStr">
        <is>
          <t>SD-B2-760</t>
        </is>
      </c>
      <c r="B761" t="inlineStr">
        <is>
          <t>San Diego area</t>
        </is>
      </c>
      <c r="C761" t="inlineStr">
        <is>
          <t>Sports Arena Boulevard</t>
        </is>
      </c>
      <c r="D761" t="inlineStr">
        <is>
          <t>Rosecrans Street</t>
        </is>
      </c>
      <c r="E761" t="inlineStr">
        <is>
          <t>East Drive</t>
        </is>
      </c>
      <c r="F761" t="inlineStr">
        <is>
          <t>961707123</t>
        </is>
      </c>
      <c r="G761" t="n">
        <v>35</v>
      </c>
      <c r="H761" t="inlineStr">
        <is>
          <t>tag</t>
        </is>
      </c>
      <c r="I761" t="inlineStr">
        <is>
          <t>LSV</t>
        </is>
      </c>
      <c r="J761" t="inlineStr">
        <is>
          <t>https://www.google.com/maps/@?api=1&amp;map_action=pano&amp;viewpoint=32.753475,-117.210170&amp;heading=283</t>
        </is>
      </c>
      <c r="K761" t="inlineStr">
        <is>
          <t>https://www.google.com/maps/search/?api=1&amp;query=32.753475,-117.210170</t>
        </is>
      </c>
      <c r="L761" t="inlineStr"/>
      <c r="M761" t="inlineStr"/>
      <c r="N761" t="inlineStr"/>
      <c r="O761" t="inlineStr"/>
      <c r="P761" t="inlineStr">
        <is>
          <t>pending</t>
        </is>
      </c>
      <c r="Q761" t="inlineStr"/>
      <c r="R761" t="inlineStr"/>
      <c r="S761" t="inlineStr"/>
      <c r="T761" t="inlineStr"/>
      <c r="U761" t="inlineStr"/>
      <c r="V761">
        <f>IF(OR(L761="",S761=""),"",IF(VALUE(L761)=VALUE(S761),"Y","N"))</f>
        <v/>
      </c>
      <c r="W761">
        <f>IF(V761="Y",S761,"")</f>
        <v/>
      </c>
      <c r="X761" t="inlineStr">
        <is>
          <t>unverified: map has 35 mph (OSM tag only); is it 35 (LSV OK) or 40+?</t>
        </is>
      </c>
      <c r="Y761" t="inlineStr"/>
      <c r="Z761" t="n">
        <v>792</v>
      </c>
      <c r="AA761" t="inlineStr">
        <is>
          <t>sd</t>
        </is>
      </c>
      <c r="AB761" t="inlineStr">
        <is>
          <t>sd|32.75348,-117.21017</t>
        </is>
      </c>
    </row>
    <row r="762">
      <c r="A762" t="inlineStr">
        <is>
          <t>SD-B2-761</t>
        </is>
      </c>
      <c r="B762" t="inlineStr">
        <is>
          <t>San Diego area</t>
        </is>
      </c>
      <c r="C762" t="inlineStr">
        <is>
          <t>Elaine Avenue</t>
        </is>
      </c>
      <c r="D762" t="inlineStr">
        <is>
          <t>Gold Drive</t>
        </is>
      </c>
      <c r="E762" t="inlineStr">
        <is>
          <t>Claire Drive</t>
        </is>
      </c>
      <c r="F762" t="inlineStr">
        <is>
          <t>1460868116</t>
        </is>
      </c>
      <c r="G762" t="n">
        <v>25</v>
      </c>
      <c r="H762" t="inlineStr">
        <is>
          <t>inferred</t>
        </is>
      </c>
      <c r="I762" t="inlineStr">
        <is>
          <t>cart+LSV</t>
        </is>
      </c>
      <c r="J762" t="inlineStr">
        <is>
          <t>https://www.google.com/maps/@?api=1&amp;map_action=pano&amp;viewpoint=33.257115,-117.299605&amp;heading=9</t>
        </is>
      </c>
      <c r="K762" t="inlineStr">
        <is>
          <t>https://www.google.com/maps/search/?api=1&amp;query=33.257115,-117.299605</t>
        </is>
      </c>
      <c r="L762" t="inlineStr"/>
      <c r="M762" t="inlineStr"/>
      <c r="N762" t="inlineStr"/>
      <c r="O762" t="inlineStr"/>
      <c r="P762" t="inlineStr">
        <is>
          <t>pending</t>
        </is>
      </c>
      <c r="Q762" t="inlineStr"/>
      <c r="R762" t="inlineStr"/>
      <c r="S762" t="inlineStr"/>
      <c r="T762" t="inlineStr"/>
      <c r="U762" t="inlineStr"/>
      <c r="V762">
        <f>IF(OR(L762="",S762=""),"",IF(VALUE(L762)=VALUE(S762),"Y","N"))</f>
        <v/>
      </c>
      <c r="W762">
        <f>IF(V762="Y",S762,"")</f>
        <v/>
      </c>
      <c r="X762" t="inlineStr">
        <is>
          <t>unverified: map has 25 mph (guessed from road type); is it 25 (carts OK) or 30+?</t>
        </is>
      </c>
      <c r="Y762" t="inlineStr"/>
      <c r="Z762" t="n">
        <v>761</v>
      </c>
      <c r="AA762" t="inlineStr">
        <is>
          <t>sd</t>
        </is>
      </c>
      <c r="AB762" t="inlineStr">
        <is>
          <t>sd|33.25711,-117.29960</t>
        </is>
      </c>
    </row>
    <row r="763">
      <c r="A763" t="inlineStr">
        <is>
          <t>SD-B2-762</t>
        </is>
      </c>
      <c r="B763" t="inlineStr">
        <is>
          <t>San Diego area</t>
        </is>
      </c>
      <c r="C763" t="inlineStr">
        <is>
          <t>East Beech Street</t>
        </is>
      </c>
      <c r="D763" t="inlineStr">
        <is>
          <t>4th Avenue</t>
        </is>
      </c>
      <c r="E763" t="inlineStr">
        <is>
          <t>2nd Avenue</t>
        </is>
      </c>
      <c r="F763" t="inlineStr"/>
      <c r="G763" t="n">
        <v>25</v>
      </c>
      <c r="H763" t="inlineStr">
        <is>
          <t>inferred</t>
        </is>
      </c>
      <c r="I763" t="inlineStr">
        <is>
          <t>cart+LSV</t>
        </is>
      </c>
      <c r="J763" t="inlineStr">
        <is>
          <t>https://www.google.com/maps/@?api=1&amp;map_action=pano&amp;viewpoint=32.720945,-117.158845&amp;heading=91</t>
        </is>
      </c>
      <c r="K763" t="inlineStr">
        <is>
          <t>https://www.google.com/maps/search/?api=1&amp;query=32.720945,-117.158845</t>
        </is>
      </c>
      <c r="L763" t="inlineStr"/>
      <c r="M763" t="inlineStr"/>
      <c r="N763" t="inlineStr"/>
      <c r="O763" t="inlineStr"/>
      <c r="P763" t="inlineStr">
        <is>
          <t>pending</t>
        </is>
      </c>
      <c r="Q763" t="inlineStr"/>
      <c r="R763" t="inlineStr"/>
      <c r="S763" t="inlineStr"/>
      <c r="T763" t="inlineStr"/>
      <c r="U763" t="inlineStr"/>
      <c r="V763">
        <f>IF(OR(L763="",S763=""),"",IF(VALUE(L763)=VALUE(S763),"Y","N"))</f>
        <v/>
      </c>
      <c r="W763">
        <f>IF(V763="Y",S763,"")</f>
        <v/>
      </c>
      <c r="X763" t="inlineStr">
        <is>
          <t>unverified: map has 25 mph (guessed from road type); is it 25 (carts OK) or 30+?</t>
        </is>
      </c>
      <c r="Y763" t="inlineStr"/>
      <c r="Z763" t="n">
        <v>760</v>
      </c>
      <c r="AA763" t="inlineStr">
        <is>
          <t>sd</t>
        </is>
      </c>
      <c r="AB763" t="inlineStr">
        <is>
          <t>sd|32.72095,-117.15884</t>
        </is>
      </c>
    </row>
    <row r="764">
      <c r="A764" t="inlineStr">
        <is>
          <t>SD-B2-763</t>
        </is>
      </c>
      <c r="B764" t="inlineStr">
        <is>
          <t>San Diego area</t>
        </is>
      </c>
      <c r="C764" t="inlineStr">
        <is>
          <t>24th Street</t>
        </is>
      </c>
      <c r="D764" t="inlineStr">
        <is>
          <t>Imperial Avenue</t>
        </is>
      </c>
      <c r="E764" t="inlineStr">
        <is>
          <t>Commercial Street</t>
        </is>
      </c>
      <c r="F764" t="inlineStr">
        <is>
          <t>5965886</t>
        </is>
      </c>
      <c r="G764" t="n">
        <v>25</v>
      </c>
      <c r="H764" t="inlineStr">
        <is>
          <t>inferred</t>
        </is>
      </c>
      <c r="I764" t="inlineStr">
        <is>
          <t>cart+LSV</t>
        </is>
      </c>
      <c r="J764" t="inlineStr">
        <is>
          <t>https://www.google.com/maps/@?api=1&amp;map_action=pano&amp;viewpoint=32.708680,-117.142445&amp;heading=359</t>
        </is>
      </c>
      <c r="K764" t="inlineStr">
        <is>
          <t>https://www.google.com/maps/search/?api=1&amp;query=32.708680,-117.142445</t>
        </is>
      </c>
      <c r="L764" t="inlineStr"/>
      <c r="M764" t="inlineStr"/>
      <c r="N764" t="inlineStr"/>
      <c r="O764" t="inlineStr"/>
      <c r="P764" t="inlineStr">
        <is>
          <t>pending</t>
        </is>
      </c>
      <c r="Q764" t="inlineStr"/>
      <c r="R764" t="inlineStr"/>
      <c r="S764" t="inlineStr"/>
      <c r="T764" t="inlineStr"/>
      <c r="U764" t="inlineStr"/>
      <c r="V764">
        <f>IF(OR(L764="",S764=""),"",IF(VALUE(L764)=VALUE(S764),"Y","N"))</f>
        <v/>
      </c>
      <c r="W764">
        <f>IF(V764="Y",S764,"")</f>
        <v/>
      </c>
      <c r="X764" t="inlineStr">
        <is>
          <t>unverified: map has 25 mph (guessed from road type); is it 25 (carts OK) or 30+?</t>
        </is>
      </c>
      <c r="Y764" t="inlineStr"/>
      <c r="Z764" t="n">
        <v>760</v>
      </c>
      <c r="AA764" t="inlineStr">
        <is>
          <t>sd</t>
        </is>
      </c>
      <c r="AB764" t="inlineStr">
        <is>
          <t>sd|32.70868,-117.14244</t>
        </is>
      </c>
    </row>
    <row r="765">
      <c r="A765" t="inlineStr">
        <is>
          <t>SD-B2-764</t>
        </is>
      </c>
      <c r="B765" t="inlineStr">
        <is>
          <t>San Diego area</t>
        </is>
      </c>
      <c r="C765" t="inlineStr">
        <is>
          <t>Carmel Country Road</t>
        </is>
      </c>
      <c r="D765" t="inlineStr">
        <is>
          <t>Carmel Creek Road</t>
        </is>
      </c>
      <c r="E765" t="inlineStr">
        <is>
          <t>Carmel Mission Road</t>
        </is>
      </c>
      <c r="F765" t="inlineStr">
        <is>
          <t>1084626702</t>
        </is>
      </c>
      <c r="G765" t="n">
        <v>40</v>
      </c>
      <c r="H765" t="inlineStr">
        <is>
          <t>tag</t>
        </is>
      </c>
      <c r="I765" t="inlineStr">
        <is>
          <t>no</t>
        </is>
      </c>
      <c r="J765" t="inlineStr">
        <is>
          <t>https://www.google.com/maps/@?api=1&amp;map_action=pano&amp;viewpoint=32.946280,-117.225090&amp;heading=286</t>
        </is>
      </c>
      <c r="K765" t="inlineStr">
        <is>
          <t>https://www.google.com/maps/search/?api=1&amp;query=32.946280,-117.225090</t>
        </is>
      </c>
      <c r="L765" t="inlineStr"/>
      <c r="M765" t="inlineStr"/>
      <c r="N765" t="inlineStr"/>
      <c r="O765" t="inlineStr"/>
      <c r="P765" t="inlineStr">
        <is>
          <t>pending</t>
        </is>
      </c>
      <c r="Q765" t="inlineStr"/>
      <c r="R765" t="inlineStr"/>
      <c r="S765" t="inlineStr"/>
      <c r="T765" t="inlineStr"/>
      <c r="U765" t="inlineStr"/>
      <c r="V765">
        <f>IF(OR(L765="",S765=""),"",IF(VALUE(L765)=VALUE(S765),"Y","N"))</f>
        <v/>
      </c>
      <c r="W765">
        <f>IF(V765="Y",S765,"")</f>
        <v/>
      </c>
      <c r="X765" t="inlineStr">
        <is>
          <t>unverified: map has 40 mph (OSM tag only); is it 35 (LSV OK) or 40+?</t>
        </is>
      </c>
      <c r="Y765" t="inlineStr"/>
      <c r="Z765" t="n">
        <v>790</v>
      </c>
      <c r="AA765" t="inlineStr">
        <is>
          <t>sd</t>
        </is>
      </c>
      <c r="AB765" t="inlineStr">
        <is>
          <t>sd|32.94628,-117.22509</t>
        </is>
      </c>
    </row>
    <row r="766">
      <c r="A766" t="inlineStr">
        <is>
          <t>SD-B2-765</t>
        </is>
      </c>
      <c r="B766" t="inlineStr">
        <is>
          <t>San Diego area</t>
        </is>
      </c>
      <c r="C766" t="inlineStr">
        <is>
          <t>Kantor Street</t>
        </is>
      </c>
      <c r="D766" t="inlineStr">
        <is>
          <t>Gullstrand Street</t>
        </is>
      </c>
      <c r="E766" t="inlineStr">
        <is>
          <t>Governor Drive</t>
        </is>
      </c>
      <c r="F766" t="inlineStr">
        <is>
          <t>6047809</t>
        </is>
      </c>
      <c r="G766" t="n">
        <v>25</v>
      </c>
      <c r="H766" t="inlineStr">
        <is>
          <t>inferred</t>
        </is>
      </c>
      <c r="I766" t="inlineStr">
        <is>
          <t>cart+LSV</t>
        </is>
      </c>
      <c r="J766" t="inlineStr">
        <is>
          <t>https://www.google.com/maps/@?api=1&amp;map_action=pano&amp;viewpoint=32.849150,-117.192650&amp;heading=56</t>
        </is>
      </c>
      <c r="K766" t="inlineStr">
        <is>
          <t>https://www.google.com/maps/search/?api=1&amp;query=32.849150,-117.192650</t>
        </is>
      </c>
      <c r="L766" t="inlineStr"/>
      <c r="M766" t="inlineStr"/>
      <c r="N766" t="inlineStr"/>
      <c r="O766" t="inlineStr"/>
      <c r="P766" t="inlineStr">
        <is>
          <t>pending</t>
        </is>
      </c>
      <c r="Q766" t="inlineStr"/>
      <c r="R766" t="inlineStr"/>
      <c r="S766" t="inlineStr"/>
      <c r="T766" t="inlineStr"/>
      <c r="U766" t="inlineStr"/>
      <c r="V766">
        <f>IF(OR(L766="",S766=""),"",IF(VALUE(L766)=VALUE(S766),"Y","N"))</f>
        <v/>
      </c>
      <c r="W766">
        <f>IF(V766="Y",S766,"")</f>
        <v/>
      </c>
      <c r="X766" t="inlineStr">
        <is>
          <t>unverified: map has 25 mph (guessed from road type); is it 25 (carts OK) or 30+?</t>
        </is>
      </c>
      <c r="Y766" t="inlineStr"/>
      <c r="Z766" t="n">
        <v>756</v>
      </c>
      <c r="AA766" t="inlineStr">
        <is>
          <t>sd</t>
        </is>
      </c>
      <c r="AB766" t="inlineStr">
        <is>
          <t>sd|32.84915,-117.19265</t>
        </is>
      </c>
    </row>
    <row r="767">
      <c r="A767" t="inlineStr">
        <is>
          <t>SD-B2-766</t>
        </is>
      </c>
      <c r="B767" t="inlineStr">
        <is>
          <t>San Diego area</t>
        </is>
      </c>
      <c r="C767" t="inlineStr">
        <is>
          <t>Clairemont Mesa Boulevard</t>
        </is>
      </c>
      <c r="D767" t="inlineStr">
        <is>
          <t>Convoy Street</t>
        </is>
      </c>
      <c r="E767" t="inlineStr">
        <is>
          <t>Ruffner Street</t>
        </is>
      </c>
      <c r="F767" t="inlineStr">
        <is>
          <t>367044285</t>
        </is>
      </c>
      <c r="G767" t="n">
        <v>35</v>
      </c>
      <c r="H767" t="inlineStr">
        <is>
          <t>tag</t>
        </is>
      </c>
      <c r="I767" t="inlineStr">
        <is>
          <t>LSV</t>
        </is>
      </c>
      <c r="J767" t="inlineStr">
        <is>
          <t>https://www.google.com/maps/@?api=1&amp;map_action=pano&amp;viewpoint=32.832655,-117.155455&amp;heading=89</t>
        </is>
      </c>
      <c r="K767" t="inlineStr">
        <is>
          <t>https://www.google.com/maps/search/?api=1&amp;query=32.832655,-117.155455</t>
        </is>
      </c>
      <c r="L767" t="inlineStr"/>
      <c r="M767" t="inlineStr"/>
      <c r="N767" t="inlineStr"/>
      <c r="O767" t="inlineStr"/>
      <c r="P767" t="inlineStr">
        <is>
          <t>pending</t>
        </is>
      </c>
      <c r="Q767" t="inlineStr"/>
      <c r="R767" t="inlineStr"/>
      <c r="S767" t="inlineStr"/>
      <c r="T767" t="inlineStr"/>
      <c r="U767" t="inlineStr"/>
      <c r="V767">
        <f>IF(OR(L767="",S767=""),"",IF(VALUE(L767)=VALUE(S767),"Y","N"))</f>
        <v/>
      </c>
      <c r="W767">
        <f>IF(V767="Y",S767,"")</f>
        <v/>
      </c>
      <c r="X767" t="inlineStr">
        <is>
          <t>unverified: map has 35 mph (OSM tag only); is it 35 (LSV OK) or 40+?</t>
        </is>
      </c>
      <c r="Y767" t="inlineStr"/>
      <c r="Z767" t="n">
        <v>654</v>
      </c>
      <c r="AA767" t="inlineStr">
        <is>
          <t>sd</t>
        </is>
      </c>
      <c r="AB767" t="inlineStr">
        <is>
          <t>sd|32.83266,-117.15545</t>
        </is>
      </c>
    </row>
    <row r="768">
      <c r="A768" t="inlineStr">
        <is>
          <t>SD-B2-767</t>
        </is>
      </c>
      <c r="B768" t="inlineStr">
        <is>
          <t>San Diego area</t>
        </is>
      </c>
      <c r="C768" t="inlineStr">
        <is>
          <t>Yarrow Drive</t>
        </is>
      </c>
      <c r="D768" t="inlineStr">
        <is>
          <t>(see map link)</t>
        </is>
      </c>
      <c r="E768" t="inlineStr">
        <is>
          <t>Palomar Airport Road</t>
        </is>
      </c>
      <c r="F768" t="inlineStr">
        <is>
          <t>6031648</t>
        </is>
      </c>
      <c r="G768" t="n">
        <v>25</v>
      </c>
      <c r="H768" t="inlineStr">
        <is>
          <t>inferred</t>
        </is>
      </c>
      <c r="I768" t="inlineStr">
        <is>
          <t>cart+LSV</t>
        </is>
      </c>
      <c r="J768" t="inlineStr">
        <is>
          <t>https://www.google.com/maps/@?api=1&amp;map_action=pano&amp;viewpoint=33.122120,-117.273745&amp;heading=179</t>
        </is>
      </c>
      <c r="K768" t="inlineStr">
        <is>
          <t>https://www.google.com/maps/search/?api=1&amp;query=33.122120,-117.273745</t>
        </is>
      </c>
      <c r="L768" t="inlineStr"/>
      <c r="M768" t="inlineStr"/>
      <c r="N768" t="inlineStr"/>
      <c r="O768" t="inlineStr"/>
      <c r="P768" t="inlineStr">
        <is>
          <t>pending</t>
        </is>
      </c>
      <c r="Q768" t="inlineStr"/>
      <c r="R768" t="inlineStr"/>
      <c r="S768" t="inlineStr"/>
      <c r="T768" t="inlineStr"/>
      <c r="U768" t="inlineStr"/>
      <c r="V768">
        <f>IF(OR(L768="",S768=""),"",IF(VALUE(L768)=VALUE(S768),"Y","N"))</f>
        <v/>
      </c>
      <c r="W768">
        <f>IF(V768="Y",S768,"")</f>
        <v/>
      </c>
      <c r="X768" t="inlineStr">
        <is>
          <t>unverified: map has 25 mph (guessed from road type); is it 25 (carts OK) or 30+?</t>
        </is>
      </c>
      <c r="Y768" t="inlineStr"/>
      <c r="Z768" t="n">
        <v>754</v>
      </c>
      <c r="AA768" t="inlineStr">
        <is>
          <t>sd</t>
        </is>
      </c>
      <c r="AB768" t="inlineStr">
        <is>
          <t>sd|33.12212,-117.27375</t>
        </is>
      </c>
    </row>
    <row r="769">
      <c r="A769" t="inlineStr">
        <is>
          <t>SD-B2-768</t>
        </is>
      </c>
      <c r="B769" t="inlineStr">
        <is>
          <t>San Diego area</t>
        </is>
      </c>
      <c r="C769" t="inlineStr">
        <is>
          <t>Lebon Drive</t>
        </is>
      </c>
      <c r="D769" t="inlineStr">
        <is>
          <t>Nobel Drive</t>
        </is>
      </c>
      <c r="E769" t="inlineStr">
        <is>
          <t>University Center Lane</t>
        </is>
      </c>
      <c r="F769" t="inlineStr">
        <is>
          <t>224703368</t>
        </is>
      </c>
      <c r="G769" t="n">
        <v>35</v>
      </c>
      <c r="H769" t="inlineStr">
        <is>
          <t>tag</t>
        </is>
      </c>
      <c r="I769" t="inlineStr">
        <is>
          <t>LSV</t>
        </is>
      </c>
      <c r="J769" t="inlineStr">
        <is>
          <t>https://www.google.com/maps/@?api=1&amp;map_action=pano&amp;viewpoint=32.866030,-117.224850&amp;heading=179</t>
        </is>
      </c>
      <c r="K769" t="inlineStr">
        <is>
          <t>https://www.google.com/maps/search/?api=1&amp;query=32.866030,-117.224850</t>
        </is>
      </c>
      <c r="L769" t="inlineStr"/>
      <c r="M769" t="inlineStr"/>
      <c r="N769" t="inlineStr"/>
      <c r="O769" t="inlineStr"/>
      <c r="P769" t="inlineStr">
        <is>
          <t>pending</t>
        </is>
      </c>
      <c r="Q769" t="inlineStr"/>
      <c r="R769" t="inlineStr"/>
      <c r="S769" t="inlineStr"/>
      <c r="T769" t="inlineStr"/>
      <c r="U769" t="inlineStr"/>
      <c r="V769">
        <f>IF(OR(L769="",S769=""),"",IF(VALUE(L769)=VALUE(S769),"Y","N"))</f>
        <v/>
      </c>
      <c r="W769">
        <f>IF(V769="Y",S769,"")</f>
        <v/>
      </c>
      <c r="X769" t="inlineStr">
        <is>
          <t>unverified: map has 35 mph (OSM tag only); is it 35 (LSV OK) or 40+?</t>
        </is>
      </c>
      <c r="Y769" t="inlineStr"/>
      <c r="Z769" t="n">
        <v>980</v>
      </c>
      <c r="AA769" t="inlineStr">
        <is>
          <t>sd</t>
        </is>
      </c>
      <c r="AB769" t="inlineStr">
        <is>
          <t>sd|32.86603,-117.22485</t>
        </is>
      </c>
    </row>
    <row r="770">
      <c r="A770" t="inlineStr">
        <is>
          <t>SD-B2-769</t>
        </is>
      </c>
      <c r="B770" t="inlineStr">
        <is>
          <t>San Diego area</t>
        </is>
      </c>
      <c r="C770" t="inlineStr">
        <is>
          <t>San Elijo Road</t>
        </is>
      </c>
      <c r="D770" t="inlineStr">
        <is>
          <t>Melrose Avenue</t>
        </is>
      </c>
      <c r="E770" t="inlineStr">
        <is>
          <t>South Rancho Santa Fe Road</t>
        </is>
      </c>
      <c r="F770" t="inlineStr">
        <is>
          <t>32866686</t>
        </is>
      </c>
      <c r="G770" t="n">
        <v>45</v>
      </c>
      <c r="H770" t="inlineStr">
        <is>
          <t>tag</t>
        </is>
      </c>
      <c r="I770" t="inlineStr">
        <is>
          <t>no</t>
        </is>
      </c>
      <c r="J770" t="inlineStr">
        <is>
          <t>https://www.google.com/maps/@?api=1&amp;map_action=pano&amp;viewpoint=33.100160,-117.217360&amp;heading=271</t>
        </is>
      </c>
      <c r="K770" t="inlineStr">
        <is>
          <t>https://www.google.com/maps/search/?api=1&amp;query=33.100160,-117.217360</t>
        </is>
      </c>
      <c r="L770" t="inlineStr"/>
      <c r="M770" t="inlineStr"/>
      <c r="N770" t="inlineStr"/>
      <c r="O770" t="inlineStr"/>
      <c r="P770" t="inlineStr">
        <is>
          <t>pending</t>
        </is>
      </c>
      <c r="Q770" t="inlineStr"/>
      <c r="R770" t="inlineStr"/>
      <c r="S770" t="inlineStr"/>
      <c r="T770" t="inlineStr"/>
      <c r="U770" t="inlineStr"/>
      <c r="V770">
        <f>IF(OR(L770="",S770=""),"",IF(VALUE(L770)=VALUE(S770),"Y","N"))</f>
        <v/>
      </c>
      <c r="W770">
        <f>IF(V770="Y",S770,"")</f>
        <v/>
      </c>
      <c r="X770" t="inlineStr">
        <is>
          <t>unverified: map has 45 mph (OSM tag only); main road: what is posted? 35 or lower opens it to LSVs</t>
        </is>
      </c>
      <c r="Y770" t="inlineStr"/>
      <c r="Z770" t="n">
        <v>652</v>
      </c>
      <c r="AA770" t="inlineStr">
        <is>
          <t>sd</t>
        </is>
      </c>
      <c r="AB770" t="inlineStr">
        <is>
          <t>sd|33.10016,-117.21736</t>
        </is>
      </c>
    </row>
    <row r="771">
      <c r="A771" t="inlineStr">
        <is>
          <t>SD-B2-770</t>
        </is>
      </c>
      <c r="B771" t="inlineStr">
        <is>
          <t>San Diego area</t>
        </is>
      </c>
      <c r="C771" t="inlineStr">
        <is>
          <t>West Washington Street</t>
        </is>
      </c>
      <c r="D771" t="inlineStr">
        <is>
          <t>(see map link)</t>
        </is>
      </c>
      <c r="E771" t="inlineStr">
        <is>
          <t>India Street</t>
        </is>
      </c>
      <c r="F771" t="inlineStr">
        <is>
          <t>166090303</t>
        </is>
      </c>
      <c r="G771" t="n">
        <v>45</v>
      </c>
      <c r="H771" t="inlineStr">
        <is>
          <t>tag</t>
        </is>
      </c>
      <c r="I771" t="inlineStr">
        <is>
          <t>no</t>
        </is>
      </c>
      <c r="J771" t="inlineStr">
        <is>
          <t>https://www.google.com/maps/@?api=1&amp;map_action=pano&amp;viewpoint=32.746180,-117.179110&amp;heading=233</t>
        </is>
      </c>
      <c r="K771" t="inlineStr">
        <is>
          <t>https://www.google.com/maps/search/?api=1&amp;query=32.746180,-117.179110</t>
        </is>
      </c>
      <c r="L771" t="inlineStr"/>
      <c r="M771" t="inlineStr"/>
      <c r="N771" t="inlineStr"/>
      <c r="O771" t="inlineStr"/>
      <c r="P771" t="inlineStr">
        <is>
          <t>pending</t>
        </is>
      </c>
      <c r="Q771" t="inlineStr"/>
      <c r="R771" t="inlineStr"/>
      <c r="S771" t="inlineStr"/>
      <c r="T771" t="inlineStr"/>
      <c r="U771" t="inlineStr"/>
      <c r="V771">
        <f>IF(OR(L771="",S771=""),"",IF(VALUE(L771)=VALUE(S771),"Y","N"))</f>
        <v/>
      </c>
      <c r="W771">
        <f>IF(V771="Y",S771,"")</f>
        <v/>
      </c>
      <c r="X771" t="inlineStr">
        <is>
          <t>unverified: map has 45 mph (OSM tag only); main road: what is posted? 35 or lower opens it to LSVs</t>
        </is>
      </c>
      <c r="Y771" t="inlineStr"/>
      <c r="Z771" t="n">
        <v>651</v>
      </c>
      <c r="AA771" t="inlineStr">
        <is>
          <t>sd</t>
        </is>
      </c>
      <c r="AB771" t="inlineStr">
        <is>
          <t>sd|32.74618,-117.17911</t>
        </is>
      </c>
    </row>
    <row r="772">
      <c r="A772" t="inlineStr">
        <is>
          <t>SD-B2-771</t>
        </is>
      </c>
      <c r="B772" t="inlineStr">
        <is>
          <t>San Diego area</t>
        </is>
      </c>
      <c r="C772" t="inlineStr">
        <is>
          <t>Luna Avenue</t>
        </is>
      </c>
      <c r="D772" t="inlineStr">
        <is>
          <t>Monongahela Street</t>
        </is>
      </c>
      <c r="E772" t="inlineStr">
        <is>
          <t>Jutland Drive</t>
        </is>
      </c>
      <c r="F772" t="inlineStr">
        <is>
          <t>6010180</t>
        </is>
      </c>
      <c r="G772" t="n">
        <v>30</v>
      </c>
      <c r="H772" t="inlineStr">
        <is>
          <t>mapillary</t>
        </is>
      </c>
      <c r="I772" t="inlineStr">
        <is>
          <t>LSV</t>
        </is>
      </c>
      <c r="J772" t="inlineStr">
        <is>
          <t>https://www.google.com/maps/@?api=1&amp;map_action=pano&amp;viewpoint=32.831550,-117.217190&amp;heading=128</t>
        </is>
      </c>
      <c r="K772" t="inlineStr">
        <is>
          <t>https://www.google.com/maps/search/?api=1&amp;query=32.831550,-117.217190</t>
        </is>
      </c>
      <c r="L772" t="inlineStr"/>
      <c r="M772" t="inlineStr"/>
      <c r="N772" t="inlineStr"/>
      <c r="O772" t="inlineStr"/>
      <c r="P772" t="inlineStr">
        <is>
          <t>pending</t>
        </is>
      </c>
      <c r="Q772" t="inlineStr"/>
      <c r="R772" t="inlineStr"/>
      <c r="S772" t="inlineStr"/>
      <c r="T772" t="inlineStr">
        <is>
          <t>Mapillary: 5 posted 30 mph sign(s) detected</t>
        </is>
      </c>
      <c r="U772" t="inlineStr">
        <is>
          <t>https://www.mapillary.com/app/?lat=32.833990&amp;lng=-117.228110&amp;z=19&amp;focus=map&amp;mapFeatureId=622374647349562</t>
        </is>
      </c>
      <c r="V772">
        <f>IF(OR(L772="",S772=""),"",IF(VALUE(L772)=VALUE(S772),"Y","N"))</f>
        <v/>
      </c>
      <c r="W772">
        <f>IF(V772="Y",S772,"")</f>
        <v/>
      </c>
      <c r="X772" t="inlineStr">
        <is>
          <t>unverified: map has 30 mph (one Mapillary sign); is it 25 (carts OK) or 30+?</t>
        </is>
      </c>
      <c r="Y772" t="inlineStr"/>
      <c r="Z772" t="n">
        <v>1220</v>
      </c>
      <c r="AA772" t="inlineStr">
        <is>
          <t>sd</t>
        </is>
      </c>
      <c r="AB772" t="inlineStr">
        <is>
          <t>sd|32.83155,-117.21719</t>
        </is>
      </c>
    </row>
    <row r="773">
      <c r="A773" t="inlineStr">
        <is>
          <t>SD-B2-772</t>
        </is>
      </c>
      <c r="B773" t="inlineStr">
        <is>
          <t>San Diego area</t>
        </is>
      </c>
      <c r="C773" t="inlineStr">
        <is>
          <t>Via Mallorca</t>
        </is>
      </c>
      <c r="D773" t="inlineStr">
        <is>
          <t>(see map link)</t>
        </is>
      </c>
      <c r="E773" t="inlineStr">
        <is>
          <t>Villa La Jolla Drive</t>
        </is>
      </c>
      <c r="F773" t="inlineStr">
        <is>
          <t>6005375</t>
        </is>
      </c>
      <c r="G773" t="n">
        <v>30</v>
      </c>
      <c r="H773" t="inlineStr">
        <is>
          <t>mapillary</t>
        </is>
      </c>
      <c r="I773" t="inlineStr">
        <is>
          <t>LSV</t>
        </is>
      </c>
      <c r="J773" t="inlineStr">
        <is>
          <t>https://www.google.com/maps/@?api=1&amp;map_action=pano&amp;viewpoint=32.859500,-117.234570&amp;heading=211</t>
        </is>
      </c>
      <c r="K773" t="inlineStr">
        <is>
          <t>https://www.google.com/maps/search/?api=1&amp;query=32.859500,-117.234570</t>
        </is>
      </c>
      <c r="L773" t="inlineStr"/>
      <c r="M773" t="inlineStr"/>
      <c r="N773" t="inlineStr"/>
      <c r="O773" t="inlineStr"/>
      <c r="P773" t="inlineStr">
        <is>
          <t>pending</t>
        </is>
      </c>
      <c r="Q773" t="inlineStr"/>
      <c r="R773" t="inlineStr"/>
      <c r="S773" t="inlineStr"/>
      <c r="T773" t="inlineStr">
        <is>
          <t>Mapillary: 3 posted 30 mph sign(s) detected</t>
        </is>
      </c>
      <c r="U773" t="inlineStr">
        <is>
          <t>https://www.mapillary.com/app/?lat=32.856792&amp;lng=-117.235200&amp;z=19&amp;focus=map&amp;mapFeatureId=613042601602737</t>
        </is>
      </c>
      <c r="V773">
        <f>IF(OR(L773="",S773=""),"",IF(VALUE(L773)=VALUE(S773),"Y","N"))</f>
        <v/>
      </c>
      <c r="W773">
        <f>IF(V773="Y",S773,"")</f>
        <v/>
      </c>
      <c r="X773" t="inlineStr">
        <is>
          <t>unverified: map has 30 mph (one Mapillary sign); is it 25 (carts OK) or 30+?</t>
        </is>
      </c>
      <c r="Y773" t="inlineStr"/>
      <c r="Z773" t="n">
        <v>1220</v>
      </c>
      <c r="AA773" t="inlineStr">
        <is>
          <t>sd</t>
        </is>
      </c>
      <c r="AB773" t="inlineStr">
        <is>
          <t>sd|32.85950,-117.23457</t>
        </is>
      </c>
    </row>
    <row r="774">
      <c r="A774" t="inlineStr">
        <is>
          <t>SD-B2-773</t>
        </is>
      </c>
      <c r="B774" t="inlineStr">
        <is>
          <t>San Diego area</t>
        </is>
      </c>
      <c r="C774" t="inlineStr">
        <is>
          <t>3rd Avenue</t>
        </is>
      </c>
      <c r="D774" t="inlineStr">
        <is>
          <t>East B Street</t>
        </is>
      </c>
      <c r="E774" t="inlineStr">
        <is>
          <t>Broadway Circle</t>
        </is>
      </c>
      <c r="F774" t="inlineStr"/>
      <c r="G774" t="n">
        <v>25</v>
      </c>
      <c r="H774" t="inlineStr">
        <is>
          <t>inferred</t>
        </is>
      </c>
      <c r="I774" t="inlineStr">
        <is>
          <t>cart+LSV</t>
        </is>
      </c>
      <c r="J774" t="inlineStr">
        <is>
          <t>https://www.google.com/maps/@?api=1&amp;map_action=pano&amp;viewpoint=32.716955,-117.161995&amp;heading=359</t>
        </is>
      </c>
      <c r="K774" t="inlineStr">
        <is>
          <t>https://www.google.com/maps/search/?api=1&amp;query=32.716955,-117.161995</t>
        </is>
      </c>
      <c r="L774" t="inlineStr"/>
      <c r="M774" t="inlineStr"/>
      <c r="N774" t="inlineStr"/>
      <c r="O774" t="inlineStr"/>
      <c r="P774" t="inlineStr">
        <is>
          <t>pending</t>
        </is>
      </c>
      <c r="Q774" t="inlineStr"/>
      <c r="R774" t="inlineStr"/>
      <c r="S774" t="inlineStr"/>
      <c r="T774" t="inlineStr"/>
      <c r="U774" t="inlineStr"/>
      <c r="V774">
        <f>IF(OR(L774="",S774=""),"",IF(VALUE(L774)=VALUE(S774),"Y","N"))</f>
        <v/>
      </c>
      <c r="W774">
        <f>IF(V774="Y",S774,"")</f>
        <v/>
      </c>
      <c r="X774" t="inlineStr">
        <is>
          <t>unverified: map has 25 mph (guessed from road type); is it 25 (carts OK) or 30+?</t>
        </is>
      </c>
      <c r="Y774" t="inlineStr"/>
      <c r="Z774" t="n">
        <v>751</v>
      </c>
      <c r="AA774" t="inlineStr">
        <is>
          <t>sd</t>
        </is>
      </c>
      <c r="AB774" t="inlineStr">
        <is>
          <t>sd|32.71695,-117.16199</t>
        </is>
      </c>
    </row>
    <row r="775">
      <c r="A775" t="inlineStr">
        <is>
          <t>SD-B2-774</t>
        </is>
      </c>
      <c r="B775" t="inlineStr">
        <is>
          <t>San Diego area</t>
        </is>
      </c>
      <c r="C775" t="inlineStr">
        <is>
          <t>Rosecrans Street</t>
        </is>
      </c>
      <c r="D775" t="inlineStr">
        <is>
          <t>Midway Drive</t>
        </is>
      </c>
      <c r="E775" t="inlineStr">
        <is>
          <t>Cauby Street</t>
        </is>
      </c>
      <c r="F775" t="inlineStr">
        <is>
          <t>436250869</t>
        </is>
      </c>
      <c r="G775" t="n">
        <v>40</v>
      </c>
      <c r="H775" t="inlineStr">
        <is>
          <t>tag</t>
        </is>
      </c>
      <c r="I775" t="inlineStr">
        <is>
          <t>no</t>
        </is>
      </c>
      <c r="J775" t="inlineStr">
        <is>
          <t>https://www.google.com/maps/@?api=1&amp;map_action=pano&amp;viewpoint=32.748200,-117.207730&amp;heading=228</t>
        </is>
      </c>
      <c r="K775" t="inlineStr">
        <is>
          <t>https://www.google.com/maps/search/?api=1&amp;query=32.748200,-117.207730</t>
        </is>
      </c>
      <c r="L775" t="inlineStr"/>
      <c r="M775" t="inlineStr"/>
      <c r="N775" t="inlineStr"/>
      <c r="O775" t="inlineStr"/>
      <c r="P775" t="inlineStr">
        <is>
          <t>pending</t>
        </is>
      </c>
      <c r="Q775" t="inlineStr"/>
      <c r="R775" t="inlineStr"/>
      <c r="S775" t="inlineStr"/>
      <c r="T775" t="inlineStr"/>
      <c r="U775" t="inlineStr"/>
      <c r="V775">
        <f>IF(OR(L775="",S775=""),"",IF(VALUE(L775)=VALUE(S775),"Y","N"))</f>
        <v/>
      </c>
      <c r="W775">
        <f>IF(V775="Y",S775,"")</f>
        <v/>
      </c>
      <c r="X775" t="inlineStr">
        <is>
          <t>unverified: map has 40 mph (OSM tag only); is it 35 (LSV OK) or 40+?</t>
        </is>
      </c>
      <c r="Y775" t="inlineStr"/>
      <c r="Z775" t="n">
        <v>649</v>
      </c>
      <c r="AA775" t="inlineStr">
        <is>
          <t>sd</t>
        </is>
      </c>
      <c r="AB775" t="inlineStr">
        <is>
          <t>sd|32.74820,-117.20773</t>
        </is>
      </c>
    </row>
    <row r="776">
      <c r="A776" t="inlineStr">
        <is>
          <t>SD-B2-775</t>
        </is>
      </c>
      <c r="B776" t="inlineStr">
        <is>
          <t>San Diego area</t>
        </is>
      </c>
      <c r="C776" t="inlineStr">
        <is>
          <t>Caudor Street</t>
        </is>
      </c>
      <c r="D776" t="inlineStr">
        <is>
          <t>Capri Road</t>
        </is>
      </c>
      <c r="E776" t="inlineStr">
        <is>
          <t>Barbara Lane</t>
        </is>
      </c>
      <c r="F776" t="inlineStr">
        <is>
          <t>6047711</t>
        </is>
      </c>
      <c r="G776" t="n">
        <v>25</v>
      </c>
      <c r="H776" t="inlineStr">
        <is>
          <t>inferred</t>
        </is>
      </c>
      <c r="I776" t="inlineStr">
        <is>
          <t>cart+LSV</t>
        </is>
      </c>
      <c r="J776" t="inlineStr">
        <is>
          <t>https://www.google.com/maps/@?api=1&amp;map_action=pano&amp;viewpoint=33.077230,-117.291520&amp;heading=16</t>
        </is>
      </c>
      <c r="K776" t="inlineStr">
        <is>
          <t>https://www.google.com/maps/search/?api=1&amp;query=33.077230,-117.291520</t>
        </is>
      </c>
      <c r="L776" t="inlineStr"/>
      <c r="M776" t="inlineStr"/>
      <c r="N776" t="inlineStr"/>
      <c r="O776" t="inlineStr"/>
      <c r="P776" t="inlineStr">
        <is>
          <t>pending</t>
        </is>
      </c>
      <c r="Q776" t="inlineStr"/>
      <c r="R776" t="inlineStr"/>
      <c r="S776" t="inlineStr"/>
      <c r="T776" t="inlineStr"/>
      <c r="U776" t="inlineStr"/>
      <c r="V776">
        <f>IF(OR(L776="",S776=""),"",IF(VALUE(L776)=VALUE(S776),"Y","N"))</f>
        <v/>
      </c>
      <c r="W776">
        <f>IF(V776="Y",S776,"")</f>
        <v/>
      </c>
      <c r="X776" t="inlineStr">
        <is>
          <t>unverified: map has 25 mph (guessed from road type); is it 25 (carts OK) or 30+?</t>
        </is>
      </c>
      <c r="Y776" t="inlineStr"/>
      <c r="Z776" t="n">
        <v>747</v>
      </c>
      <c r="AA776" t="inlineStr">
        <is>
          <t>sd</t>
        </is>
      </c>
      <c r="AB776" t="inlineStr">
        <is>
          <t>sd|33.07723,-117.29152</t>
        </is>
      </c>
    </row>
    <row r="777">
      <c r="A777" t="inlineStr">
        <is>
          <t>SD-B2-776</t>
        </is>
      </c>
      <c r="B777" t="inlineStr">
        <is>
          <t>San Diego area</t>
        </is>
      </c>
      <c r="C777" t="inlineStr">
        <is>
          <t>Bacon Street</t>
        </is>
      </c>
      <c r="D777" t="inlineStr">
        <is>
          <t>Voltaire Street</t>
        </is>
      </c>
      <c r="E777" t="inlineStr">
        <is>
          <t>Lotus Street</t>
        </is>
      </c>
      <c r="F777" t="inlineStr">
        <is>
          <t>5963479</t>
        </is>
      </c>
      <c r="G777" t="n">
        <v>25</v>
      </c>
      <c r="H777" t="inlineStr">
        <is>
          <t>tag</t>
        </is>
      </c>
      <c r="I777" t="inlineStr">
        <is>
          <t>cart+LSV</t>
        </is>
      </c>
      <c r="J777" t="inlineStr">
        <is>
          <t>https://www.google.com/maps/@?api=1&amp;map_action=pano&amp;viewpoint=32.751125,-117.247420&amp;heading=215</t>
        </is>
      </c>
      <c r="K777" t="inlineStr">
        <is>
          <t>https://www.google.com/maps/search/?api=1&amp;query=32.751125,-117.247420</t>
        </is>
      </c>
      <c r="L777" t="inlineStr"/>
      <c r="M777" t="inlineStr"/>
      <c r="N777" t="inlineStr"/>
      <c r="O777" t="inlineStr"/>
      <c r="P777" t="inlineStr">
        <is>
          <t>pending</t>
        </is>
      </c>
      <c r="Q777" t="inlineStr"/>
      <c r="R777" t="inlineStr"/>
      <c r="S777" t="inlineStr"/>
      <c r="T777" t="inlineStr"/>
      <c r="U777" t="inlineStr"/>
      <c r="V777">
        <f>IF(OR(L777="",S777=""),"",IF(VALUE(L777)=VALUE(S777),"Y","N"))</f>
        <v/>
      </c>
      <c r="W777">
        <f>IF(V777="Y",S777,"")</f>
        <v/>
      </c>
      <c r="X777" t="inlineStr">
        <is>
          <t>unverified: map has 25 mph (OSM tag only); is it 25 (carts OK) or 30+?</t>
        </is>
      </c>
      <c r="Y777" t="inlineStr"/>
      <c r="Z777" t="n">
        <v>971</v>
      </c>
      <c r="AA777" t="inlineStr">
        <is>
          <t>sd</t>
        </is>
      </c>
      <c r="AB777" t="inlineStr">
        <is>
          <t>sd|32.75113,-117.24742</t>
        </is>
      </c>
    </row>
    <row r="778">
      <c r="A778" t="inlineStr">
        <is>
          <t>SD-B2-777</t>
        </is>
      </c>
      <c r="B778" t="inlineStr">
        <is>
          <t>San Diego area</t>
        </is>
      </c>
      <c r="C778" t="inlineStr">
        <is>
          <t>Grant Street</t>
        </is>
      </c>
      <c r="D778" t="inlineStr">
        <is>
          <t>Division Street</t>
        </is>
      </c>
      <c r="E778" t="inlineStr">
        <is>
          <t>East Wisconsin Avenue</t>
        </is>
      </c>
      <c r="F778" t="inlineStr">
        <is>
          <t>5982590</t>
        </is>
      </c>
      <c r="G778" t="inlineStr"/>
      <c r="H778" t="inlineStr">
        <is>
          <t>inferred</t>
        </is>
      </c>
      <c r="I778" t="inlineStr">
        <is>
          <t>no</t>
        </is>
      </c>
      <c r="J778" t="inlineStr">
        <is>
          <t>https://www.google.com/maps/@?api=1&amp;map_action=pano&amp;viewpoint=33.195725,-117.370075&amp;heading=179</t>
        </is>
      </c>
      <c r="K778" t="inlineStr">
        <is>
          <t>https://www.google.com/maps/search/?api=1&amp;query=33.195725,-117.370075</t>
        </is>
      </c>
      <c r="L778" t="inlineStr"/>
      <c r="M778" t="inlineStr"/>
      <c r="N778" t="inlineStr"/>
      <c r="O778" t="inlineStr"/>
      <c r="P778" t="inlineStr">
        <is>
          <t>pending</t>
        </is>
      </c>
      <c r="Q778" t="inlineStr"/>
      <c r="R778" t="inlineStr"/>
      <c r="S778" t="inlineStr"/>
      <c r="T778" t="inlineStr"/>
      <c r="U778" t="inlineStr"/>
      <c r="V778">
        <f>IF(OR(L778="",S778=""),"",IF(VALUE(L778)=VALUE(S778),"Y","N"))</f>
        <v/>
      </c>
      <c r="W778">
        <f>IF(V778="Y",S778,"")</f>
        <v/>
      </c>
      <c r="X778" t="inlineStr">
        <is>
          <t>unverified: map has no limit (guessed from road type); main road: what is posted? 35 or lower opens it to LSVs</t>
        </is>
      </c>
      <c r="Y778" t="inlineStr"/>
      <c r="Z778" t="n">
        <v>597</v>
      </c>
      <c r="AA778" t="inlineStr">
        <is>
          <t>sd</t>
        </is>
      </c>
      <c r="AB778" t="inlineStr">
        <is>
          <t>sd|33.19572,-117.37007</t>
        </is>
      </c>
    </row>
    <row r="779">
      <c r="A779" t="inlineStr">
        <is>
          <t>SD-B2-778</t>
        </is>
      </c>
      <c r="B779" t="inlineStr">
        <is>
          <t>San Diego area</t>
        </is>
      </c>
      <c r="C779" t="inlineStr">
        <is>
          <t>Via de la Valle</t>
        </is>
      </c>
      <c r="D779" t="inlineStr">
        <is>
          <t>Las Planideras</t>
        </is>
      </c>
      <c r="E779" t="inlineStr">
        <is>
          <t>Cancha de Golf</t>
        </is>
      </c>
      <c r="F779" t="inlineStr">
        <is>
          <t>436262913</t>
        </is>
      </c>
      <c r="G779" t="n">
        <v>45</v>
      </c>
      <c r="H779" t="inlineStr">
        <is>
          <t>mapillary</t>
        </is>
      </c>
      <c r="I779" t="inlineStr">
        <is>
          <t>no</t>
        </is>
      </c>
      <c r="J779" t="inlineStr">
        <is>
          <t>https://www.google.com/maps/@?api=1&amp;map_action=pano&amp;viewpoint=32.991200,-117.216100&amp;heading=31</t>
        </is>
      </c>
      <c r="K779" t="inlineStr">
        <is>
          <t>https://www.google.com/maps/search/?api=1&amp;query=32.991200,-117.216100</t>
        </is>
      </c>
      <c r="L779" t="inlineStr"/>
      <c r="M779" t="inlineStr"/>
      <c r="N779" t="inlineStr"/>
      <c r="O779" t="inlineStr"/>
      <c r="P779" t="inlineStr">
        <is>
          <t>pending</t>
        </is>
      </c>
      <c r="Q779" t="inlineStr"/>
      <c r="R779" t="inlineStr"/>
      <c r="S779" t="inlineStr"/>
      <c r="T779" t="inlineStr">
        <is>
          <t>Mapillary: 2 posted 45 mph sign(s) detected</t>
        </is>
      </c>
      <c r="U779" t="inlineStr">
        <is>
          <t>https://www.mapillary.com/app/?lat=32.990380&amp;lng=-117.216650&amp;z=19&amp;focus=map&amp;mapFeatureId=1323118978104357</t>
        </is>
      </c>
      <c r="V779">
        <f>IF(OR(L779="",S779=""),"",IF(VALUE(L779)=VALUE(S779),"Y","N"))</f>
        <v/>
      </c>
      <c r="W779">
        <f>IF(V779="Y",S779,"")</f>
        <v/>
      </c>
      <c r="X779" t="inlineStr">
        <is>
          <t>unverified: map has 45 mph (one Mapillary sign); main road: what is posted? 35 or lower opens it to LSVs</t>
        </is>
      </c>
      <c r="Y779" t="inlineStr"/>
      <c r="Z779" t="n">
        <v>807</v>
      </c>
      <c r="AA779" t="inlineStr">
        <is>
          <t>sd</t>
        </is>
      </c>
      <c r="AB779" t="inlineStr">
        <is>
          <t>sd|32.99120,-117.21610</t>
        </is>
      </c>
    </row>
    <row r="780">
      <c r="A780" t="inlineStr">
        <is>
          <t>SD-B2-779</t>
        </is>
      </c>
      <c r="B780" t="inlineStr">
        <is>
          <t>San Diego area</t>
        </is>
      </c>
      <c r="C780" t="inlineStr">
        <is>
          <t>Ocean Ranch Boulevard</t>
        </is>
      </c>
      <c r="D780" t="inlineStr">
        <is>
          <t>Via Rancho Road</t>
        </is>
      </c>
      <c r="E780" t="inlineStr">
        <is>
          <t>Rancho del Oro Drive</t>
        </is>
      </c>
      <c r="F780" t="inlineStr">
        <is>
          <t>77706089</t>
        </is>
      </c>
      <c r="G780" t="n">
        <v>40</v>
      </c>
      <c r="H780" t="inlineStr">
        <is>
          <t>tag</t>
        </is>
      </c>
      <c r="I780" t="inlineStr">
        <is>
          <t>no</t>
        </is>
      </c>
      <c r="J780" t="inlineStr">
        <is>
          <t>https://www.google.com/maps/@?api=1&amp;map_action=pano&amp;viewpoint=33.211190,-117.308500&amp;heading=269</t>
        </is>
      </c>
      <c r="K780" t="inlineStr">
        <is>
          <t>https://www.google.com/maps/search/?api=1&amp;query=33.211190,-117.308500</t>
        </is>
      </c>
      <c r="L780" t="inlineStr"/>
      <c r="M780" t="inlineStr"/>
      <c r="N780" t="inlineStr"/>
      <c r="O780" t="inlineStr"/>
      <c r="P780" t="inlineStr">
        <is>
          <t>pending</t>
        </is>
      </c>
      <c r="Q780" t="inlineStr"/>
      <c r="R780" t="inlineStr"/>
      <c r="S780" t="inlineStr"/>
      <c r="T780" t="inlineStr"/>
      <c r="U780" t="inlineStr"/>
      <c r="V780">
        <f>IF(OR(L780="",S780=""),"",IF(VALUE(L780)=VALUE(S780),"Y","N"))</f>
        <v/>
      </c>
      <c r="W780">
        <f>IF(V780="Y",S780,"")</f>
        <v/>
      </c>
      <c r="X780" t="inlineStr">
        <is>
          <t>unverified: map has 40 mph (OSM tag only); is it 35 (LSV OK) or 40+?</t>
        </is>
      </c>
      <c r="Y780" t="inlineStr"/>
      <c r="Z780" t="n">
        <v>968</v>
      </c>
      <c r="AA780" t="inlineStr">
        <is>
          <t>sd</t>
        </is>
      </c>
      <c r="AB780" t="inlineStr">
        <is>
          <t>sd|33.21119,-117.30850</t>
        </is>
      </c>
    </row>
    <row r="781">
      <c r="A781" t="inlineStr">
        <is>
          <t>SD-B2-780</t>
        </is>
      </c>
      <c r="B781" t="inlineStr">
        <is>
          <t>San Diego area</t>
        </is>
      </c>
      <c r="C781" t="inlineStr">
        <is>
          <t>Clairemont Mesa Boulevard</t>
        </is>
      </c>
      <c r="D781" t="inlineStr">
        <is>
          <t>Doliva Drive</t>
        </is>
      </c>
      <c r="E781" t="inlineStr">
        <is>
          <t>Limerick Avenue</t>
        </is>
      </c>
      <c r="F781" t="inlineStr">
        <is>
          <t>436424025</t>
        </is>
      </c>
      <c r="G781" t="n">
        <v>35</v>
      </c>
      <c r="H781" t="inlineStr">
        <is>
          <t>tag</t>
        </is>
      </c>
      <c r="I781" t="inlineStr">
        <is>
          <t>LSV</t>
        </is>
      </c>
      <c r="J781" t="inlineStr">
        <is>
          <t>https://www.google.com/maps/@?api=1&amp;map_action=pano&amp;viewpoint=32.834335,-117.177950&amp;heading=91</t>
        </is>
      </c>
      <c r="K781" t="inlineStr">
        <is>
          <t>https://www.google.com/maps/search/?api=1&amp;query=32.834335,-117.177950</t>
        </is>
      </c>
      <c r="L781" t="inlineStr"/>
      <c r="M781" t="inlineStr"/>
      <c r="N781" t="inlineStr"/>
      <c r="O781" t="inlineStr"/>
      <c r="P781" t="inlineStr">
        <is>
          <t>pending</t>
        </is>
      </c>
      <c r="Q781" t="inlineStr"/>
      <c r="R781" t="inlineStr"/>
      <c r="S781" t="inlineStr"/>
      <c r="T781" t="inlineStr"/>
      <c r="U781" t="inlineStr"/>
      <c r="V781">
        <f>IF(OR(L781="",S781=""),"",IF(VALUE(L781)=VALUE(S781),"Y","N"))</f>
        <v/>
      </c>
      <c r="W781">
        <f>IF(V781="Y",S781,"")</f>
        <v/>
      </c>
      <c r="X781" t="inlineStr">
        <is>
          <t>unverified: map has 35 mph (OSM tag only); is it 35 (LSV OK) or 40+?</t>
        </is>
      </c>
      <c r="Y781" t="inlineStr"/>
      <c r="Z781" t="n">
        <v>645</v>
      </c>
      <c r="AA781" t="inlineStr">
        <is>
          <t>sd</t>
        </is>
      </c>
      <c r="AB781" t="inlineStr">
        <is>
          <t>sd|32.83433,-117.17795</t>
        </is>
      </c>
    </row>
    <row r="782">
      <c r="A782" t="inlineStr">
        <is>
          <t>SD-B2-781</t>
        </is>
      </c>
      <c r="B782" t="inlineStr">
        <is>
          <t>San Diego area</t>
        </is>
      </c>
      <c r="C782" t="inlineStr">
        <is>
          <t>Orchard Avenue</t>
        </is>
      </c>
      <c r="D782" t="inlineStr">
        <is>
          <t>Catalina Boulevard</t>
        </is>
      </c>
      <c r="E782" t="inlineStr">
        <is>
          <t>Chatsworth Boulevard</t>
        </is>
      </c>
      <c r="F782" t="inlineStr">
        <is>
          <t>6002673</t>
        </is>
      </c>
      <c r="G782" t="n">
        <v>25</v>
      </c>
      <c r="H782" t="inlineStr">
        <is>
          <t>mapillary</t>
        </is>
      </c>
      <c r="I782" t="inlineStr">
        <is>
          <t>cart+LSV</t>
        </is>
      </c>
      <c r="J782" t="inlineStr">
        <is>
          <t>https://www.google.com/maps/@?api=1&amp;map_action=pano&amp;viewpoint=32.735105,-117.246640&amp;heading=306</t>
        </is>
      </c>
      <c r="K782" t="inlineStr">
        <is>
          <t>https://www.google.com/maps/search/?api=1&amp;query=32.735105,-117.246640</t>
        </is>
      </c>
      <c r="L782" t="inlineStr"/>
      <c r="M782" t="inlineStr"/>
      <c r="N782" t="inlineStr"/>
      <c r="O782" t="inlineStr"/>
      <c r="P782" t="inlineStr">
        <is>
          <t>pending</t>
        </is>
      </c>
      <c r="Q782" t="inlineStr"/>
      <c r="R782" t="inlineStr"/>
      <c r="S782" t="inlineStr"/>
      <c r="T782" t="inlineStr">
        <is>
          <t>Mapillary: 3 posted 25 mph sign(s) detected</t>
        </is>
      </c>
      <c r="U782" t="inlineStr">
        <is>
          <t>https://www.mapillary.com/app/?lat=32.736595&amp;lng=-117.249300&amp;z=19&amp;focus=map&amp;mapFeatureId=573561879006484</t>
        </is>
      </c>
      <c r="V782">
        <f>IF(OR(L782="",S782=""),"",IF(VALUE(L782)=VALUE(S782),"Y","N"))</f>
        <v/>
      </c>
      <c r="W782">
        <f>IF(V782="Y",S782,"")</f>
        <v/>
      </c>
      <c r="X782" t="inlineStr">
        <is>
          <t>unverified: map has 25 mph (one Mapillary sign); is it 25 (carts OK) or 30+?</t>
        </is>
      </c>
      <c r="Y782" t="inlineStr"/>
      <c r="Z782" t="n">
        <v>1207</v>
      </c>
      <c r="AA782" t="inlineStr">
        <is>
          <t>sd</t>
        </is>
      </c>
      <c r="AB782" t="inlineStr">
        <is>
          <t>sd|32.73510,-117.24664</t>
        </is>
      </c>
    </row>
    <row r="783">
      <c r="A783" t="inlineStr">
        <is>
          <t>SD-B2-782</t>
        </is>
      </c>
      <c r="B783" t="inlineStr">
        <is>
          <t>San Diego area</t>
        </is>
      </c>
      <c r="C783" t="inlineStr">
        <is>
          <t>San Dieguito Road</t>
        </is>
      </c>
      <c r="D783" t="inlineStr">
        <is>
          <t>Via Dos Valles</t>
        </is>
      </c>
      <c r="E783" t="inlineStr">
        <is>
          <t>Via Dos Valles</t>
        </is>
      </c>
      <c r="F783" t="inlineStr">
        <is>
          <t>436427797</t>
        </is>
      </c>
      <c r="G783" t="n">
        <v>45</v>
      </c>
      <c r="H783" t="inlineStr">
        <is>
          <t>mapillary</t>
        </is>
      </c>
      <c r="I783" t="inlineStr">
        <is>
          <t>no</t>
        </is>
      </c>
      <c r="J783" t="inlineStr">
        <is>
          <t>https://www.google.com/maps/@?api=1&amp;map_action=pano&amp;viewpoint=32.996300,-117.183470&amp;heading=251</t>
        </is>
      </c>
      <c r="K783" t="inlineStr">
        <is>
          <t>https://www.google.com/maps/search/?api=1&amp;query=32.996300,-117.183470</t>
        </is>
      </c>
      <c r="L783" t="inlineStr"/>
      <c r="M783" t="inlineStr"/>
      <c r="N783" t="inlineStr"/>
      <c r="O783" t="inlineStr"/>
      <c r="P783" t="inlineStr">
        <is>
          <t>pending</t>
        </is>
      </c>
      <c r="Q783" t="inlineStr"/>
      <c r="R783" t="inlineStr"/>
      <c r="S783" t="inlineStr"/>
      <c r="T783" t="inlineStr">
        <is>
          <t>Mapillary: 4 posted 45 mph sign(s) detected</t>
        </is>
      </c>
      <c r="U783" t="inlineStr">
        <is>
          <t>https://www.mapillary.com/app/?lat=32.998035&amp;lng=-117.180360&amp;z=19&amp;focus=map&amp;mapFeatureId=914363492495398</t>
        </is>
      </c>
      <c r="V783">
        <f>IF(OR(L783="",S783=""),"",IF(VALUE(L783)=VALUE(S783),"Y","N"))</f>
        <v/>
      </c>
      <c r="W783">
        <f>IF(V783="Y",S783,"")</f>
        <v/>
      </c>
      <c r="X783" t="inlineStr">
        <is>
          <t>unverified: map has 45 mph (one Mapillary sign); main road: what is posted? 35 or lower opens it to LSVs</t>
        </is>
      </c>
      <c r="Y783" t="inlineStr"/>
      <c r="Z783" t="n">
        <v>965</v>
      </c>
      <c r="AA783" t="inlineStr">
        <is>
          <t>sd</t>
        </is>
      </c>
      <c r="AB783" t="inlineStr">
        <is>
          <t>sd|32.99630,-117.18347</t>
        </is>
      </c>
    </row>
    <row r="784">
      <c r="A784" t="inlineStr">
        <is>
          <t>SD-B2-783</t>
        </is>
      </c>
      <c r="B784" t="inlineStr">
        <is>
          <t>San Diego area</t>
        </is>
      </c>
      <c r="C784" t="inlineStr">
        <is>
          <t>Idaho Street</t>
        </is>
      </c>
      <c r="D784" t="inlineStr">
        <is>
          <t>Lincoln Avenue</t>
        </is>
      </c>
      <c r="E784" t="inlineStr">
        <is>
          <t>University Avenue</t>
        </is>
      </c>
      <c r="F784" t="inlineStr">
        <is>
          <t>6048795</t>
        </is>
      </c>
      <c r="G784" t="n">
        <v>25</v>
      </c>
      <c r="H784" t="inlineStr">
        <is>
          <t>inferred</t>
        </is>
      </c>
      <c r="I784" t="inlineStr">
        <is>
          <t>cart+LSV</t>
        </is>
      </c>
      <c r="J784" t="inlineStr">
        <is>
          <t>https://www.google.com/maps/@?api=1&amp;map_action=pano&amp;viewpoint=32.753140,-117.133855&amp;heading=359</t>
        </is>
      </c>
      <c r="K784" t="inlineStr">
        <is>
          <t>https://www.google.com/maps/search/?api=1&amp;query=32.753140,-117.133855</t>
        </is>
      </c>
      <c r="L784" t="inlineStr"/>
      <c r="M784" t="inlineStr"/>
      <c r="N784" t="inlineStr"/>
      <c r="O784" t="inlineStr"/>
      <c r="P784" t="inlineStr">
        <is>
          <t>pending</t>
        </is>
      </c>
      <c r="Q784" t="inlineStr"/>
      <c r="R784" t="inlineStr"/>
      <c r="S784" t="inlineStr"/>
      <c r="T784" t="inlineStr"/>
      <c r="U784" t="inlineStr"/>
      <c r="V784">
        <f>IF(OR(L784="",S784=""),"",IF(VALUE(L784)=VALUE(S784),"Y","N"))</f>
        <v/>
      </c>
      <c r="W784">
        <f>IF(V784="Y",S784,"")</f>
        <v/>
      </c>
      <c r="X784" t="inlineStr">
        <is>
          <t>unverified: map has 25 mph (guessed from road type); is it 25 (carts OK) or 30+?</t>
        </is>
      </c>
      <c r="Y784" t="inlineStr"/>
      <c r="Z784" t="n">
        <v>742</v>
      </c>
      <c r="AA784" t="inlineStr">
        <is>
          <t>sd</t>
        </is>
      </c>
      <c r="AB784" t="inlineStr">
        <is>
          <t>sd|32.75314,-117.13386</t>
        </is>
      </c>
    </row>
    <row r="785">
      <c r="A785" t="inlineStr">
        <is>
          <t>SD-B2-784</t>
        </is>
      </c>
      <c r="B785" t="inlineStr">
        <is>
          <t>San Diego area</t>
        </is>
      </c>
      <c r="C785" t="inlineStr">
        <is>
          <t>Oceanside Boulevard</t>
        </is>
      </c>
      <c r="D785" t="inlineStr">
        <is>
          <t>Foussat Road</t>
        </is>
      </c>
      <c r="E785" t="inlineStr">
        <is>
          <t>Edgehill Lane</t>
        </is>
      </c>
      <c r="F785" t="inlineStr">
        <is>
          <t>594035529</t>
        </is>
      </c>
      <c r="G785" t="n">
        <v>45</v>
      </c>
      <c r="H785" t="inlineStr">
        <is>
          <t>tag</t>
        </is>
      </c>
      <c r="I785" t="inlineStr">
        <is>
          <t>no</t>
        </is>
      </c>
      <c r="J785" t="inlineStr">
        <is>
          <t>https://www.google.com/maps/@?api=1&amp;map_action=pano&amp;viewpoint=33.201680,-117.342190&amp;heading=70</t>
        </is>
      </c>
      <c r="K785" t="inlineStr">
        <is>
          <t>https://www.google.com/maps/search/?api=1&amp;query=33.201680,-117.342190</t>
        </is>
      </c>
      <c r="L785" t="inlineStr"/>
      <c r="M785" t="inlineStr"/>
      <c r="N785" t="inlineStr"/>
      <c r="O785" t="inlineStr"/>
      <c r="P785" t="inlineStr">
        <is>
          <t>pending</t>
        </is>
      </c>
      <c r="Q785" t="inlineStr"/>
      <c r="R785" t="inlineStr"/>
      <c r="S785" t="inlineStr"/>
      <c r="T785" t="inlineStr"/>
      <c r="U785" t="inlineStr"/>
      <c r="V785">
        <f>IF(OR(L785="",S785=""),"",IF(VALUE(L785)=VALUE(S785),"Y","N"))</f>
        <v/>
      </c>
      <c r="W785">
        <f>IF(V785="Y",S785,"")</f>
        <v/>
      </c>
      <c r="X785" t="inlineStr">
        <is>
          <t>unverified: map has 45 mph (OSM tag only); main road: what is posted? 35 or lower opens it to LSVs</t>
        </is>
      </c>
      <c r="Y785" t="inlineStr"/>
      <c r="Z785" t="n">
        <v>643</v>
      </c>
      <c r="AA785" t="inlineStr">
        <is>
          <t>sd</t>
        </is>
      </c>
      <c r="AB785" t="inlineStr">
        <is>
          <t>sd|33.20168,-117.34219</t>
        </is>
      </c>
    </row>
    <row r="786">
      <c r="A786" t="inlineStr">
        <is>
          <t>SD-B2-785</t>
        </is>
      </c>
      <c r="B786" t="inlineStr">
        <is>
          <t>San Diego area</t>
        </is>
      </c>
      <c r="C786" t="inlineStr">
        <is>
          <t>Genesee Avenue</t>
        </is>
      </c>
      <c r="D786" t="inlineStr">
        <is>
          <t>(see map link)</t>
        </is>
      </c>
      <c r="E786" t="inlineStr">
        <is>
          <t>(see map link)</t>
        </is>
      </c>
      <c r="F786" t="inlineStr">
        <is>
          <t>25540145</t>
        </is>
      </c>
      <c r="G786" t="n">
        <v>45</v>
      </c>
      <c r="H786" t="inlineStr">
        <is>
          <t>mapillary</t>
        </is>
      </c>
      <c r="I786" t="inlineStr">
        <is>
          <t>no</t>
        </is>
      </c>
      <c r="J786" t="inlineStr">
        <is>
          <t>https://www.google.com/maps/@?api=1&amp;map_action=pano&amp;viewpoint=32.842380,-117.197800&amp;heading=149</t>
        </is>
      </c>
      <c r="K786" t="inlineStr">
        <is>
          <t>https://www.google.com/maps/search/?api=1&amp;query=32.842380,-117.197800</t>
        </is>
      </c>
      <c r="L786" t="inlineStr"/>
      <c r="M786" t="inlineStr"/>
      <c r="N786" t="inlineStr"/>
      <c r="O786" t="inlineStr"/>
      <c r="P786" t="inlineStr">
        <is>
          <t>pending</t>
        </is>
      </c>
      <c r="Q786" t="inlineStr"/>
      <c r="R786" t="inlineStr"/>
      <c r="S786" t="inlineStr"/>
      <c r="T786" t="inlineStr">
        <is>
          <t>Mapillary: 1 posted 45 mph sign(s) detected</t>
        </is>
      </c>
      <c r="U786" t="inlineStr">
        <is>
          <t>https://www.mapillary.com/app/?lat=32.838280&amp;lng=-117.196320&amp;z=19&amp;focus=map&amp;mapFeatureId=3858090454281731</t>
        </is>
      </c>
      <c r="V786">
        <f>IF(OR(L786="",S786=""),"",IF(VALUE(L786)=VALUE(S786),"Y","N"))</f>
        <v/>
      </c>
      <c r="W786">
        <f>IF(V786="Y",S786,"")</f>
        <v/>
      </c>
      <c r="X786" t="inlineStr">
        <is>
          <t>unverified: map has 45 mph (one Mapillary sign); main road: what is posted? 35 or lower opens it to LSVs</t>
        </is>
      </c>
      <c r="Y786" t="inlineStr"/>
      <c r="Z786" t="n">
        <v>802</v>
      </c>
      <c r="AA786" t="inlineStr">
        <is>
          <t>sd</t>
        </is>
      </c>
      <c r="AB786" t="inlineStr">
        <is>
          <t>sd|32.84238,-117.19780</t>
        </is>
      </c>
    </row>
    <row r="787">
      <c r="A787" t="inlineStr">
        <is>
          <t>SD-B2-786</t>
        </is>
      </c>
      <c r="B787" t="inlineStr">
        <is>
          <t>San Diego area</t>
        </is>
      </c>
      <c r="C787" t="inlineStr">
        <is>
          <t>Marron Road</t>
        </is>
      </c>
      <c r="D787" t="inlineStr">
        <is>
          <t>(see map link)</t>
        </is>
      </c>
      <c r="E787" t="inlineStr">
        <is>
          <t>Villeta Avenue</t>
        </is>
      </c>
      <c r="F787" t="inlineStr">
        <is>
          <t>1110684527</t>
        </is>
      </c>
      <c r="G787" t="n">
        <v>25</v>
      </c>
      <c r="H787" t="inlineStr">
        <is>
          <t>inferred</t>
        </is>
      </c>
      <c r="I787" t="inlineStr">
        <is>
          <t>cart+LSV</t>
        </is>
      </c>
      <c r="J787" t="inlineStr">
        <is>
          <t>https://www.google.com/maps/@?api=1&amp;map_action=pano&amp;viewpoint=33.175120,-117.305060&amp;heading=217</t>
        </is>
      </c>
      <c r="K787" t="inlineStr">
        <is>
          <t>https://www.google.com/maps/search/?api=1&amp;query=33.175120,-117.305060</t>
        </is>
      </c>
      <c r="L787" t="inlineStr"/>
      <c r="M787" t="inlineStr"/>
      <c r="N787" t="inlineStr"/>
      <c r="O787" t="inlineStr"/>
      <c r="P787" t="inlineStr">
        <is>
          <t>pending</t>
        </is>
      </c>
      <c r="Q787" t="inlineStr"/>
      <c r="R787" t="inlineStr"/>
      <c r="S787" t="inlineStr"/>
      <c r="T787" t="inlineStr"/>
      <c r="U787" t="inlineStr"/>
      <c r="V787">
        <f>IF(OR(L787="",S787=""),"",IF(VALUE(L787)=VALUE(S787),"Y","N"))</f>
        <v/>
      </c>
      <c r="W787">
        <f>IF(V787="Y",S787,"")</f>
        <v/>
      </c>
      <c r="X787" t="inlineStr">
        <is>
          <t>unverified: map has 25 mph (guessed from road type); is it 25 (carts OK) or 30+?</t>
        </is>
      </c>
      <c r="Y787" t="inlineStr"/>
      <c r="Z787" t="n">
        <v>741</v>
      </c>
      <c r="AA787" t="inlineStr">
        <is>
          <t>sd</t>
        </is>
      </c>
      <c r="AB787" t="inlineStr">
        <is>
          <t>sd|33.17512,-117.30506</t>
        </is>
      </c>
    </row>
    <row r="788">
      <c r="A788" t="inlineStr">
        <is>
          <t>SD-B2-787</t>
        </is>
      </c>
      <c r="B788" t="inlineStr">
        <is>
          <t>San Diego area</t>
        </is>
      </c>
      <c r="C788" t="inlineStr">
        <is>
          <t>Genesee Avenue</t>
        </is>
      </c>
      <c r="D788" t="inlineStr">
        <is>
          <t>Bannock Avenue</t>
        </is>
      </c>
      <c r="E788" t="inlineStr">
        <is>
          <t>Conrad Avenue</t>
        </is>
      </c>
      <c r="F788" t="inlineStr">
        <is>
          <t>332757510</t>
        </is>
      </c>
      <c r="G788" t="n">
        <v>35</v>
      </c>
      <c r="H788" t="inlineStr">
        <is>
          <t>tag</t>
        </is>
      </c>
      <c r="I788" t="inlineStr">
        <is>
          <t>LSV</t>
        </is>
      </c>
      <c r="J788" t="inlineStr">
        <is>
          <t>https://www.google.com/maps/@?api=1&amp;map_action=pano&amp;viewpoint=32.836710,-117.195630&amp;heading=161</t>
        </is>
      </c>
      <c r="K788" t="inlineStr">
        <is>
          <t>https://www.google.com/maps/search/?api=1&amp;query=32.836710,-117.195630</t>
        </is>
      </c>
      <c r="L788" t="inlineStr"/>
      <c r="M788" t="inlineStr"/>
      <c r="N788" t="inlineStr"/>
      <c r="O788" t="inlineStr"/>
      <c r="P788" t="inlineStr">
        <is>
          <t>pending</t>
        </is>
      </c>
      <c r="Q788" t="inlineStr"/>
      <c r="R788" t="inlineStr"/>
      <c r="S788" t="inlineStr"/>
      <c r="T788" t="inlineStr"/>
      <c r="U788" t="inlineStr"/>
      <c r="V788">
        <f>IF(OR(L788="",S788=""),"",IF(VALUE(L788)=VALUE(S788),"Y","N"))</f>
        <v/>
      </c>
      <c r="W788">
        <f>IF(V788="Y",S788,"")</f>
        <v/>
      </c>
      <c r="X788" t="inlineStr">
        <is>
          <t>unverified: map has 35 mph (OSM tag only); is it 35 (LSV OK) or 40+?</t>
        </is>
      </c>
      <c r="Y788" t="inlineStr"/>
      <c r="Z788" t="n">
        <v>642</v>
      </c>
      <c r="AA788" t="inlineStr">
        <is>
          <t>sd</t>
        </is>
      </c>
      <c r="AB788" t="inlineStr">
        <is>
          <t>sd|32.83671,-117.19563</t>
        </is>
      </c>
    </row>
    <row r="789">
      <c r="A789" t="inlineStr">
        <is>
          <t>SD-B2-788</t>
        </is>
      </c>
      <c r="B789" t="inlineStr">
        <is>
          <t>San Diego area</t>
        </is>
      </c>
      <c r="C789" t="inlineStr">
        <is>
          <t>Mission Valley Road</t>
        </is>
      </c>
      <c r="D789" t="inlineStr">
        <is>
          <t>Metropolitan Drive</t>
        </is>
      </c>
      <c r="E789" t="inlineStr">
        <is>
          <t>Metropolitan Drive</t>
        </is>
      </c>
      <c r="F789" t="inlineStr">
        <is>
          <t>6042483</t>
        </is>
      </c>
      <c r="G789" t="n">
        <v>25</v>
      </c>
      <c r="H789" t="inlineStr">
        <is>
          <t>inferred</t>
        </is>
      </c>
      <c r="I789" t="inlineStr">
        <is>
          <t>cart+LSV</t>
        </is>
      </c>
      <c r="J789" t="inlineStr">
        <is>
          <t>https://www.google.com/maps/@?api=1&amp;map_action=pano&amp;viewpoint=32.779840,-117.158900&amp;heading=100</t>
        </is>
      </c>
      <c r="K789" t="inlineStr">
        <is>
          <t>https://www.google.com/maps/search/?api=1&amp;query=32.779840,-117.158900</t>
        </is>
      </c>
      <c r="L789" t="inlineStr"/>
      <c r="M789" t="inlineStr"/>
      <c r="N789" t="inlineStr"/>
      <c r="O789" t="inlineStr"/>
      <c r="P789" t="inlineStr">
        <is>
          <t>pending</t>
        </is>
      </c>
      <c r="Q789" t="inlineStr"/>
      <c r="R789" t="inlineStr"/>
      <c r="S789" t="inlineStr"/>
      <c r="T789" t="inlineStr"/>
      <c r="U789" t="inlineStr"/>
      <c r="V789">
        <f>IF(OR(L789="",S789=""),"",IF(VALUE(L789)=VALUE(S789),"Y","N"))</f>
        <v/>
      </c>
      <c r="W789">
        <f>IF(V789="Y",S789,"")</f>
        <v/>
      </c>
      <c r="X789" t="inlineStr">
        <is>
          <t>unverified: map has 25 mph (guessed from road type); is it 25 (carts OK) or 30+?</t>
        </is>
      </c>
      <c r="Y789" t="inlineStr"/>
      <c r="Z789" t="n">
        <v>740</v>
      </c>
      <c r="AA789" t="inlineStr">
        <is>
          <t>sd</t>
        </is>
      </c>
      <c r="AB789" t="inlineStr">
        <is>
          <t>sd|32.77984,-117.15890</t>
        </is>
      </c>
    </row>
    <row r="790">
      <c r="A790" t="inlineStr">
        <is>
          <t>SD-B2-789</t>
        </is>
      </c>
      <c r="B790" t="inlineStr">
        <is>
          <t>San Diego area</t>
        </is>
      </c>
      <c r="C790" t="inlineStr">
        <is>
          <t>Boundary Street</t>
        </is>
      </c>
      <c r="D790" t="inlineStr">
        <is>
          <t>Dwight Street</t>
        </is>
      </c>
      <c r="E790" t="inlineStr">
        <is>
          <t>33rd Street</t>
        </is>
      </c>
      <c r="F790" t="inlineStr">
        <is>
          <t>182002421</t>
        </is>
      </c>
      <c r="G790" t="n">
        <v>25</v>
      </c>
      <c r="H790" t="inlineStr">
        <is>
          <t>inferred</t>
        </is>
      </c>
      <c r="I790" t="inlineStr">
        <is>
          <t>cart+LSV</t>
        </is>
      </c>
      <c r="J790" t="inlineStr">
        <is>
          <t>https://www.google.com/maps/@?api=1&amp;map_action=pano&amp;viewpoint=32.746240,-117.122390&amp;heading=165</t>
        </is>
      </c>
      <c r="K790" t="inlineStr">
        <is>
          <t>https://www.google.com/maps/search/?api=1&amp;query=32.746240,-117.122390</t>
        </is>
      </c>
      <c r="L790" t="inlineStr"/>
      <c r="M790" t="inlineStr"/>
      <c r="N790" t="inlineStr"/>
      <c r="O790" t="inlineStr"/>
      <c r="P790" t="inlineStr">
        <is>
          <t>pending</t>
        </is>
      </c>
      <c r="Q790" t="inlineStr"/>
      <c r="R790" t="inlineStr"/>
      <c r="S790" t="inlineStr"/>
      <c r="T790" t="inlineStr"/>
      <c r="U790" t="inlineStr"/>
      <c r="V790">
        <f>IF(OR(L790="",S790=""),"",IF(VALUE(L790)=VALUE(S790),"Y","N"))</f>
        <v/>
      </c>
      <c r="W790">
        <f>IF(V790="Y",S790,"")</f>
        <v/>
      </c>
      <c r="X790" t="inlineStr">
        <is>
          <t>unverified: map has 25 mph (guessed from road type); is it 25 (carts OK) or 30+?</t>
        </is>
      </c>
      <c r="Y790" t="inlineStr"/>
      <c r="Z790" t="n">
        <v>740</v>
      </c>
      <c r="AA790" t="inlineStr">
        <is>
          <t>sd</t>
        </is>
      </c>
      <c r="AB790" t="inlineStr">
        <is>
          <t>sd|32.74624,-117.12239</t>
        </is>
      </c>
    </row>
    <row r="791">
      <c r="A791" t="inlineStr">
        <is>
          <t>SD-B2-790</t>
        </is>
      </c>
      <c r="B791" t="inlineStr">
        <is>
          <t>San Diego area</t>
        </is>
      </c>
      <c r="C791" t="inlineStr">
        <is>
          <t>Regents Park Row</t>
        </is>
      </c>
      <c r="D791" t="inlineStr">
        <is>
          <t>(see map link)</t>
        </is>
      </c>
      <c r="E791" t="inlineStr">
        <is>
          <t>Miramar Street</t>
        </is>
      </c>
      <c r="F791" t="inlineStr">
        <is>
          <t>321235865</t>
        </is>
      </c>
      <c r="G791" t="n">
        <v>25</v>
      </c>
      <c r="H791" t="inlineStr">
        <is>
          <t>inferred</t>
        </is>
      </c>
      <c r="I791" t="inlineStr">
        <is>
          <t>cart+LSV</t>
        </is>
      </c>
      <c r="J791" t="inlineStr">
        <is>
          <t>https://www.google.com/maps/@?api=1&amp;map_action=pano&amp;viewpoint=32.873320,-117.216240&amp;heading=43</t>
        </is>
      </c>
      <c r="K791" t="inlineStr">
        <is>
          <t>https://www.google.com/maps/search/?api=1&amp;query=32.873320,-117.216240</t>
        </is>
      </c>
      <c r="L791" t="inlineStr"/>
      <c r="M791" t="inlineStr"/>
      <c r="N791" t="inlineStr"/>
      <c r="O791" t="inlineStr"/>
      <c r="P791" t="inlineStr">
        <is>
          <t>pending</t>
        </is>
      </c>
      <c r="Q791" t="inlineStr"/>
      <c r="R791" t="inlineStr"/>
      <c r="S791" t="inlineStr"/>
      <c r="T791" t="inlineStr"/>
      <c r="U791" t="inlineStr"/>
      <c r="V791">
        <f>IF(OR(L791="",S791=""),"",IF(VALUE(L791)=VALUE(S791),"Y","N"))</f>
        <v/>
      </c>
      <c r="W791">
        <f>IF(V791="Y",S791,"")</f>
        <v/>
      </c>
      <c r="X791" t="inlineStr">
        <is>
          <t>unverified: map has 25 mph (guessed from road type); is it 25 (carts OK) or 30+?</t>
        </is>
      </c>
      <c r="Y791" t="inlineStr"/>
      <c r="Z791" t="n">
        <v>739</v>
      </c>
      <c r="AA791" t="inlineStr">
        <is>
          <t>sd</t>
        </is>
      </c>
      <c r="AB791" t="inlineStr">
        <is>
          <t>sd|32.87332,-117.21624</t>
        </is>
      </c>
    </row>
    <row r="792">
      <c r="A792" t="inlineStr">
        <is>
          <t>SD-B2-791</t>
        </is>
      </c>
      <c r="B792" t="inlineStr">
        <is>
          <t>San Diego area</t>
        </is>
      </c>
      <c r="C792" t="inlineStr">
        <is>
          <t>Huerfano Avenue</t>
        </is>
      </c>
      <c r="D792" t="inlineStr">
        <is>
          <t>Avati Drive</t>
        </is>
      </c>
      <c r="E792" t="inlineStr">
        <is>
          <t>Kamloop Avenue</t>
        </is>
      </c>
      <c r="F792" t="inlineStr">
        <is>
          <t>6044814</t>
        </is>
      </c>
      <c r="G792" t="n">
        <v>25</v>
      </c>
      <c r="H792" t="inlineStr">
        <is>
          <t>mapillary</t>
        </is>
      </c>
      <c r="I792" t="inlineStr">
        <is>
          <t>cart+LSV</t>
        </is>
      </c>
      <c r="J792" t="inlineStr">
        <is>
          <t>https://www.google.com/maps/@?api=1&amp;map_action=pano&amp;viewpoint=32.823020,-117.217200&amp;heading=30</t>
        </is>
      </c>
      <c r="K792" t="inlineStr">
        <is>
          <t>https://www.google.com/maps/search/?api=1&amp;query=32.823020,-117.217200</t>
        </is>
      </c>
      <c r="L792" t="inlineStr"/>
      <c r="M792" t="inlineStr"/>
      <c r="N792" t="inlineStr"/>
      <c r="O792" t="inlineStr"/>
      <c r="P792" t="inlineStr">
        <is>
          <t>pending</t>
        </is>
      </c>
      <c r="Q792" t="inlineStr"/>
      <c r="R792" t="inlineStr"/>
      <c r="S792" t="inlineStr"/>
      <c r="T792" t="inlineStr">
        <is>
          <t>Mapillary: 1 posted 25 mph sign(s) detected</t>
        </is>
      </c>
      <c r="U792" t="inlineStr">
        <is>
          <t>https://www.mapillary.com/app/?lat=32.822414&amp;lng=-117.217380&amp;z=19&amp;focus=map&amp;mapFeatureId=673888748309047</t>
        </is>
      </c>
      <c r="V792">
        <f>IF(OR(L792="",S792=""),"",IF(VALUE(L792)=VALUE(S792),"Y","N"))</f>
        <v/>
      </c>
      <c r="W792">
        <f>IF(V792="Y",S792,"")</f>
        <v/>
      </c>
      <c r="X792" t="inlineStr">
        <is>
          <t>unverified: map has 25 mph (one Mapillary sign); is it 25 (carts OK) or 30+?</t>
        </is>
      </c>
      <c r="Y792" t="inlineStr"/>
      <c r="Z792" t="n">
        <v>1202</v>
      </c>
      <c r="AA792" t="inlineStr">
        <is>
          <t>sd</t>
        </is>
      </c>
      <c r="AB792" t="inlineStr">
        <is>
          <t>sd|32.82302,-117.21720</t>
        </is>
      </c>
    </row>
    <row r="793">
      <c r="A793" t="inlineStr">
        <is>
          <t>SD-B2-792</t>
        </is>
      </c>
      <c r="B793" t="inlineStr">
        <is>
          <t>San Diego area</t>
        </is>
      </c>
      <c r="C793" t="inlineStr">
        <is>
          <t>Madison Street</t>
        </is>
      </c>
      <c r="D793" t="inlineStr">
        <is>
          <t>Oak Avenue</t>
        </is>
      </c>
      <c r="E793" t="inlineStr">
        <is>
          <t>Magnolia Avenue</t>
        </is>
      </c>
      <c r="F793" t="inlineStr">
        <is>
          <t>225875525</t>
        </is>
      </c>
      <c r="G793" t="n">
        <v>25</v>
      </c>
      <c r="H793" t="inlineStr">
        <is>
          <t>inferred</t>
        </is>
      </c>
      <c r="I793" t="inlineStr">
        <is>
          <t>cart+LSV</t>
        </is>
      </c>
      <c r="J793" t="inlineStr">
        <is>
          <t>https://www.google.com/maps/@?api=1&amp;map_action=pano&amp;viewpoint=33.154240,-117.341330&amp;heading=147</t>
        </is>
      </c>
      <c r="K793" t="inlineStr">
        <is>
          <t>https://www.google.com/maps/search/?api=1&amp;query=33.154240,-117.341330</t>
        </is>
      </c>
      <c r="L793" t="inlineStr"/>
      <c r="M793" t="inlineStr"/>
      <c r="N793" t="inlineStr"/>
      <c r="O793" t="inlineStr"/>
      <c r="P793" t="inlineStr">
        <is>
          <t>pending</t>
        </is>
      </c>
      <c r="Q793" t="inlineStr"/>
      <c r="R793" t="inlineStr"/>
      <c r="S793" t="inlineStr"/>
      <c r="T793" t="inlineStr"/>
      <c r="U793" t="inlineStr"/>
      <c r="V793">
        <f>IF(OR(L793="",S793=""),"",IF(VALUE(L793)=VALUE(S793),"Y","N"))</f>
        <v/>
      </c>
      <c r="W793">
        <f>IF(V793="Y",S793,"")</f>
        <v/>
      </c>
      <c r="X793" t="inlineStr">
        <is>
          <t>unverified: map has 25 mph (guessed from road type); is it 25 (carts OK) or 30+?</t>
        </is>
      </c>
      <c r="Y793" t="inlineStr"/>
      <c r="Z793" t="n">
        <v>739</v>
      </c>
      <c r="AA793" t="inlineStr">
        <is>
          <t>sd</t>
        </is>
      </c>
      <c r="AB793" t="inlineStr">
        <is>
          <t>sd|33.15424,-117.34133</t>
        </is>
      </c>
    </row>
    <row r="794">
      <c r="A794" t="inlineStr">
        <is>
          <t>SD-B2-793</t>
        </is>
      </c>
      <c r="B794" t="inlineStr">
        <is>
          <t>San Diego area</t>
        </is>
      </c>
      <c r="C794" t="inlineStr">
        <is>
          <t>Vermont Street</t>
        </is>
      </c>
      <c r="D794" t="inlineStr">
        <is>
          <t>Robinson Avenue</t>
        </is>
      </c>
      <c r="E794" t="inlineStr">
        <is>
          <t>Cypress Way</t>
        </is>
      </c>
      <c r="F794" t="inlineStr"/>
      <c r="G794" t="n">
        <v>25</v>
      </c>
      <c r="H794" t="inlineStr">
        <is>
          <t>inferred</t>
        </is>
      </c>
      <c r="I794" t="inlineStr">
        <is>
          <t>cart+LSV</t>
        </is>
      </c>
      <c r="J794" t="inlineStr">
        <is>
          <t>https://www.google.com/maps/@?api=1&amp;map_action=pano&amp;viewpoint=32.749370,-117.153460&amp;heading=180</t>
        </is>
      </c>
      <c r="K794" t="inlineStr">
        <is>
          <t>https://www.google.com/maps/search/?api=1&amp;query=32.749370,-117.153460</t>
        </is>
      </c>
      <c r="L794" t="inlineStr"/>
      <c r="M794" t="inlineStr"/>
      <c r="N794" t="inlineStr"/>
      <c r="O794" t="inlineStr"/>
      <c r="P794" t="inlineStr">
        <is>
          <t>pending</t>
        </is>
      </c>
      <c r="Q794" t="inlineStr"/>
      <c r="R794" t="inlineStr"/>
      <c r="S794" t="inlineStr"/>
      <c r="T794" t="inlineStr"/>
      <c r="U794" t="inlineStr"/>
      <c r="V794">
        <f>IF(OR(L794="",S794=""),"",IF(VALUE(L794)=VALUE(S794),"Y","N"))</f>
        <v/>
      </c>
      <c r="W794">
        <f>IF(V794="Y",S794,"")</f>
        <v/>
      </c>
      <c r="X794" t="inlineStr">
        <is>
          <t>unverified: map has 25 mph (guessed from road type); is it 25 (carts OK) or 30+?</t>
        </is>
      </c>
      <c r="Y794" t="inlineStr"/>
      <c r="Z794" t="n">
        <v>739</v>
      </c>
      <c r="AA794" t="inlineStr">
        <is>
          <t>sd</t>
        </is>
      </c>
      <c r="AB794" t="inlineStr">
        <is>
          <t>sd|32.74937,-117.15346</t>
        </is>
      </c>
    </row>
    <row r="795">
      <c r="A795" t="inlineStr">
        <is>
          <t>SD-B2-794</t>
        </is>
      </c>
      <c r="B795" t="inlineStr">
        <is>
          <t>San Diego area</t>
        </is>
      </c>
      <c r="C795" t="inlineStr">
        <is>
          <t>Ingraham Street</t>
        </is>
      </c>
      <c r="D795" t="inlineStr">
        <is>
          <t>Bayonne Drive</t>
        </is>
      </c>
      <c r="E795" t="inlineStr">
        <is>
          <t>Moorland Drive</t>
        </is>
      </c>
      <c r="F795" t="inlineStr">
        <is>
          <t>5970229</t>
        </is>
      </c>
      <c r="G795" t="n">
        <v>30</v>
      </c>
      <c r="H795" t="inlineStr">
        <is>
          <t>mapillary</t>
        </is>
      </c>
      <c r="I795" t="inlineStr">
        <is>
          <t>LSV</t>
        </is>
      </c>
      <c r="J795" t="inlineStr">
        <is>
          <t>https://www.google.com/maps/@?api=1&amp;map_action=pano&amp;viewpoint=32.785670,-117.236470&amp;heading=352</t>
        </is>
      </c>
      <c r="K795" t="inlineStr">
        <is>
          <t>https://www.google.com/maps/search/?api=1&amp;query=32.785670,-117.236470</t>
        </is>
      </c>
      <c r="L795" t="inlineStr"/>
      <c r="M795" t="inlineStr"/>
      <c r="N795" t="inlineStr"/>
      <c r="O795" t="inlineStr"/>
      <c r="P795" t="inlineStr">
        <is>
          <t>pending</t>
        </is>
      </c>
      <c r="Q795" t="inlineStr"/>
      <c r="R795" t="inlineStr"/>
      <c r="S795" t="inlineStr"/>
      <c r="T795" t="inlineStr">
        <is>
          <t>Mapillary: 9 posted 30 mph sign(s) detected</t>
        </is>
      </c>
      <c r="U795" t="inlineStr">
        <is>
          <t>https://www.mapillary.com/app/?lat=32.786804&amp;lng=-117.236885&amp;z=19&amp;focus=map&amp;mapFeatureId=1313087836777799</t>
        </is>
      </c>
      <c r="V795">
        <f>IF(OR(L795="",S795=""),"",IF(VALUE(L795)=VALUE(S795),"Y","N"))</f>
        <v/>
      </c>
      <c r="W795">
        <f>IF(V795="Y",S795,"")</f>
        <v/>
      </c>
      <c r="X795" t="inlineStr">
        <is>
          <t>unverified: map has 30 mph (one Mapillary sign); is it 25 (carts OK) or 30+?</t>
        </is>
      </c>
      <c r="Y795" t="inlineStr"/>
      <c r="Z795" t="n">
        <v>798</v>
      </c>
      <c r="AA795" t="inlineStr">
        <is>
          <t>sd</t>
        </is>
      </c>
      <c r="AB795" t="inlineStr">
        <is>
          <t>sd|32.78567,-117.23647</t>
        </is>
      </c>
    </row>
    <row r="796">
      <c r="A796" t="inlineStr">
        <is>
          <t>SD-B2-795</t>
        </is>
      </c>
      <c r="B796" t="inlineStr">
        <is>
          <t>San Diego area</t>
        </is>
      </c>
      <c r="C796" t="inlineStr">
        <is>
          <t>Nimitz Boulevard</t>
        </is>
      </c>
      <c r="D796" t="inlineStr">
        <is>
          <t>(see map link)</t>
        </is>
      </c>
      <c r="E796" t="inlineStr">
        <is>
          <t>Atascadero Drive</t>
        </is>
      </c>
      <c r="F796" t="inlineStr">
        <is>
          <t>159947684</t>
        </is>
      </c>
      <c r="G796" t="n">
        <v>25</v>
      </c>
      <c r="H796" t="inlineStr">
        <is>
          <t>mapillary</t>
        </is>
      </c>
      <c r="I796" t="inlineStr">
        <is>
          <t>cart+LSV</t>
        </is>
      </c>
      <c r="J796" t="inlineStr">
        <is>
          <t>https://www.google.com/maps/@?api=1&amp;map_action=pano&amp;viewpoint=32.742730,-117.232690&amp;heading=167</t>
        </is>
      </c>
      <c r="K796" t="inlineStr">
        <is>
          <t>https://www.google.com/maps/search/?api=1&amp;query=32.742730,-117.232690</t>
        </is>
      </c>
      <c r="L796" t="inlineStr"/>
      <c r="M796" t="inlineStr"/>
      <c r="N796" t="inlineStr"/>
      <c r="O796" t="inlineStr"/>
      <c r="P796" t="inlineStr">
        <is>
          <t>pending</t>
        </is>
      </c>
      <c r="Q796" t="inlineStr"/>
      <c r="R796" t="inlineStr"/>
      <c r="S796" t="inlineStr"/>
      <c r="T796" t="inlineStr">
        <is>
          <t>Mapillary: 2 posted 25 mph sign(s) detected</t>
        </is>
      </c>
      <c r="U796" t="inlineStr">
        <is>
          <t>https://www.mapillary.com/app/?lat=32.739777&amp;lng=-117.231650&amp;z=19&amp;focus=map&amp;mapFeatureId=623781320410731</t>
        </is>
      </c>
      <c r="V796">
        <f>IF(OR(L796="",S796=""),"",IF(VALUE(L796)=VALUE(S796),"Y","N"))</f>
        <v/>
      </c>
      <c r="W796">
        <f>IF(V796="Y",S796,"")</f>
        <v/>
      </c>
      <c r="X796" t="inlineStr">
        <is>
          <t>unverified: map has 25 mph (one Mapillary sign); is it 25 (carts OK) or 30+?</t>
        </is>
      </c>
      <c r="Y796" t="inlineStr"/>
      <c r="Z796" t="n">
        <v>797</v>
      </c>
      <c r="AA796" t="inlineStr">
        <is>
          <t>sd</t>
        </is>
      </c>
      <c r="AB796" t="inlineStr">
        <is>
          <t>sd|32.74273,-117.23269</t>
        </is>
      </c>
    </row>
    <row r="797">
      <c r="A797" t="inlineStr">
        <is>
          <t>SD-B2-796</t>
        </is>
      </c>
      <c r="B797" t="inlineStr">
        <is>
          <t>San Diego area</t>
        </is>
      </c>
      <c r="C797" t="inlineStr">
        <is>
          <t>Canyon Drive</t>
        </is>
      </c>
      <c r="D797" t="inlineStr">
        <is>
          <t>Bush Street</t>
        </is>
      </c>
      <c r="E797" t="inlineStr">
        <is>
          <t>San Luis Rey Mission Expressway</t>
        </is>
      </c>
      <c r="F797" t="inlineStr">
        <is>
          <t>449107573</t>
        </is>
      </c>
      <c r="G797" t="n">
        <v>45</v>
      </c>
      <c r="H797" t="inlineStr">
        <is>
          <t>tag</t>
        </is>
      </c>
      <c r="I797" t="inlineStr">
        <is>
          <t>no</t>
        </is>
      </c>
      <c r="J797" t="inlineStr">
        <is>
          <t>https://www.google.com/maps/@?api=1&amp;map_action=pano&amp;viewpoint=33.210130,-117.366850&amp;heading=349</t>
        </is>
      </c>
      <c r="K797" t="inlineStr">
        <is>
          <t>https://www.google.com/maps/search/?api=1&amp;query=33.210130,-117.366850</t>
        </is>
      </c>
      <c r="L797" t="inlineStr"/>
      <c r="M797" t="inlineStr"/>
      <c r="N797" t="inlineStr"/>
      <c r="O797" t="inlineStr"/>
      <c r="P797" t="inlineStr">
        <is>
          <t>pending</t>
        </is>
      </c>
      <c r="Q797" t="inlineStr"/>
      <c r="R797" t="inlineStr"/>
      <c r="S797" t="inlineStr"/>
      <c r="T797" t="inlineStr"/>
      <c r="U797" t="inlineStr"/>
      <c r="V797">
        <f>IF(OR(L797="",S797=""),"",IF(VALUE(L797)=VALUE(S797),"Y","N"))</f>
        <v/>
      </c>
      <c r="W797">
        <f>IF(V797="Y",S797,"")</f>
        <v/>
      </c>
      <c r="X797" t="inlineStr">
        <is>
          <t>unverified: map has 45 mph (OSM tag only); main road: what is posted? 35 or lower opens it to LSVs</t>
        </is>
      </c>
      <c r="Y797" t="inlineStr"/>
      <c r="Z797" t="n">
        <v>764</v>
      </c>
      <c r="AA797" t="inlineStr">
        <is>
          <t>sd</t>
        </is>
      </c>
      <c r="AB797" t="inlineStr">
        <is>
          <t>sd|33.21013,-117.36685</t>
        </is>
      </c>
    </row>
    <row r="798">
      <c r="A798" t="inlineStr">
        <is>
          <t>SD-B2-797</t>
        </is>
      </c>
      <c r="B798" t="inlineStr">
        <is>
          <t>San Diego area</t>
        </is>
      </c>
      <c r="C798" t="inlineStr">
        <is>
          <t>Ivey Ranch Road</t>
        </is>
      </c>
      <c r="D798" t="inlineStr">
        <is>
          <t>(see map link)</t>
        </is>
      </c>
      <c r="E798" t="inlineStr">
        <is>
          <t>Mesa Drive</t>
        </is>
      </c>
      <c r="F798" t="inlineStr">
        <is>
          <t>207134595</t>
        </is>
      </c>
      <c r="G798" t="n">
        <v>25</v>
      </c>
      <c r="H798" t="inlineStr">
        <is>
          <t>inferred</t>
        </is>
      </c>
      <c r="I798" t="inlineStr">
        <is>
          <t>cart+LSV</t>
        </is>
      </c>
      <c r="J798" t="inlineStr">
        <is>
          <t>https://www.google.com/maps/@?api=1&amp;map_action=pano&amp;viewpoint=33.219265,-117.309840&amp;heading=16</t>
        </is>
      </c>
      <c r="K798" t="inlineStr">
        <is>
          <t>https://www.google.com/maps/search/?api=1&amp;query=33.219265,-117.309840</t>
        </is>
      </c>
      <c r="L798" t="inlineStr"/>
      <c r="M798" t="inlineStr"/>
      <c r="N798" t="inlineStr"/>
      <c r="O798" t="inlineStr"/>
      <c r="P798" t="inlineStr">
        <is>
          <t>pending</t>
        </is>
      </c>
      <c r="Q798" t="inlineStr"/>
      <c r="R798" t="inlineStr"/>
      <c r="S798" t="inlineStr"/>
      <c r="T798" t="inlineStr"/>
      <c r="U798" t="inlineStr"/>
      <c r="V798">
        <f>IF(OR(L798="",S798=""),"",IF(VALUE(L798)=VALUE(S798),"Y","N"))</f>
        <v/>
      </c>
      <c r="W798">
        <f>IF(V798="Y",S798,"")</f>
        <v/>
      </c>
      <c r="X798" t="inlineStr">
        <is>
          <t>unverified: map has 25 mph (guessed from road type); is it 25 (carts OK) or 30+?</t>
        </is>
      </c>
      <c r="Y798" t="inlineStr"/>
      <c r="Z798" t="n">
        <v>734</v>
      </c>
      <c r="AA798" t="inlineStr">
        <is>
          <t>sd</t>
        </is>
      </c>
      <c r="AB798" t="inlineStr">
        <is>
          <t>sd|33.21927,-117.30984</t>
        </is>
      </c>
    </row>
    <row r="799">
      <c r="A799" t="inlineStr">
        <is>
          <t>SD-B2-798</t>
        </is>
      </c>
      <c r="B799" t="inlineStr">
        <is>
          <t>San Diego area</t>
        </is>
      </c>
      <c r="C799" t="inlineStr">
        <is>
          <t>Landis Street</t>
        </is>
      </c>
      <c r="D799" t="inlineStr">
        <is>
          <t>Ray Street</t>
        </is>
      </c>
      <c r="E799" t="inlineStr">
        <is>
          <t>Bancroft Street</t>
        </is>
      </c>
      <c r="F799" t="inlineStr">
        <is>
          <t>159273243</t>
        </is>
      </c>
      <c r="G799" t="inlineStr"/>
      <c r="H799" t="inlineStr">
        <is>
          <t>inferred</t>
        </is>
      </c>
      <c r="I799" t="inlineStr">
        <is>
          <t>no</t>
        </is>
      </c>
      <c r="J799" t="inlineStr">
        <is>
          <t>https://www.google.com/maps/@?api=1&amp;map_action=pano&amp;viewpoint=32.745610,-117.127445&amp;heading=90</t>
        </is>
      </c>
      <c r="K799" t="inlineStr">
        <is>
          <t>https://www.google.com/maps/search/?api=1&amp;query=32.745610,-117.127445</t>
        </is>
      </c>
      <c r="L799" t="inlineStr"/>
      <c r="M799" t="inlineStr"/>
      <c r="N799" t="inlineStr"/>
      <c r="O799" t="inlineStr"/>
      <c r="P799" t="inlineStr">
        <is>
          <t>pending</t>
        </is>
      </c>
      <c r="Q799" t="inlineStr"/>
      <c r="R799" t="inlineStr"/>
      <c r="S799" t="inlineStr"/>
      <c r="T799" t="inlineStr"/>
      <c r="U799" t="inlineStr"/>
      <c r="V799">
        <f>IF(OR(L799="",S799=""),"",IF(VALUE(L799)=VALUE(S799),"Y","N"))</f>
        <v/>
      </c>
      <c r="W799">
        <f>IF(V799="Y",S799,"")</f>
        <v/>
      </c>
      <c r="X799" t="inlineStr">
        <is>
          <t>unverified: map has no limit (guessed from road type); main road: what is posted? 35 or lower opens it to LSVs</t>
        </is>
      </c>
      <c r="Y799" t="inlineStr"/>
      <c r="Z799" t="n">
        <v>587</v>
      </c>
      <c r="AA799" t="inlineStr">
        <is>
          <t>sd</t>
        </is>
      </c>
      <c r="AB799" t="inlineStr">
        <is>
          <t>sd|32.74561,-117.12744</t>
        </is>
      </c>
    </row>
    <row r="800">
      <c r="A800" t="inlineStr">
        <is>
          <t>SD-B2-799</t>
        </is>
      </c>
      <c r="B800" t="inlineStr">
        <is>
          <t>San Diego area</t>
        </is>
      </c>
      <c r="C800" t="inlineStr">
        <is>
          <t>Gold Coast Drive</t>
        </is>
      </c>
      <c r="D800" t="inlineStr">
        <is>
          <t>Empress Avenue</t>
        </is>
      </c>
      <c r="E800" t="inlineStr">
        <is>
          <t>Parkdale Avenue</t>
        </is>
      </c>
      <c r="F800" t="inlineStr">
        <is>
          <t>1091362836</t>
        </is>
      </c>
      <c r="G800" t="n">
        <v>25</v>
      </c>
      <c r="H800" t="inlineStr">
        <is>
          <t>inferred</t>
        </is>
      </c>
      <c r="I800" t="inlineStr">
        <is>
          <t>cart+LSV</t>
        </is>
      </c>
      <c r="J800" t="inlineStr">
        <is>
          <t>https://www.google.com/maps/@?api=1&amp;map_action=pano&amp;viewpoint=32.905340,-117.152955&amp;heading=92</t>
        </is>
      </c>
      <c r="K800" t="inlineStr">
        <is>
          <t>https://www.google.com/maps/search/?api=1&amp;query=32.905340,-117.152955</t>
        </is>
      </c>
      <c r="L800" t="inlineStr"/>
      <c r="M800" t="inlineStr"/>
      <c r="N800" t="inlineStr"/>
      <c r="O800" t="inlineStr"/>
      <c r="P800" t="inlineStr">
        <is>
          <t>pending</t>
        </is>
      </c>
      <c r="Q800" t="inlineStr"/>
      <c r="R800" t="inlineStr"/>
      <c r="S800" t="inlineStr"/>
      <c r="T800" t="inlineStr"/>
      <c r="U800" t="inlineStr"/>
      <c r="V800">
        <f>IF(OR(L800="",S800=""),"",IF(VALUE(L800)=VALUE(S800),"Y","N"))</f>
        <v/>
      </c>
      <c r="W800">
        <f>IF(V800="Y",S800,"")</f>
        <v/>
      </c>
      <c r="X800" t="inlineStr">
        <is>
          <t>unverified: map has 25 mph (guessed from road type); is it 25 (carts OK) or 30+?</t>
        </is>
      </c>
      <c r="Y800" t="inlineStr"/>
      <c r="Z800" t="n">
        <v>734</v>
      </c>
      <c r="AA800" t="inlineStr">
        <is>
          <t>sd</t>
        </is>
      </c>
      <c r="AB800" t="inlineStr">
        <is>
          <t>sd|32.90534,-117.15295</t>
        </is>
      </c>
    </row>
    <row r="801">
      <c r="A801" t="inlineStr">
        <is>
          <t>SD-B2-800</t>
        </is>
      </c>
      <c r="B801" t="inlineStr">
        <is>
          <t>San Diego area</t>
        </is>
      </c>
      <c r="C801" t="inlineStr">
        <is>
          <t>Palm Avenue</t>
        </is>
      </c>
      <c r="D801" t="inlineStr">
        <is>
          <t>3rd Street</t>
        </is>
      </c>
      <c r="E801" t="inlineStr">
        <is>
          <t>D Avenue</t>
        </is>
      </c>
      <c r="F801" t="inlineStr">
        <is>
          <t>365545222</t>
        </is>
      </c>
      <c r="G801" t="n">
        <v>25</v>
      </c>
      <c r="H801" t="inlineStr">
        <is>
          <t>inferred</t>
        </is>
      </c>
      <c r="I801" t="inlineStr">
        <is>
          <t>cart+LSV</t>
        </is>
      </c>
      <c r="J801" t="inlineStr">
        <is>
          <t>https://www.google.com/maps/@?api=1&amp;map_action=pano&amp;viewpoint=32.692765,-117.177675&amp;heading=162</t>
        </is>
      </c>
      <c r="K801" t="inlineStr">
        <is>
          <t>https://www.google.com/maps/search/?api=1&amp;query=32.692765,-117.177675</t>
        </is>
      </c>
      <c r="L801" t="inlineStr"/>
      <c r="M801" t="inlineStr"/>
      <c r="N801" t="inlineStr"/>
      <c r="O801" t="inlineStr"/>
      <c r="P801" t="inlineStr">
        <is>
          <t>pending</t>
        </is>
      </c>
      <c r="Q801" t="inlineStr"/>
      <c r="R801" t="inlineStr"/>
      <c r="S801" t="inlineStr"/>
      <c r="T801" t="inlineStr"/>
      <c r="U801" t="inlineStr"/>
      <c r="V801">
        <f>IF(OR(L801="",S801=""),"",IF(VALUE(L801)=VALUE(S801),"Y","N"))</f>
        <v/>
      </c>
      <c r="W801">
        <f>IF(V801="Y",S801,"")</f>
        <v/>
      </c>
      <c r="X801" t="inlineStr">
        <is>
          <t>unverified: map has 25 mph (guessed from road type); is it 25 (carts OK) or 30+?</t>
        </is>
      </c>
      <c r="Y801" t="inlineStr"/>
      <c r="Z801" t="n">
        <v>732</v>
      </c>
      <c r="AA801" t="inlineStr">
        <is>
          <t>sd</t>
        </is>
      </c>
      <c r="AB801" t="inlineStr">
        <is>
          <t>sd|32.69276,-117.17767</t>
        </is>
      </c>
    </row>
    <row r="802">
      <c r="A802" t="inlineStr">
        <is>
          <t>SD-B2-801</t>
        </is>
      </c>
      <c r="B802" t="inlineStr">
        <is>
          <t>San Diego area</t>
        </is>
      </c>
      <c r="C802" t="inlineStr">
        <is>
          <t>Novara Street</t>
        </is>
      </c>
      <c r="D802" t="inlineStr">
        <is>
          <t>Devonshire Drive</t>
        </is>
      </c>
      <c r="E802" t="inlineStr">
        <is>
          <t>Santa Barbara Street</t>
        </is>
      </c>
      <c r="F802" t="inlineStr">
        <is>
          <t>6009247</t>
        </is>
      </c>
      <c r="G802" t="n">
        <v>25</v>
      </c>
      <c r="H802" t="inlineStr">
        <is>
          <t>inferred</t>
        </is>
      </c>
      <c r="I802" t="inlineStr">
        <is>
          <t>cart+LSV</t>
        </is>
      </c>
      <c r="J802" t="inlineStr">
        <is>
          <t>https://www.google.com/maps/@?api=1&amp;map_action=pano&amp;viewpoint=32.728000,-117.252670&amp;heading=34</t>
        </is>
      </c>
      <c r="K802" t="inlineStr">
        <is>
          <t>https://www.google.com/maps/search/?api=1&amp;query=32.728000,-117.252670</t>
        </is>
      </c>
      <c r="L802" t="inlineStr"/>
      <c r="M802" t="inlineStr"/>
      <c r="N802" t="inlineStr"/>
      <c r="O802" t="inlineStr"/>
      <c r="P802" t="inlineStr">
        <is>
          <t>pending</t>
        </is>
      </c>
      <c r="Q802" t="inlineStr"/>
      <c r="R802" t="inlineStr"/>
      <c r="S802" t="inlineStr"/>
      <c r="T802" t="inlineStr"/>
      <c r="U802" t="inlineStr"/>
      <c r="V802">
        <f>IF(OR(L802="",S802=""),"",IF(VALUE(L802)=VALUE(S802),"Y","N"))</f>
        <v/>
      </c>
      <c r="W802">
        <f>IF(V802="Y",S802,"")</f>
        <v/>
      </c>
      <c r="X802" t="inlineStr">
        <is>
          <t>unverified: map has 25 mph (guessed from road type); is it 25 (carts OK) or 30+?</t>
        </is>
      </c>
      <c r="Y802" t="inlineStr"/>
      <c r="Z802" t="n">
        <v>730</v>
      </c>
      <c r="AA802" t="inlineStr">
        <is>
          <t>sd</t>
        </is>
      </c>
      <c r="AB802" t="inlineStr">
        <is>
          <t>sd|32.72800,-117.25267</t>
        </is>
      </c>
    </row>
    <row r="803">
      <c r="A803" t="inlineStr">
        <is>
          <t>SD-B2-802</t>
        </is>
      </c>
      <c r="B803" t="inlineStr">
        <is>
          <t>San Diego area</t>
        </is>
      </c>
      <c r="C803" t="inlineStr">
        <is>
          <t>Carmel Country Road</t>
        </is>
      </c>
      <c r="D803" t="inlineStr">
        <is>
          <t>Del Mar Mesa Road</t>
        </is>
      </c>
      <c r="E803" t="inlineStr">
        <is>
          <t>Sagamore Way</t>
        </is>
      </c>
      <c r="F803" t="inlineStr">
        <is>
          <t>436425400</t>
        </is>
      </c>
      <c r="G803" t="n">
        <v>35</v>
      </c>
      <c r="H803" t="inlineStr">
        <is>
          <t>tag</t>
        </is>
      </c>
      <c r="I803" t="inlineStr">
        <is>
          <t>LSV</t>
        </is>
      </c>
      <c r="J803" t="inlineStr">
        <is>
          <t>https://www.google.com/maps/@?api=1&amp;map_action=pano&amp;viewpoint=32.935240,-117.209860&amp;heading=308</t>
        </is>
      </c>
      <c r="K803" t="inlineStr">
        <is>
          <t>https://www.google.com/maps/search/?api=1&amp;query=32.935240,-117.209860</t>
        </is>
      </c>
      <c r="L803" t="inlineStr"/>
      <c r="M803" t="inlineStr"/>
      <c r="N803" t="inlineStr"/>
      <c r="O803" t="inlineStr"/>
      <c r="P803" t="inlineStr">
        <is>
          <t>pending</t>
        </is>
      </c>
      <c r="Q803" t="inlineStr"/>
      <c r="R803" t="inlineStr"/>
      <c r="S803" t="inlineStr"/>
      <c r="T803" t="inlineStr"/>
      <c r="U803" t="inlineStr"/>
      <c r="V803">
        <f>IF(OR(L803="",S803=""),"",IF(VALUE(L803)=VALUE(S803),"Y","N"))</f>
        <v/>
      </c>
      <c r="W803">
        <f>IF(V803="Y",S803,"")</f>
        <v/>
      </c>
      <c r="X803" t="inlineStr">
        <is>
          <t>unverified: map has 35 mph (OSM tag only); is it 35 (LSV OK) or 40+?</t>
        </is>
      </c>
      <c r="Y803" t="inlineStr"/>
      <c r="Z803" t="n">
        <v>759</v>
      </c>
      <c r="AA803" t="inlineStr">
        <is>
          <t>sd</t>
        </is>
      </c>
      <c r="AB803" t="inlineStr">
        <is>
          <t>sd|32.93524,-117.20986</t>
        </is>
      </c>
    </row>
    <row r="804">
      <c r="A804" t="inlineStr">
        <is>
          <t>SD-B2-803</t>
        </is>
      </c>
      <c r="B804" t="inlineStr">
        <is>
          <t>San Diego area</t>
        </is>
      </c>
      <c r="C804" t="inlineStr">
        <is>
          <t>3rd Street</t>
        </is>
      </c>
      <c r="D804" t="inlineStr">
        <is>
          <t>West E Street</t>
        </is>
      </c>
      <c r="E804" t="inlineStr">
        <is>
          <t>West D Street</t>
        </is>
      </c>
      <c r="F804" t="inlineStr">
        <is>
          <t>835171308</t>
        </is>
      </c>
      <c r="G804" t="n">
        <v>25</v>
      </c>
      <c r="H804" t="inlineStr">
        <is>
          <t>inferred</t>
        </is>
      </c>
      <c r="I804" t="inlineStr">
        <is>
          <t>cart+LSV</t>
        </is>
      </c>
      <c r="J804" t="inlineStr">
        <is>
          <t>https://www.google.com/maps/@?api=1&amp;map_action=pano&amp;viewpoint=33.043835,-117.295510&amp;heading=174</t>
        </is>
      </c>
      <c r="K804" t="inlineStr">
        <is>
          <t>https://www.google.com/maps/search/?api=1&amp;query=33.043835,-117.295510</t>
        </is>
      </c>
      <c r="L804" t="inlineStr"/>
      <c r="M804" t="inlineStr"/>
      <c r="N804" t="inlineStr"/>
      <c r="O804" t="inlineStr"/>
      <c r="P804" t="inlineStr">
        <is>
          <t>pending</t>
        </is>
      </c>
      <c r="Q804" t="inlineStr"/>
      <c r="R804" t="inlineStr"/>
      <c r="S804" t="inlineStr"/>
      <c r="T804" t="inlineStr"/>
      <c r="U804" t="inlineStr"/>
      <c r="V804">
        <f>IF(OR(L804="",S804=""),"",IF(VALUE(L804)=VALUE(S804),"Y","N"))</f>
        <v/>
      </c>
      <c r="W804">
        <f>IF(V804="Y",S804,"")</f>
        <v/>
      </c>
      <c r="X804" t="inlineStr">
        <is>
          <t>unverified: map has 25 mph (guessed from road type); is it 25 (carts OK) or 30+?</t>
        </is>
      </c>
      <c r="Y804" t="inlineStr"/>
      <c r="Z804" t="n">
        <v>730</v>
      </c>
      <c r="AA804" t="inlineStr">
        <is>
          <t>sd</t>
        </is>
      </c>
      <c r="AB804" t="inlineStr">
        <is>
          <t>sd|33.04384,-117.29551</t>
        </is>
      </c>
    </row>
    <row r="805">
      <c r="A805" t="inlineStr">
        <is>
          <t>SD-B2-804</t>
        </is>
      </c>
      <c r="B805" t="inlineStr">
        <is>
          <t>San Diego area</t>
        </is>
      </c>
      <c r="C805" t="inlineStr">
        <is>
          <t>1st Avenue</t>
        </is>
      </c>
      <c r="D805" t="inlineStr">
        <is>
          <t>West Washington Street</t>
        </is>
      </c>
      <c r="E805" t="inlineStr">
        <is>
          <t>Lewis Street</t>
        </is>
      </c>
      <c r="F805" t="inlineStr">
        <is>
          <t>987596756</t>
        </is>
      </c>
      <c r="G805" t="n">
        <v>25</v>
      </c>
      <c r="H805" t="inlineStr">
        <is>
          <t>inferred</t>
        </is>
      </c>
      <c r="I805" t="inlineStr">
        <is>
          <t>cart+LSV</t>
        </is>
      </c>
      <c r="J805" t="inlineStr">
        <is>
          <t>https://www.google.com/maps/@?api=1&amp;map_action=pano&amp;viewpoint=32.751780,-117.163940&amp;heading=360</t>
        </is>
      </c>
      <c r="K805" t="inlineStr">
        <is>
          <t>https://www.google.com/maps/search/?api=1&amp;query=32.751780,-117.163940</t>
        </is>
      </c>
      <c r="L805" t="inlineStr"/>
      <c r="M805" t="inlineStr"/>
      <c r="N805" t="inlineStr"/>
      <c r="O805" t="inlineStr"/>
      <c r="P805" t="inlineStr">
        <is>
          <t>pending</t>
        </is>
      </c>
      <c r="Q805" t="inlineStr"/>
      <c r="R805" t="inlineStr"/>
      <c r="S805" t="inlineStr"/>
      <c r="T805" t="inlineStr"/>
      <c r="U805" t="inlineStr"/>
      <c r="V805">
        <f>IF(OR(L805="",S805=""),"",IF(VALUE(L805)=VALUE(S805),"Y","N"))</f>
        <v/>
      </c>
      <c r="W805">
        <f>IF(V805="Y",S805,"")</f>
        <v/>
      </c>
      <c r="X805" t="inlineStr">
        <is>
          <t>unverified: map has 25 mph (guessed from road type); is it 25 (carts OK) or 30+?</t>
        </is>
      </c>
      <c r="Y805" t="inlineStr"/>
      <c r="Z805" t="n">
        <v>729</v>
      </c>
      <c r="AA805" t="inlineStr">
        <is>
          <t>sd</t>
        </is>
      </c>
      <c r="AB805" t="inlineStr">
        <is>
          <t>sd|32.75178,-117.16394</t>
        </is>
      </c>
    </row>
    <row r="806">
      <c r="A806" t="inlineStr">
        <is>
          <t>SD-B2-805</t>
        </is>
      </c>
      <c r="B806" t="inlineStr">
        <is>
          <t>San Diego area</t>
        </is>
      </c>
      <c r="C806" t="inlineStr">
        <is>
          <t>Glaser Drive</t>
        </is>
      </c>
      <c r="D806" t="inlineStr">
        <is>
          <t>(see map link)</t>
        </is>
      </c>
      <c r="E806" t="inlineStr">
        <is>
          <t>Rancho del Oro Road</t>
        </is>
      </c>
      <c r="F806" t="inlineStr">
        <is>
          <t>594534064</t>
        </is>
      </c>
      <c r="G806" t="n">
        <v>25</v>
      </c>
      <c r="H806" t="inlineStr">
        <is>
          <t>inferred</t>
        </is>
      </c>
      <c r="I806" t="inlineStr">
        <is>
          <t>cart+LSV</t>
        </is>
      </c>
      <c r="J806" t="inlineStr">
        <is>
          <t>https://www.google.com/maps/@?api=1&amp;map_action=pano&amp;viewpoint=33.191520,-117.306510&amp;heading=260</t>
        </is>
      </c>
      <c r="K806" t="inlineStr">
        <is>
          <t>https://www.google.com/maps/search/?api=1&amp;query=33.191520,-117.306510</t>
        </is>
      </c>
      <c r="L806" t="inlineStr"/>
      <c r="M806" t="inlineStr"/>
      <c r="N806" t="inlineStr"/>
      <c r="O806" t="inlineStr"/>
      <c r="P806" t="inlineStr">
        <is>
          <t>pending</t>
        </is>
      </c>
      <c r="Q806" t="inlineStr"/>
      <c r="R806" t="inlineStr"/>
      <c r="S806" t="inlineStr"/>
      <c r="T806" t="inlineStr"/>
      <c r="U806" t="inlineStr"/>
      <c r="V806">
        <f>IF(OR(L806="",S806=""),"",IF(VALUE(L806)=VALUE(S806),"Y","N"))</f>
        <v/>
      </c>
      <c r="W806">
        <f>IF(V806="Y",S806,"")</f>
        <v/>
      </c>
      <c r="X806" t="inlineStr">
        <is>
          <t>unverified: map has 25 mph (guessed from road type); is it 25 (carts OK) or 30+?</t>
        </is>
      </c>
      <c r="Y806" t="inlineStr"/>
      <c r="Z806" t="n">
        <v>728</v>
      </c>
      <c r="AA806" t="inlineStr">
        <is>
          <t>sd</t>
        </is>
      </c>
      <c r="AB806" t="inlineStr">
        <is>
          <t>sd|33.19152,-117.30651</t>
        </is>
      </c>
    </row>
    <row r="807">
      <c r="A807" t="inlineStr">
        <is>
          <t>SD-B2-806</t>
        </is>
      </c>
      <c r="B807" t="inlineStr">
        <is>
          <t>San Diego area</t>
        </is>
      </c>
      <c r="C807" t="inlineStr">
        <is>
          <t>Crown Point Drive</t>
        </is>
      </c>
      <c r="D807" t="inlineStr">
        <is>
          <t>(see map link)</t>
        </is>
      </c>
      <c r="E807" t="inlineStr">
        <is>
          <t>Sequoia Street</t>
        </is>
      </c>
      <c r="F807" t="inlineStr">
        <is>
          <t>6003406</t>
        </is>
      </c>
      <c r="G807" t="n">
        <v>30</v>
      </c>
      <c r="H807" t="inlineStr">
        <is>
          <t>mapillary</t>
        </is>
      </c>
      <c r="I807" t="inlineStr">
        <is>
          <t>LSV</t>
        </is>
      </c>
      <c r="J807" t="inlineStr">
        <is>
          <t>https://www.google.com/maps/@?api=1&amp;map_action=pano&amp;viewpoint=32.784420,-117.233980&amp;heading=10</t>
        </is>
      </c>
      <c r="K807" t="inlineStr">
        <is>
          <t>https://www.google.com/maps/search/?api=1&amp;query=32.784420,-117.233980</t>
        </is>
      </c>
      <c r="L807" t="inlineStr"/>
      <c r="M807" t="inlineStr"/>
      <c r="N807" t="inlineStr"/>
      <c r="O807" t="inlineStr"/>
      <c r="P807" t="inlineStr">
        <is>
          <t>pending</t>
        </is>
      </c>
      <c r="Q807" t="inlineStr"/>
      <c r="R807" t="inlineStr"/>
      <c r="S807" t="inlineStr"/>
      <c r="T807" t="inlineStr">
        <is>
          <t>Mapillary: 3 posted 30 mph sign(s) detected</t>
        </is>
      </c>
      <c r="U807" t="inlineStr">
        <is>
          <t>https://www.mapillary.com/app/?lat=32.787760&amp;lng=-117.234550&amp;z=19&amp;focus=map&amp;mapFeatureId=890275008369006</t>
        </is>
      </c>
      <c r="V807">
        <f>IF(OR(L807="",S807=""),"",IF(VALUE(L807)=VALUE(S807),"Y","N"))</f>
        <v/>
      </c>
      <c r="W807">
        <f>IF(V807="Y",S807,"")</f>
        <v/>
      </c>
      <c r="X807" t="inlineStr">
        <is>
          <t>unverified: map has 30 mph (one Mapillary sign); is it 25 (carts OK) or 30+?</t>
        </is>
      </c>
      <c r="Y807" t="inlineStr"/>
      <c r="Z807" t="n">
        <v>1183</v>
      </c>
      <c r="AA807" t="inlineStr">
        <is>
          <t>sd</t>
        </is>
      </c>
      <c r="AB807" t="inlineStr">
        <is>
          <t>sd|32.78442,-117.23398</t>
        </is>
      </c>
    </row>
    <row r="808">
      <c r="A808" t="inlineStr">
        <is>
          <t>SD-B2-807</t>
        </is>
      </c>
      <c r="B808" t="inlineStr">
        <is>
          <t>San Diego area</t>
        </is>
      </c>
      <c r="C808" t="inlineStr">
        <is>
          <t>North 10th Avenue</t>
        </is>
      </c>
      <c r="D808" t="inlineStr">
        <is>
          <t>10th Avenue</t>
        </is>
      </c>
      <c r="E808" t="inlineStr">
        <is>
          <t>Park Boulevard</t>
        </is>
      </c>
      <c r="F808" t="inlineStr">
        <is>
          <t>617498990</t>
        </is>
      </c>
      <c r="G808" t="inlineStr"/>
      <c r="H808" t="inlineStr">
        <is>
          <t>inferred</t>
        </is>
      </c>
      <c r="I808" t="inlineStr">
        <is>
          <t>no</t>
        </is>
      </c>
      <c r="J808" t="inlineStr">
        <is>
          <t>https://www.google.com/maps/@?api=1&amp;map_action=pano&amp;viewpoint=32.710975,-117.155565&amp;heading=180</t>
        </is>
      </c>
      <c r="K808" t="inlineStr">
        <is>
          <t>https://www.google.com/maps/search/?api=1&amp;query=32.710975,-117.155565</t>
        </is>
      </c>
      <c r="L808" t="inlineStr"/>
      <c r="M808" t="inlineStr"/>
      <c r="N808" t="inlineStr"/>
      <c r="O808" t="inlineStr"/>
      <c r="P808" t="inlineStr">
        <is>
          <t>pending</t>
        </is>
      </c>
      <c r="Q808" t="inlineStr"/>
      <c r="R808" t="inlineStr"/>
      <c r="S808" t="inlineStr"/>
      <c r="T808" t="inlineStr"/>
      <c r="U808" t="inlineStr"/>
      <c r="V808">
        <f>IF(OR(L808="",S808=""),"",IF(VALUE(L808)=VALUE(S808),"Y","N"))</f>
        <v/>
      </c>
      <c r="W808">
        <f>IF(V808="Y",S808,"")</f>
        <v/>
      </c>
      <c r="X808" t="inlineStr">
        <is>
          <t>unverified: map has no limit (guessed from road type); main road: what is posted? 35 or lower opens it to LSVs</t>
        </is>
      </c>
      <c r="Y808" t="inlineStr"/>
      <c r="Z808" t="n">
        <v>484</v>
      </c>
      <c r="AA808" t="inlineStr">
        <is>
          <t>sd</t>
        </is>
      </c>
      <c r="AB808" t="inlineStr">
        <is>
          <t>sd|32.71097,-117.15556</t>
        </is>
      </c>
    </row>
    <row r="809">
      <c r="A809" t="inlineStr">
        <is>
          <t>AMELIA-B2-001</t>
        </is>
      </c>
      <c r="B809" t="inlineStr">
        <is>
          <t>Amelia Island / Fernandina Beach, FL</t>
        </is>
      </c>
      <c r="C809" t="inlineStr">
        <is>
          <t>Amelia Road</t>
        </is>
      </c>
      <c r="D809" t="inlineStr">
        <is>
          <t>Airport Road</t>
        </is>
      </c>
      <c r="E809" t="inlineStr">
        <is>
          <t>(see map link)</t>
        </is>
      </c>
      <c r="F809" t="inlineStr"/>
      <c r="G809" t="n">
        <v>45</v>
      </c>
      <c r="H809" t="inlineStr">
        <is>
          <t>city/county</t>
        </is>
      </c>
      <c r="I809" t="inlineStr">
        <is>
          <t>no</t>
        </is>
      </c>
      <c r="J809" t="inlineStr">
        <is>
          <t>https://www.google.com/maps/@?api=1&amp;map_action=pano&amp;viewpoint=30.619440,-81.457220&amp;heading=0</t>
        </is>
      </c>
      <c r="K809" t="inlineStr">
        <is>
          <t>https://www.google.com/maps/search/?api=1&amp;query=30.619440,-81.457220</t>
        </is>
      </c>
      <c r="L809" t="inlineStr"/>
      <c r="M809" t="inlineStr"/>
      <c r="N809" t="inlineStr"/>
      <c r="O809" t="inlineStr"/>
      <c r="P809" t="inlineStr">
        <is>
          <t>pending</t>
        </is>
      </c>
      <c r="Q809" t="inlineStr"/>
      <c r="R809" t="inlineStr"/>
      <c r="S809" t="inlineStr"/>
      <c r="T809" t="inlineStr">
        <is>
          <t>FDOT Maximum Speed Limit (TDA): 74530000 posted 45 mph</t>
        </is>
      </c>
      <c r="U809" t="inlineStr">
        <is>
          <t>https://gis-fdot.opendata.arcgis.com/datasets/maximum-speed-limit-tda</t>
        </is>
      </c>
      <c r="V809">
        <f>IF(OR(L809="",S809=""),"",IF(VALUE(L809)=VALUE(S809),"Y","N"))</f>
        <v/>
      </c>
      <c r="W809">
        <f>IF(V809="Y",S809,"")</f>
        <v/>
      </c>
      <c r="X809" t="inlineStr">
        <is>
          <t>RED ISLAND: 45 m of Amelia Road at 45 mph between 25/30 mph on both sides (confirmed); is the posted limit really higher here?</t>
        </is>
      </c>
      <c r="Y809" t="inlineStr"/>
      <c r="Z809" t="n">
        <v>45</v>
      </c>
      <c r="AA809" t="inlineStr">
        <is>
          <t>amelia</t>
        </is>
      </c>
      <c r="AB809" t="inlineStr">
        <is>
          <t>amelia|30.61944,-81.45722</t>
        </is>
      </c>
    </row>
    <row r="810">
      <c r="A810" t="inlineStr">
        <is>
          <t>BHI-B2-001</t>
        </is>
      </c>
      <c r="B810" t="inlineStr">
        <is>
          <t>Bald Head Island / Southport, NC</t>
        </is>
      </c>
      <c r="C810" t="inlineStr">
        <is>
          <t>River Road Southeast</t>
        </is>
      </c>
      <c r="D810" t="inlineStr">
        <is>
          <t>North Howe Street</t>
        </is>
      </c>
      <c r="E810" t="inlineStr">
        <is>
          <t>Rob Gandy Boulevard</t>
        </is>
      </c>
      <c r="F810" t="inlineStr"/>
      <c r="G810" t="inlineStr"/>
      <c r="H810" t="inlineStr">
        <is>
          <t>inferred</t>
        </is>
      </c>
      <c r="I810" t="inlineStr">
        <is>
          <t>no</t>
        </is>
      </c>
      <c r="J810" t="inlineStr">
        <is>
          <t>https://www.google.com/maps/@?api=1&amp;map_action=pano&amp;viewpoint=33.946430,-78.022520&amp;heading=1</t>
        </is>
      </c>
      <c r="K810" t="inlineStr">
        <is>
          <t>https://www.google.com/maps/search/?api=1&amp;query=33.946430,-78.022520</t>
        </is>
      </c>
      <c r="L810" t="inlineStr"/>
      <c r="M810" t="inlineStr"/>
      <c r="N810" t="inlineStr"/>
      <c r="O810" t="inlineStr"/>
      <c r="P810" t="inlineStr">
        <is>
          <t>pending</t>
        </is>
      </c>
      <c r="Q810" t="inlineStr"/>
      <c r="R810" t="inlineStr"/>
      <c r="S810" t="inlineStr"/>
      <c r="T810" t="inlineStr"/>
      <c r="U810" t="inlineStr"/>
      <c r="V810">
        <f>IF(OR(L810="",S810=""),"",IF(VALUE(L810)=VALUE(S810),"Y","N"))</f>
        <v/>
      </c>
      <c r="W810">
        <f>IF(V810="Y",S810,"")</f>
        <v/>
      </c>
      <c r="X810" t="inlineStr">
        <is>
          <t>unverified: map has no limit (guessed from road type); main road: what is posted? 35 or lower opens it to LSVs</t>
        </is>
      </c>
      <c r="Y810" t="inlineStr"/>
      <c r="Z810" t="n">
        <v>1482</v>
      </c>
      <c r="AA810" t="inlineStr">
        <is>
          <t>bhi</t>
        </is>
      </c>
      <c r="AB810" t="inlineStr">
        <is>
          <t>bhi|33.94643,-78.02252</t>
        </is>
      </c>
    </row>
    <row r="811">
      <c r="A811" t="inlineStr">
        <is>
          <t>CHS-B2-001</t>
        </is>
      </c>
      <c r="B811" t="inlineStr">
        <is>
          <t>Charleston beach towns, SC</t>
        </is>
      </c>
      <c r="C811" t="inlineStr">
        <is>
          <t>Battery Island Drive</t>
        </is>
      </c>
      <c r="D811" t="inlineStr">
        <is>
          <t>Scudder Road</t>
        </is>
      </c>
      <c r="E811" t="inlineStr">
        <is>
          <t>Folly Road</t>
        </is>
      </c>
      <c r="F811" t="inlineStr"/>
      <c r="G811" t="n">
        <v>45</v>
      </c>
      <c r="H811" t="inlineStr">
        <is>
          <t>city/county</t>
        </is>
      </c>
      <c r="I811" t="inlineStr">
        <is>
          <t>no</t>
        </is>
      </c>
      <c r="J811" t="inlineStr">
        <is>
          <t>https://www.google.com/maps/@?api=1&amp;map_action=pano&amp;viewpoint=32.692030,-79.963620&amp;heading=252</t>
        </is>
      </c>
      <c r="K811" t="inlineStr">
        <is>
          <t>https://www.google.com/maps/search/?api=1&amp;query=32.692030,-79.963620</t>
        </is>
      </c>
      <c r="L811" t="inlineStr"/>
      <c r="M811" t="inlineStr"/>
      <c r="N811" t="inlineStr"/>
      <c r="O811" t="inlineStr"/>
      <c r="P811" t="inlineStr">
        <is>
          <t>pending</t>
        </is>
      </c>
      <c r="Q811" t="inlineStr"/>
      <c r="R811" t="inlineStr"/>
      <c r="S811" t="inlineStr"/>
      <c r="T811" t="inlineStr">
        <is>
          <t>SCDOT Speed Limits: 10040017100N posted 45 mph</t>
        </is>
      </c>
      <c r="U811" t="inlineStr">
        <is>
          <t>https://gis.scdot.org/hosting/rest/services/Speed_Limits/FeatureServer/16</t>
        </is>
      </c>
      <c r="V811">
        <f>IF(OR(L811="",S811=""),"",IF(VALUE(L811)=VALUE(S811),"Y","N"))</f>
        <v/>
      </c>
      <c r="W811">
        <f>IF(V811="Y",S811,"")</f>
        <v/>
      </c>
      <c r="X811" t="inlineStr">
        <is>
          <t>RED ISLAND: 178 m of Battery Island Drive at 45 mph between 25 mph on both sides (confirmed); is the posted limit really higher here?</t>
        </is>
      </c>
      <c r="Y811" t="inlineStr"/>
      <c r="Z811" t="n">
        <v>178</v>
      </c>
      <c r="AA811" t="inlineStr">
        <is>
          <t>chs</t>
        </is>
      </c>
      <c r="AB811" t="inlineStr">
        <is>
          <t>chs|32.69203,-79.96362</t>
        </is>
      </c>
    </row>
    <row r="812">
      <c r="A812" t="inlineStr">
        <is>
          <t>COACHELLA-B2-001</t>
        </is>
      </c>
      <c r="B812" t="inlineStr">
        <is>
          <t>Coachella Valley, CA</t>
        </is>
      </c>
      <c r="C812" t="inlineStr">
        <is>
          <t>Van Buren Street</t>
        </is>
      </c>
      <c r="D812" t="inlineStr">
        <is>
          <t>Avenue 52</t>
        </is>
      </c>
      <c r="E812" t="inlineStr">
        <is>
          <t>(see map link)</t>
        </is>
      </c>
      <c r="F812" t="inlineStr"/>
      <c r="G812" t="n">
        <v>45</v>
      </c>
      <c r="H812" t="inlineStr">
        <is>
          <t>tag</t>
        </is>
      </c>
      <c r="I812" t="inlineStr">
        <is>
          <t>no</t>
        </is>
      </c>
      <c r="J812" t="inlineStr">
        <is>
          <t>https://www.google.com/maps/@?api=1&amp;map_action=pano&amp;viewpoint=33.671620,-116.199055&amp;heading=179</t>
        </is>
      </c>
      <c r="K812" t="inlineStr">
        <is>
          <t>https://www.google.com/maps/search/?api=1&amp;query=33.671620,-116.199055</t>
        </is>
      </c>
      <c r="L812" t="inlineStr"/>
      <c r="M812" t="inlineStr"/>
      <c r="N812" t="inlineStr"/>
      <c r="O812" t="inlineStr"/>
      <c r="P812" t="inlineStr">
        <is>
          <t>pending</t>
        </is>
      </c>
      <c r="Q812" t="inlineStr"/>
      <c r="R812" t="inlineStr"/>
      <c r="S812" t="inlineStr"/>
      <c r="T812" t="inlineStr"/>
      <c r="U812" t="inlineStr"/>
      <c r="V812">
        <f>IF(OR(L812="",S812=""),"",IF(VALUE(L812)=VALUE(S812),"Y","N"))</f>
        <v/>
      </c>
      <c r="W812">
        <f>IF(V812="Y",S812,"")</f>
        <v/>
      </c>
      <c r="X812" t="inlineStr">
        <is>
          <t>RED ISLAND: 124 m of Van Buren Street at 45 mph between 25 mph on both sides (single); is the posted limit really higher here?</t>
        </is>
      </c>
      <c r="Y812" t="inlineStr"/>
      <c r="Z812" t="n">
        <v>124</v>
      </c>
      <c r="AA812" t="inlineStr">
        <is>
          <t>coachella</t>
        </is>
      </c>
      <c r="AB812" t="inlineStr">
        <is>
          <t>coachella|33.67162,-116.19906</t>
        </is>
      </c>
    </row>
    <row r="813">
      <c r="A813" t="inlineStr">
        <is>
          <t>COACHELLA-B2-002</t>
        </is>
      </c>
      <c r="B813" t="inlineStr">
        <is>
          <t>Coachella Valley, CA</t>
        </is>
      </c>
      <c r="C813" t="inlineStr">
        <is>
          <t>Oasis Street</t>
        </is>
      </c>
      <c r="D813" t="inlineStr">
        <is>
          <t>(see map link)</t>
        </is>
      </c>
      <c r="E813" t="inlineStr">
        <is>
          <t>Doctor Carreon Boulevard</t>
        </is>
      </c>
      <c r="F813" t="inlineStr"/>
      <c r="G813" t="n">
        <v>45</v>
      </c>
      <c r="H813" t="inlineStr">
        <is>
          <t>tag</t>
        </is>
      </c>
      <c r="I813" t="inlineStr">
        <is>
          <t>no</t>
        </is>
      </c>
      <c r="J813" t="inlineStr">
        <is>
          <t>https://www.google.com/maps/@?api=1&amp;map_action=pano&amp;viewpoint=33.709475,-116.220865&amp;heading=181</t>
        </is>
      </c>
      <c r="K813" t="inlineStr">
        <is>
          <t>https://www.google.com/maps/search/?api=1&amp;query=33.709475,-116.220865</t>
        </is>
      </c>
      <c r="L813" t="inlineStr"/>
      <c r="M813" t="inlineStr"/>
      <c r="N813" t="inlineStr"/>
      <c r="O813" t="inlineStr"/>
      <c r="P813" t="inlineStr">
        <is>
          <t>pending</t>
        </is>
      </c>
      <c r="Q813" t="inlineStr"/>
      <c r="R813" t="inlineStr"/>
      <c r="S813" t="inlineStr"/>
      <c r="T813" t="inlineStr"/>
      <c r="U813" t="inlineStr"/>
      <c r="V813">
        <f>IF(OR(L813="",S813=""),"",IF(VALUE(L813)=VALUE(S813),"Y","N"))</f>
        <v/>
      </c>
      <c r="W813">
        <f>IF(V813="Y",S813,"")</f>
        <v/>
      </c>
      <c r="X813" t="inlineStr">
        <is>
          <t>RED ISLAND: 406 m of Oasis Street at 45 mph between 25 mph on both sides (single); is the posted limit really higher here?</t>
        </is>
      </c>
      <c r="Y813" t="inlineStr"/>
      <c r="Z813" t="n">
        <v>406</v>
      </c>
      <c r="AA813" t="inlineStr">
        <is>
          <t>coachella</t>
        </is>
      </c>
      <c r="AB813" t="inlineStr">
        <is>
          <t>coachella|33.70947,-116.22087</t>
        </is>
      </c>
    </row>
    <row r="814">
      <c r="A814" t="inlineStr">
        <is>
          <t>COACHELLA-B2-003</t>
        </is>
      </c>
      <c r="B814" t="inlineStr">
        <is>
          <t>Coachella Valley, CA</t>
        </is>
      </c>
      <c r="C814" t="inlineStr">
        <is>
          <t>Cesar Chavez Street</t>
        </is>
      </c>
      <c r="D814" t="inlineStr">
        <is>
          <t>Avenue 52</t>
        </is>
      </c>
      <c r="E814" t="inlineStr">
        <is>
          <t>Cairo Avenue</t>
        </is>
      </c>
      <c r="F814" t="inlineStr"/>
      <c r="G814" t="inlineStr"/>
      <c r="H814" t="inlineStr">
        <is>
          <t>inferred</t>
        </is>
      </c>
      <c r="I814" t="inlineStr">
        <is>
          <t>no</t>
        </is>
      </c>
      <c r="J814" t="inlineStr">
        <is>
          <t>https://www.google.com/maps/@?api=1&amp;map_action=pano&amp;viewpoint=33.687650,-116.181580&amp;heading=357</t>
        </is>
      </c>
      <c r="K814" t="inlineStr">
        <is>
          <t>https://www.google.com/maps/search/?api=1&amp;query=33.687650,-116.181580</t>
        </is>
      </c>
      <c r="L814" t="inlineStr"/>
      <c r="M814" t="inlineStr"/>
      <c r="N814" t="inlineStr"/>
      <c r="O814" t="inlineStr"/>
      <c r="P814" t="inlineStr">
        <is>
          <t>pending</t>
        </is>
      </c>
      <c r="Q814" t="inlineStr"/>
      <c r="R814" t="inlineStr"/>
      <c r="S814" t="inlineStr"/>
      <c r="T814" t="inlineStr"/>
      <c r="U814" t="inlineStr"/>
      <c r="V814">
        <f>IF(OR(L814="",S814=""),"",IF(VALUE(L814)=VALUE(S814),"Y","N"))</f>
        <v/>
      </c>
      <c r="W814">
        <f>IF(V814="Y",S814,"")</f>
        <v/>
      </c>
      <c r="X814" t="inlineStr">
        <is>
          <t>unverified: map has no limit (guessed from road type); main road: what is posted? 35 or lower opens it to LSVs</t>
        </is>
      </c>
      <c r="Y814" t="inlineStr"/>
      <c r="Z814" t="n">
        <v>3696</v>
      </c>
      <c r="AA814" t="inlineStr">
        <is>
          <t>coachella</t>
        </is>
      </c>
      <c r="AB814" t="inlineStr">
        <is>
          <t>coachella|33.68765,-116.18158</t>
        </is>
      </c>
    </row>
    <row r="815">
      <c r="A815" t="inlineStr">
        <is>
          <t>COACHELLA-B2-004</t>
        </is>
      </c>
      <c r="B815" t="inlineStr">
        <is>
          <t>Coachella Valley, CA</t>
        </is>
      </c>
      <c r="C815" t="inlineStr">
        <is>
          <t>Harrison Street</t>
        </is>
      </c>
      <c r="D815" t="inlineStr">
        <is>
          <t>(see map link)</t>
        </is>
      </c>
      <c r="E815" t="inlineStr">
        <is>
          <t>Avenue 58</t>
        </is>
      </c>
      <c r="F815" t="inlineStr"/>
      <c r="G815" t="inlineStr"/>
      <c r="H815" t="inlineStr">
        <is>
          <t>inferred</t>
        </is>
      </c>
      <c r="I815" t="inlineStr">
        <is>
          <t>no</t>
        </is>
      </c>
      <c r="J815" t="inlineStr">
        <is>
          <t>https://www.google.com/maps/@?api=1&amp;map_action=pano&amp;viewpoint=33.616150,-116.181210&amp;heading=0</t>
        </is>
      </c>
      <c r="K815" t="inlineStr">
        <is>
          <t>https://www.google.com/maps/search/?api=1&amp;query=33.616150,-116.181210</t>
        </is>
      </c>
      <c r="L815" t="inlineStr"/>
      <c r="M815" t="inlineStr"/>
      <c r="N815" t="inlineStr"/>
      <c r="O815" t="inlineStr"/>
      <c r="P815" t="inlineStr">
        <is>
          <t>pending</t>
        </is>
      </c>
      <c r="Q815" t="inlineStr"/>
      <c r="R815" t="inlineStr"/>
      <c r="S815" t="inlineStr"/>
      <c r="T815" t="inlineStr"/>
      <c r="U815" t="inlineStr"/>
      <c r="V815">
        <f>IF(OR(L815="",S815=""),"",IF(VALUE(L815)=VALUE(S815),"Y","N"))</f>
        <v/>
      </c>
      <c r="W815">
        <f>IF(V815="Y",S815,"")</f>
        <v/>
      </c>
      <c r="X815" t="inlineStr">
        <is>
          <t>unverified: map has no limit (guessed from road type); main road: what is posted? 35 or lower opens it to LSVs</t>
        </is>
      </c>
      <c r="Y815" t="inlineStr"/>
      <c r="Z815" t="n">
        <v>5625</v>
      </c>
      <c r="AA815" t="inlineStr">
        <is>
          <t>coachella</t>
        </is>
      </c>
      <c r="AB815" t="inlineStr">
        <is>
          <t>coachella|33.61615,-116.18121</t>
        </is>
      </c>
    </row>
    <row r="816">
      <c r="A816" t="inlineStr">
        <is>
          <t>COACHELLA-B2-005</t>
        </is>
      </c>
      <c r="B816" t="inlineStr">
        <is>
          <t>Coachella Valley, CA</t>
        </is>
      </c>
      <c r="C816" t="inlineStr">
        <is>
          <t>Varner Road</t>
        </is>
      </c>
      <c r="D816" t="inlineStr">
        <is>
          <t>(see map link)</t>
        </is>
      </c>
      <c r="E816" t="inlineStr">
        <is>
          <t>Ramon Road</t>
        </is>
      </c>
      <c r="F816" t="inlineStr"/>
      <c r="G816" t="inlineStr"/>
      <c r="H816" t="inlineStr">
        <is>
          <t>inferred</t>
        </is>
      </c>
      <c r="I816" t="inlineStr">
        <is>
          <t>no</t>
        </is>
      </c>
      <c r="J816" t="inlineStr">
        <is>
          <t>https://www.google.com/maps/@?api=1&amp;map_action=pano&amp;viewpoint=33.809100,-116.392490&amp;heading=117</t>
        </is>
      </c>
      <c r="K816" t="inlineStr">
        <is>
          <t>https://www.google.com/maps/search/?api=1&amp;query=33.809100,-116.392490</t>
        </is>
      </c>
      <c r="L816" t="inlineStr"/>
      <c r="M816" t="inlineStr"/>
      <c r="N816" t="inlineStr"/>
      <c r="O816" t="inlineStr"/>
      <c r="P816" t="inlineStr">
        <is>
          <t>pending</t>
        </is>
      </c>
      <c r="Q816" t="inlineStr"/>
      <c r="R816" t="inlineStr"/>
      <c r="S816" t="inlineStr"/>
      <c r="T816" t="inlineStr"/>
      <c r="U816" t="inlineStr"/>
      <c r="V816">
        <f>IF(OR(L816="",S816=""),"",IF(VALUE(L816)=VALUE(S816),"Y","N"))</f>
        <v/>
      </c>
      <c r="W816">
        <f>IF(V816="Y",S816,"")</f>
        <v/>
      </c>
      <c r="X816" t="inlineStr">
        <is>
          <t>unverified: map has no limit (guessed from road type); main road: what is posted? 35 or lower opens it to LSVs</t>
        </is>
      </c>
      <c r="Y816" t="inlineStr"/>
      <c r="Z816" t="n">
        <v>1794</v>
      </c>
      <c r="AA816" t="inlineStr">
        <is>
          <t>coachella</t>
        </is>
      </c>
      <c r="AB816" t="inlineStr">
        <is>
          <t>coachella|33.80910,-116.39249</t>
        </is>
      </c>
    </row>
    <row r="817">
      <c r="A817" t="inlineStr">
        <is>
          <t>GALVESTON-B2-001</t>
        </is>
      </c>
      <c r="B817" t="inlineStr">
        <is>
          <t>Galveston, TX</t>
        </is>
      </c>
      <c r="C817" t="inlineStr">
        <is>
          <t>Virginia Point Drive</t>
        </is>
      </c>
      <c r="D817" t="inlineStr">
        <is>
          <t>(see map link)</t>
        </is>
      </c>
      <c r="E817" t="inlineStr">
        <is>
          <t>Jones Lake Road</t>
        </is>
      </c>
      <c r="F817" t="inlineStr"/>
      <c r="G817" t="n">
        <v>45</v>
      </c>
      <c r="H817" t="inlineStr">
        <is>
          <t>city/county</t>
        </is>
      </c>
      <c r="I817" t="inlineStr">
        <is>
          <t>no</t>
        </is>
      </c>
      <c r="J817" t="inlineStr">
        <is>
          <t>https://www.google.com/maps/@?api=1&amp;map_action=pano&amp;viewpoint=29.305930,-94.904110&amp;heading=296</t>
        </is>
      </c>
      <c r="K817" t="inlineStr">
        <is>
          <t>https://www.google.com/maps/search/?api=1&amp;query=29.305930,-94.904110</t>
        </is>
      </c>
      <c r="L817" t="inlineStr"/>
      <c r="M817" t="inlineStr"/>
      <c r="N817" t="inlineStr"/>
      <c r="O817" t="inlineStr"/>
      <c r="P817" t="inlineStr">
        <is>
          <t>pending</t>
        </is>
      </c>
      <c r="Q817" t="inlineStr"/>
      <c r="R817" t="inlineStr"/>
      <c r="S817" t="inlineStr"/>
      <c r="T817" t="inlineStr">
        <is>
          <t>TxDOT Speed Limits: IH0045-AG posted 45 mph</t>
        </is>
      </c>
      <c r="U817" t="inlineStr">
        <is>
          <t>https://gis-txdot.opendata.arcgis.com/datasets/txdot-speed-limits</t>
        </is>
      </c>
      <c r="V817">
        <f>IF(OR(L817="",S817=""),"",IF(VALUE(L817)=VALUE(S817),"Y","N"))</f>
        <v/>
      </c>
      <c r="W817">
        <f>IF(V817="Y",S817,"")</f>
        <v/>
      </c>
      <c r="X817" t="inlineStr">
        <is>
          <t>RED ISLAND: 388 m of Virginia Point Drive at 45 mph between 25 mph on both sides (confirmed); is the posted limit really higher here?</t>
        </is>
      </c>
      <c r="Y817" t="inlineStr"/>
      <c r="Z817" t="n">
        <v>388</v>
      </c>
      <c r="AA817" t="inlineStr">
        <is>
          <t>galveston</t>
        </is>
      </c>
      <c r="AB817" t="inlineStr">
        <is>
          <t>galveston|29.30593,-94.90411</t>
        </is>
      </c>
    </row>
    <row r="818">
      <c r="A818" t="inlineStr">
        <is>
          <t>GALVESTON-B2-002</t>
        </is>
      </c>
      <c r="B818" t="inlineStr">
        <is>
          <t>Galveston, TX</t>
        </is>
      </c>
      <c r="C818" t="inlineStr">
        <is>
          <t>Rosenberg Avenue - 25th Street</t>
        </is>
      </c>
      <c r="D818" t="inlineStr">
        <is>
          <t>Avenue Q</t>
        </is>
      </c>
      <c r="E818" t="inlineStr">
        <is>
          <t>Seawall Boulevard</t>
        </is>
      </c>
      <c r="F818" t="inlineStr"/>
      <c r="G818" t="inlineStr"/>
      <c r="H818" t="inlineStr">
        <is>
          <t>inferred</t>
        </is>
      </c>
      <c r="I818" t="inlineStr">
        <is>
          <t>no</t>
        </is>
      </c>
      <c r="J818" t="inlineStr">
        <is>
          <t>https://www.google.com/maps/@?api=1&amp;map_action=pano&amp;viewpoint=29.294135,-94.792590&amp;heading=163</t>
        </is>
      </c>
      <c r="K818" t="inlineStr">
        <is>
          <t>https://www.google.com/maps/search/?api=1&amp;query=29.294135,-94.792590</t>
        </is>
      </c>
      <c r="L818" t="inlineStr"/>
      <c r="M818" t="inlineStr"/>
      <c r="N818" t="inlineStr"/>
      <c r="O818" t="inlineStr"/>
      <c r="P818" t="inlineStr">
        <is>
          <t>pending</t>
        </is>
      </c>
      <c r="Q818" t="inlineStr"/>
      <c r="R818" t="inlineStr"/>
      <c r="S818" t="inlineStr"/>
      <c r="T818" t="inlineStr"/>
      <c r="U818" t="inlineStr"/>
      <c r="V818">
        <f>IF(OR(L818="",S818=""),"",IF(VALUE(L818)=VALUE(S818),"Y","N"))</f>
        <v/>
      </c>
      <c r="W818">
        <f>IF(V818="Y",S818,"")</f>
        <v/>
      </c>
      <c r="X818" t="inlineStr">
        <is>
          <t>unverified: map has no limit (guessed from road type); main road: what is posted? 35 or lower opens it to LSVs</t>
        </is>
      </c>
      <c r="Y818" t="inlineStr"/>
      <c r="Z818" t="n">
        <v>4433</v>
      </c>
      <c r="AA818" t="inlineStr">
        <is>
          <t>galveston</t>
        </is>
      </c>
      <c r="AB818" t="inlineStr">
        <is>
          <t>galveston|29.29414,-94.79259</t>
        </is>
      </c>
    </row>
    <row r="819">
      <c r="A819" t="inlineStr">
        <is>
          <t>GOLDENISLES-B2-001</t>
        </is>
      </c>
      <c r="B819" t="inlineStr">
        <is>
          <t>St. Simons / Jekyll Island, GA</t>
        </is>
      </c>
      <c r="C819" t="inlineStr">
        <is>
          <t>Yacht Circle</t>
        </is>
      </c>
      <c r="D819" t="inlineStr">
        <is>
          <t>(see map link)</t>
        </is>
      </c>
      <c r="E819" t="inlineStr">
        <is>
          <t>F. J. Torras Causeway</t>
        </is>
      </c>
      <c r="F819" t="inlineStr"/>
      <c r="G819" t="n">
        <v>45</v>
      </c>
      <c r="H819" t="inlineStr">
        <is>
          <t>tag</t>
        </is>
      </c>
      <c r="I819" t="inlineStr">
        <is>
          <t>no</t>
        </is>
      </c>
      <c r="J819" t="inlineStr">
        <is>
          <t>https://www.google.com/maps/@?api=1&amp;map_action=pano&amp;viewpoint=31.165490,-81.410310&amp;heading=143</t>
        </is>
      </c>
      <c r="K819" t="inlineStr">
        <is>
          <t>https://www.google.com/maps/search/?api=1&amp;query=31.165490,-81.410310</t>
        </is>
      </c>
      <c r="L819" t="inlineStr"/>
      <c r="M819" t="inlineStr"/>
      <c r="N819" t="inlineStr"/>
      <c r="O819" t="inlineStr"/>
      <c r="P819" t="inlineStr">
        <is>
          <t>pending</t>
        </is>
      </c>
      <c r="Q819" t="inlineStr"/>
      <c r="R819" t="inlineStr"/>
      <c r="S819" t="inlineStr"/>
      <c r="T819" t="inlineStr"/>
      <c r="U819" t="inlineStr"/>
      <c r="V819">
        <f>IF(OR(L819="",S819=""),"",IF(VALUE(L819)=VALUE(S819),"Y","N"))</f>
        <v/>
      </c>
      <c r="W819">
        <f>IF(V819="Y",S819,"")</f>
        <v/>
      </c>
      <c r="X819" t="inlineStr">
        <is>
          <t>RED ISLAND: 423 m of Yacht Circle at 45 mph between 25 mph on both sides (confirmed); is the posted limit really higher here?</t>
        </is>
      </c>
      <c r="Y819" t="inlineStr"/>
      <c r="Z819" t="n">
        <v>423</v>
      </c>
      <c r="AA819" t="inlineStr">
        <is>
          <t>goldenisles</t>
        </is>
      </c>
      <c r="AB819" t="inlineStr">
        <is>
          <t>goldenisles|31.16549,-81.41031</t>
        </is>
      </c>
    </row>
    <row r="820">
      <c r="A820" t="inlineStr">
        <is>
          <t>GOLDENISLES-B2-002</t>
        </is>
      </c>
      <c r="B820" t="inlineStr">
        <is>
          <t>St. Simons / Jekyll Island, GA</t>
        </is>
      </c>
      <c r="C820" t="inlineStr">
        <is>
          <t>Darien Highway</t>
        </is>
      </c>
      <c r="D820" t="inlineStr">
        <is>
          <t>Pheasant Drive</t>
        </is>
      </c>
      <c r="E820" t="inlineStr">
        <is>
          <t>Joann Drive</t>
        </is>
      </c>
      <c r="F820" t="inlineStr"/>
      <c r="G820" t="inlineStr"/>
      <c r="H820" t="inlineStr">
        <is>
          <t>inferred</t>
        </is>
      </c>
      <c r="I820" t="inlineStr">
        <is>
          <t>no</t>
        </is>
      </c>
      <c r="J820" t="inlineStr">
        <is>
          <t>https://www.google.com/maps/@?api=1&amp;map_action=pano&amp;viewpoint=31.250990,-81.445360&amp;heading=211</t>
        </is>
      </c>
      <c r="K820" t="inlineStr">
        <is>
          <t>https://www.google.com/maps/search/?api=1&amp;query=31.250990,-81.445360</t>
        </is>
      </c>
      <c r="L820" t="inlineStr"/>
      <c r="M820" t="inlineStr"/>
      <c r="N820" t="inlineStr"/>
      <c r="O820" t="inlineStr"/>
      <c r="P820" t="inlineStr">
        <is>
          <t>pending</t>
        </is>
      </c>
      <c r="Q820" t="inlineStr"/>
      <c r="R820" t="inlineStr"/>
      <c r="S820" t="inlineStr"/>
      <c r="T820" t="inlineStr"/>
      <c r="U820" t="inlineStr"/>
      <c r="V820">
        <f>IF(OR(L820="",S820=""),"",IF(VALUE(L820)=VALUE(S820),"Y","N"))</f>
        <v/>
      </c>
      <c r="W820">
        <f>IF(V820="Y",S820,"")</f>
        <v/>
      </c>
      <c r="X820" t="inlineStr">
        <is>
          <t>unverified: map has no limit (guessed from road type); main road: what is posted? 35 or lower opens it to LSVs</t>
        </is>
      </c>
      <c r="Y820" t="inlineStr"/>
      <c r="Z820" t="n">
        <v>2064</v>
      </c>
      <c r="AA820" t="inlineStr">
        <is>
          <t>goldenisles</t>
        </is>
      </c>
      <c r="AB820" t="inlineStr">
        <is>
          <t>goldenisles|31.25099,-81.44536</t>
        </is>
      </c>
    </row>
    <row r="821">
      <c r="A821" t="inlineStr">
        <is>
          <t>HHI-B2-001</t>
        </is>
      </c>
      <c r="B821" t="inlineStr">
        <is>
          <t>Hilton Head / Bluffton, SC</t>
        </is>
      </c>
      <c r="C821" t="inlineStr">
        <is>
          <t>Okatie Highway</t>
        </is>
      </c>
      <c r="D821" t="inlineStr">
        <is>
          <t>Four Seasons Boulevard</t>
        </is>
      </c>
      <c r="E821" t="inlineStr">
        <is>
          <t>Bluffton Parkway</t>
        </is>
      </c>
      <c r="F821" t="inlineStr"/>
      <c r="G821" t="inlineStr"/>
      <c r="H821" t="inlineStr">
        <is>
          <t>inferred</t>
        </is>
      </c>
      <c r="I821" t="inlineStr">
        <is>
          <t>no</t>
        </is>
      </c>
      <c r="J821" t="inlineStr">
        <is>
          <t>https://www.google.com/maps/@?api=1&amp;map_action=pano&amp;viewpoint=32.250155,-80.973725&amp;heading=221</t>
        </is>
      </c>
      <c r="K821" t="inlineStr">
        <is>
          <t>https://www.google.com/maps/search/?api=1&amp;query=32.250155,-80.973725</t>
        </is>
      </c>
      <c r="L821" t="inlineStr"/>
      <c r="M821" t="inlineStr"/>
      <c r="N821" t="inlineStr"/>
      <c r="O821" t="inlineStr"/>
      <c r="P821" t="inlineStr">
        <is>
          <t>pending</t>
        </is>
      </c>
      <c r="Q821" t="inlineStr"/>
      <c r="R821" t="inlineStr"/>
      <c r="S821" t="inlineStr"/>
      <c r="T821" t="inlineStr"/>
      <c r="U821" t="inlineStr"/>
      <c r="V821">
        <f>IF(OR(L821="",S821=""),"",IF(VALUE(L821)=VALUE(S821),"Y","N"))</f>
        <v/>
      </c>
      <c r="W821">
        <f>IF(V821="Y",S821,"")</f>
        <v/>
      </c>
      <c r="X821" t="inlineStr">
        <is>
          <t>unverified: map has no limit (guessed from road type); main road: what is posted? 35 or lower opens it to LSVs</t>
        </is>
      </c>
      <c r="Y821" t="inlineStr"/>
      <c r="Z821" t="n">
        <v>3677</v>
      </c>
      <c r="AA821" t="inlineStr">
        <is>
          <t>hhi</t>
        </is>
      </c>
      <c r="AB821" t="inlineStr">
        <is>
          <t>hhi|32.25015,-80.97373</t>
        </is>
      </c>
    </row>
    <row r="822">
      <c r="A822" t="inlineStr">
        <is>
          <t>KAANAPALI-B2-001</t>
        </is>
      </c>
      <c r="B822" t="inlineStr">
        <is>
          <t>Kaanapali &amp; Kapalua, Maui</t>
        </is>
      </c>
      <c r="C822" t="inlineStr">
        <is>
          <t>Honoapiilani Highway</t>
        </is>
      </c>
      <c r="D822" t="inlineStr">
        <is>
          <t>Ka‘anapali Parkway</t>
        </is>
      </c>
      <c r="E822" t="inlineStr">
        <is>
          <t>Ka‘anapali Parkway</t>
        </is>
      </c>
      <c r="F822" t="inlineStr"/>
      <c r="G822" t="inlineStr"/>
      <c r="H822" t="inlineStr">
        <is>
          <t>inferred</t>
        </is>
      </c>
      <c r="I822" t="inlineStr">
        <is>
          <t>no</t>
        </is>
      </c>
      <c r="J822" t="inlineStr">
        <is>
          <t>https://www.google.com/maps/@?api=1&amp;map_action=pano&amp;viewpoint=20.918410,-156.690220&amp;heading=183</t>
        </is>
      </c>
      <c r="K822" t="inlineStr">
        <is>
          <t>https://www.google.com/maps/search/?api=1&amp;query=20.918410,-156.690220</t>
        </is>
      </c>
      <c r="L822" t="inlineStr"/>
      <c r="M822" t="inlineStr"/>
      <c r="N822" t="inlineStr"/>
      <c r="O822" t="inlineStr"/>
      <c r="P822" t="inlineStr">
        <is>
          <t>pending</t>
        </is>
      </c>
      <c r="Q822" t="inlineStr"/>
      <c r="R822" t="inlineStr"/>
      <c r="S822" t="inlineStr"/>
      <c r="T822" t="inlineStr"/>
      <c r="U822" t="inlineStr"/>
      <c r="V822">
        <f>IF(OR(L822="",S822=""),"",IF(VALUE(L822)=VALUE(S822),"Y","N"))</f>
        <v/>
      </c>
      <c r="W822">
        <f>IF(V822="Y",S822,"")</f>
        <v/>
      </c>
      <c r="X822" t="inlineStr">
        <is>
          <t>unverified: map has no limit (guessed from road type); main road: what is posted? 35 or lower opens it to LSVs</t>
        </is>
      </c>
      <c r="Y822" t="inlineStr"/>
      <c r="Z822" t="n">
        <v>1499</v>
      </c>
      <c r="AA822" t="inlineStr">
        <is>
          <t>kaanapali</t>
        </is>
      </c>
      <c r="AB822" t="inlineStr">
        <is>
          <t>kaanapali|20.91841,-156.69022</t>
        </is>
      </c>
    </row>
    <row r="823">
      <c r="A823" t="inlineStr">
        <is>
          <t>LWR-B2-001</t>
        </is>
      </c>
      <c r="B823" t="inlineStr">
        <is>
          <t>Lakewood Ranch, FL</t>
        </is>
      </c>
      <c r="C823" t="inlineStr">
        <is>
          <t>Lorraine Road</t>
        </is>
      </c>
      <c r="D823" t="inlineStr">
        <is>
          <t>Miramar Way</t>
        </is>
      </c>
      <c r="E823" t="inlineStr">
        <is>
          <t>University Parkway</t>
        </is>
      </c>
      <c r="F823" t="inlineStr"/>
      <c r="G823" t="n">
        <v>40</v>
      </c>
      <c r="H823" t="inlineStr">
        <is>
          <t>tag</t>
        </is>
      </c>
      <c r="I823" t="inlineStr">
        <is>
          <t>no</t>
        </is>
      </c>
      <c r="J823" t="inlineStr">
        <is>
          <t>https://www.google.com/maps/@?api=1&amp;map_action=pano&amp;viewpoint=27.389880,-82.398320&amp;heading=179</t>
        </is>
      </c>
      <c r="K823" t="inlineStr">
        <is>
          <t>https://www.google.com/maps/search/?api=1&amp;query=27.389880,-82.398320</t>
        </is>
      </c>
      <c r="L823" t="inlineStr"/>
      <c r="M823" t="inlineStr"/>
      <c r="N823" t="inlineStr"/>
      <c r="O823" t="inlineStr"/>
      <c r="P823" t="inlineStr">
        <is>
          <t>pending</t>
        </is>
      </c>
      <c r="Q823" t="inlineStr"/>
      <c r="R823" t="inlineStr"/>
      <c r="S823" t="inlineStr"/>
      <c r="T823" t="inlineStr"/>
      <c r="U823" t="inlineStr"/>
      <c r="V823">
        <f>IF(OR(L823="",S823=""),"",IF(VALUE(L823)=VALUE(S823),"Y","N"))</f>
        <v/>
      </c>
      <c r="W823">
        <f>IF(V823="Y",S823,"")</f>
        <v/>
      </c>
      <c r="X823" t="inlineStr">
        <is>
          <t>RED ISLAND: 524 m of Lorraine Road at 40 mph between 35 mph on both sides (single); is the posted limit really higher here?</t>
        </is>
      </c>
      <c r="Y823" t="inlineStr"/>
      <c r="Z823" t="n">
        <v>524</v>
      </c>
      <c r="AA823" t="inlineStr">
        <is>
          <t>lwr</t>
        </is>
      </c>
      <c r="AB823" t="inlineStr">
        <is>
          <t>lwr|27.38988,-82.39832</t>
        </is>
      </c>
    </row>
    <row r="824">
      <c r="A824" t="inlineStr">
        <is>
          <t>LWR-B2-002</t>
        </is>
      </c>
      <c r="B824" t="inlineStr">
        <is>
          <t>Lakewood Ranch, FL</t>
        </is>
      </c>
      <c r="C824" t="inlineStr">
        <is>
          <t>Lorraine Road</t>
        </is>
      </c>
      <c r="D824" t="inlineStr">
        <is>
          <t>(see map link)</t>
        </is>
      </c>
      <c r="E824" t="inlineStr">
        <is>
          <t>Fieldside Drive</t>
        </is>
      </c>
      <c r="F824" t="inlineStr"/>
      <c r="G824" t="n">
        <v>40</v>
      </c>
      <c r="H824" t="inlineStr">
        <is>
          <t>mapillary</t>
        </is>
      </c>
      <c r="I824" t="inlineStr">
        <is>
          <t>no</t>
        </is>
      </c>
      <c r="J824" t="inlineStr">
        <is>
          <t>https://www.google.com/maps/@?api=1&amp;map_action=pano&amp;viewpoint=27.381770,-82.396360&amp;heading=159</t>
        </is>
      </c>
      <c r="K824" t="inlineStr">
        <is>
          <t>https://www.google.com/maps/search/?api=1&amp;query=27.381770,-82.396360</t>
        </is>
      </c>
      <c r="L824" t="inlineStr"/>
      <c r="M824" t="inlineStr"/>
      <c r="N824" t="inlineStr"/>
      <c r="O824" t="inlineStr"/>
      <c r="P824" t="inlineStr">
        <is>
          <t>pending</t>
        </is>
      </c>
      <c r="Q824" t="inlineStr"/>
      <c r="R824" t="inlineStr"/>
      <c r="S824" t="inlineStr"/>
      <c r="T824" t="inlineStr">
        <is>
          <t>Mapillary: 2 posted 40 mph sign(s) detected</t>
        </is>
      </c>
      <c r="U824" t="inlineStr">
        <is>
          <t>https://www.mapillary.com/app/?lat=27.383375&amp;lng=-82.397660&amp;z=19&amp;focus=map&amp;mapFeatureId=354941692728825</t>
        </is>
      </c>
      <c r="V824">
        <f>IF(OR(L824="",S824=""),"",IF(VALUE(L824)=VALUE(S824),"Y","N"))</f>
        <v/>
      </c>
      <c r="W824">
        <f>IF(V824="Y",S824,"")</f>
        <v/>
      </c>
      <c r="X824" t="inlineStr">
        <is>
          <t>RED ISLAND: 535 m of Lorraine Road at 40 mph between 25 mph on both sides (confirmed); is the posted limit really higher here?</t>
        </is>
      </c>
      <c r="Y824" t="inlineStr"/>
      <c r="Z824" t="n">
        <v>535</v>
      </c>
      <c r="AA824" t="inlineStr">
        <is>
          <t>lwr</t>
        </is>
      </c>
      <c r="AB824" t="inlineStr">
        <is>
          <t>lwr|27.38177,-82.39636</t>
        </is>
      </c>
    </row>
    <row r="825">
      <c r="A825" t="inlineStr">
        <is>
          <t>LWR-B2-003</t>
        </is>
      </c>
      <c r="B825" t="inlineStr">
        <is>
          <t>Lakewood Ranch, FL</t>
        </is>
      </c>
      <c r="C825" t="inlineStr">
        <is>
          <t>Honore Avenue</t>
        </is>
      </c>
      <c r="D825" t="inlineStr">
        <is>
          <t>(see map link)</t>
        </is>
      </c>
      <c r="E825" t="inlineStr">
        <is>
          <t>83rd Avenue East</t>
        </is>
      </c>
      <c r="F825" t="inlineStr"/>
      <c r="G825" t="n">
        <v>40</v>
      </c>
      <c r="H825" t="inlineStr">
        <is>
          <t>mapillary</t>
        </is>
      </c>
      <c r="I825" t="inlineStr">
        <is>
          <t>no</t>
        </is>
      </c>
      <c r="J825" t="inlineStr">
        <is>
          <t>https://www.google.com/maps/@?api=1&amp;map_action=pano&amp;viewpoint=27.392470,-82.463105&amp;heading=179</t>
        </is>
      </c>
      <c r="K825" t="inlineStr">
        <is>
          <t>https://www.google.com/maps/search/?api=1&amp;query=27.392470,-82.463105</t>
        </is>
      </c>
      <c r="L825" t="inlineStr"/>
      <c r="M825" t="inlineStr"/>
      <c r="N825" t="inlineStr"/>
      <c r="O825" t="inlineStr"/>
      <c r="P825" t="inlineStr">
        <is>
          <t>pending</t>
        </is>
      </c>
      <c r="Q825" t="inlineStr"/>
      <c r="R825" t="inlineStr"/>
      <c r="S825" t="inlineStr"/>
      <c r="T825" t="inlineStr">
        <is>
          <t>Mapillary: 2 posted 40 mph sign(s) detected</t>
        </is>
      </c>
      <c r="U825" t="inlineStr">
        <is>
          <t>https://www.mapillary.com/app/?lat=27.392717&amp;lng=-82.463200&amp;z=19&amp;focus=map&amp;mapFeatureId=1076672216357134</t>
        </is>
      </c>
      <c r="V825">
        <f>IF(OR(L825="",S825=""),"",IF(VALUE(L825)=VALUE(S825),"Y","N"))</f>
        <v/>
      </c>
      <c r="W825">
        <f>IF(V825="Y",S825,"")</f>
        <v/>
      </c>
      <c r="X825" t="inlineStr">
        <is>
          <t>RED ISLAND: 111 m of Honore Avenue at 40 mph between 35 mph on both sides (confirmed); is the posted limit really higher here?</t>
        </is>
      </c>
      <c r="Y825" t="inlineStr"/>
      <c r="Z825" t="n">
        <v>111</v>
      </c>
      <c r="AA825" t="inlineStr">
        <is>
          <t>lwr</t>
        </is>
      </c>
      <c r="AB825" t="inlineStr">
        <is>
          <t>lwr|27.39247,-82.46310</t>
        </is>
      </c>
    </row>
    <row r="826">
      <c r="A826" t="inlineStr">
        <is>
          <t>LWR-B2-004</t>
        </is>
      </c>
      <c r="B826" t="inlineStr">
        <is>
          <t>Lakewood Ranch, FL</t>
        </is>
      </c>
      <c r="C826" t="inlineStr">
        <is>
          <t>44th Avenue East</t>
        </is>
      </c>
      <c r="D826" t="inlineStr">
        <is>
          <t>Cool Blue Lane</t>
        </is>
      </c>
      <c r="E826" t="inlineStr">
        <is>
          <t>Azurite Way</t>
        </is>
      </c>
      <c r="F826" t="inlineStr"/>
      <c r="G826" t="n">
        <v>45</v>
      </c>
      <c r="H826" t="inlineStr">
        <is>
          <t>mapillary</t>
        </is>
      </c>
      <c r="I826" t="inlineStr">
        <is>
          <t>no</t>
        </is>
      </c>
      <c r="J826" t="inlineStr">
        <is>
          <t>https://www.google.com/maps/@?api=1&amp;map_action=pano&amp;viewpoint=27.460650,-82.409610&amp;heading=294</t>
        </is>
      </c>
      <c r="K826" t="inlineStr">
        <is>
          <t>https://www.google.com/maps/search/?api=1&amp;query=27.460650,-82.409610</t>
        </is>
      </c>
      <c r="L826" t="inlineStr"/>
      <c r="M826" t="inlineStr"/>
      <c r="N826" t="inlineStr"/>
      <c r="O826" t="inlineStr"/>
      <c r="P826" t="inlineStr">
        <is>
          <t>pending</t>
        </is>
      </c>
      <c r="Q826" t="inlineStr"/>
      <c r="R826" t="inlineStr"/>
      <c r="S826" t="inlineStr"/>
      <c r="T826" t="inlineStr">
        <is>
          <t>Mapillary: 3 posted 45 mph sign(s) detected</t>
        </is>
      </c>
      <c r="U826" t="inlineStr">
        <is>
          <t>https://www.mapillary.com/app/?lat=27.459276&amp;lng=-82.406815&amp;z=19&amp;focus=map&amp;mapFeatureId=291092592748308</t>
        </is>
      </c>
      <c r="V826">
        <f>IF(OR(L826="",S826=""),"",IF(VALUE(L826)=VALUE(S826),"Y","N"))</f>
        <v/>
      </c>
      <c r="W826">
        <f>IF(V826="Y",S826,"")</f>
        <v/>
      </c>
      <c r="X826" t="inlineStr">
        <is>
          <t>RED ISLAND: 791 m of 44th Avenue East at 45 mph between 25 mph on both sides (confirmed); is the posted limit really higher here?</t>
        </is>
      </c>
      <c r="Y826" t="inlineStr"/>
      <c r="Z826" t="n">
        <v>791</v>
      </c>
      <c r="AA826" t="inlineStr">
        <is>
          <t>lwr</t>
        </is>
      </c>
      <c r="AB826" t="inlineStr">
        <is>
          <t>lwr|27.46065,-82.40961</t>
        </is>
      </c>
    </row>
    <row r="827">
      <c r="A827" t="inlineStr">
        <is>
          <t>MYRTLE-B2-001</t>
        </is>
      </c>
      <c r="B827" t="inlineStr">
        <is>
          <t>Myrtle Beach / Grand Strand, SC</t>
        </is>
      </c>
      <c r="C827" t="inlineStr">
        <is>
          <t>8th Avenue North</t>
        </is>
      </c>
      <c r="D827" t="inlineStr">
        <is>
          <t>Main Street</t>
        </is>
      </c>
      <c r="E827" t="inlineStr">
        <is>
          <t>North Kings Highway</t>
        </is>
      </c>
      <c r="F827" t="inlineStr"/>
      <c r="G827" t="inlineStr"/>
      <c r="H827" t="inlineStr">
        <is>
          <t>inferred</t>
        </is>
      </c>
      <c r="I827" t="inlineStr">
        <is>
          <t>no</t>
        </is>
      </c>
      <c r="J827" t="inlineStr">
        <is>
          <t>https://www.google.com/maps/@?api=1&amp;map_action=pano&amp;viewpoint=33.693125,-78.884175&amp;heading=127</t>
        </is>
      </c>
      <c r="K827" t="inlineStr">
        <is>
          <t>https://www.google.com/maps/search/?api=1&amp;query=33.693125,-78.884175</t>
        </is>
      </c>
      <c r="L827" t="inlineStr"/>
      <c r="M827" t="inlineStr"/>
      <c r="N827" t="inlineStr"/>
      <c r="O827" t="inlineStr"/>
      <c r="P827" t="inlineStr">
        <is>
          <t>pending</t>
        </is>
      </c>
      <c r="Q827" t="inlineStr"/>
      <c r="R827" t="inlineStr"/>
      <c r="S827" t="inlineStr"/>
      <c r="T827" t="inlineStr"/>
      <c r="U827" t="inlineStr"/>
      <c r="V827">
        <f>IF(OR(L827="",S827=""),"",IF(VALUE(L827)=VALUE(S827),"Y","N"))</f>
        <v/>
      </c>
      <c r="W827">
        <f>IF(V827="Y",S827,"")</f>
        <v/>
      </c>
      <c r="X827" t="inlineStr">
        <is>
          <t>RED ISLAND: 100 m of 8th Avenue North at no limit between 25 mph on both sides (gap); is the posted limit really higher here?</t>
        </is>
      </c>
      <c r="Y827" t="inlineStr"/>
      <c r="Z827" t="n">
        <v>100</v>
      </c>
      <c r="AA827" t="inlineStr">
        <is>
          <t>myrtle</t>
        </is>
      </c>
      <c r="AB827" t="inlineStr">
        <is>
          <t>myrtle|33.69313,-78.88417</t>
        </is>
      </c>
    </row>
    <row r="828">
      <c r="A828" t="inlineStr">
        <is>
          <t>MYRTLE-B2-002</t>
        </is>
      </c>
      <c r="B828" t="inlineStr">
        <is>
          <t>Myrtle Beach / Grand Strand, SC</t>
        </is>
      </c>
      <c r="C828" t="inlineStr">
        <is>
          <t>3rd Avenue</t>
        </is>
      </c>
      <c r="D828" t="inlineStr">
        <is>
          <t>(see map link)</t>
        </is>
      </c>
      <c r="E828" t="inlineStr">
        <is>
          <t>Wright Boulevard</t>
        </is>
      </c>
      <c r="F828" t="inlineStr"/>
      <c r="G828" t="inlineStr"/>
      <c r="H828" t="inlineStr">
        <is>
          <t>inferred</t>
        </is>
      </c>
      <c r="I828" t="inlineStr">
        <is>
          <t>no</t>
        </is>
      </c>
      <c r="J828" t="inlineStr">
        <is>
          <t>https://www.google.com/maps/@?api=1&amp;map_action=pano&amp;viewpoint=33.829860,-79.056590&amp;heading=16</t>
        </is>
      </c>
      <c r="K828" t="inlineStr">
        <is>
          <t>https://www.google.com/maps/search/?api=1&amp;query=33.829860,-79.056590</t>
        </is>
      </c>
      <c r="L828" t="inlineStr"/>
      <c r="M828" t="inlineStr"/>
      <c r="N828" t="inlineStr"/>
      <c r="O828" t="inlineStr"/>
      <c r="P828" t="inlineStr">
        <is>
          <t>pending</t>
        </is>
      </c>
      <c r="Q828" t="inlineStr"/>
      <c r="R828" t="inlineStr"/>
      <c r="S828" t="inlineStr"/>
      <c r="T828" t="inlineStr"/>
      <c r="U828" t="inlineStr"/>
      <c r="V828">
        <f>IF(OR(L828="",S828=""),"",IF(VALUE(L828)=VALUE(S828),"Y","N"))</f>
        <v/>
      </c>
      <c r="W828">
        <f>IF(V828="Y",S828,"")</f>
        <v/>
      </c>
      <c r="X828" t="inlineStr">
        <is>
          <t>RED ISLAND: 413 m of 3rd Avenue at no limit between 25/30 mph on both sides (gap); is the posted limit really higher here?</t>
        </is>
      </c>
      <c r="Y828" t="inlineStr"/>
      <c r="Z828" t="n">
        <v>413</v>
      </c>
      <c r="AA828" t="inlineStr">
        <is>
          <t>myrtle</t>
        </is>
      </c>
      <c r="AB828" t="inlineStr">
        <is>
          <t>myrtle|33.82986,-79.05659</t>
        </is>
      </c>
    </row>
    <row r="829">
      <c r="A829" t="inlineStr">
        <is>
          <t>MYRTLE-B2-003</t>
        </is>
      </c>
      <c r="B829" t="inlineStr">
        <is>
          <t>Myrtle Beach / Grand Strand, SC</t>
        </is>
      </c>
      <c r="C829" t="inlineStr">
        <is>
          <t>3rd Avenue</t>
        </is>
      </c>
      <c r="D829" t="inlineStr">
        <is>
          <t>Wright Boulevard</t>
        </is>
      </c>
      <c r="E829" t="inlineStr">
        <is>
          <t>Wright Boulevard</t>
        </is>
      </c>
      <c r="F829" t="inlineStr"/>
      <c r="G829" t="inlineStr"/>
      <c r="H829" t="inlineStr">
        <is>
          <t>inferred</t>
        </is>
      </c>
      <c r="I829" t="inlineStr">
        <is>
          <t>no</t>
        </is>
      </c>
      <c r="J829" t="inlineStr">
        <is>
          <t>https://www.google.com/maps/@?api=1&amp;map_action=pano&amp;viewpoint=33.831290,-79.054425&amp;heading=352</t>
        </is>
      </c>
      <c r="K829" t="inlineStr">
        <is>
          <t>https://www.google.com/maps/search/?api=1&amp;query=33.831290,-79.054425</t>
        </is>
      </c>
      <c r="L829" t="inlineStr"/>
      <c r="M829" t="inlineStr"/>
      <c r="N829" t="inlineStr"/>
      <c r="O829" t="inlineStr"/>
      <c r="P829" t="inlineStr">
        <is>
          <t>pending</t>
        </is>
      </c>
      <c r="Q829" t="inlineStr"/>
      <c r="R829" t="inlineStr"/>
      <c r="S829" t="inlineStr"/>
      <c r="T829" t="inlineStr"/>
      <c r="U829" t="inlineStr"/>
      <c r="V829">
        <f>IF(OR(L829="",S829=""),"",IF(VALUE(L829)=VALUE(S829),"Y","N"))</f>
        <v/>
      </c>
      <c r="W829">
        <f>IF(V829="Y",S829,"")</f>
        <v/>
      </c>
      <c r="X829" t="inlineStr">
        <is>
          <t>RED ISLAND: 7 m of 3rd Avenue at no limit between 25/30 mph on both sides (gap); is the posted limit really higher here?</t>
        </is>
      </c>
      <c r="Y829" t="inlineStr"/>
      <c r="Z829" t="n">
        <v>7</v>
      </c>
      <c r="AA829" t="inlineStr">
        <is>
          <t>myrtle</t>
        </is>
      </c>
      <c r="AB829" t="inlineStr">
        <is>
          <t>myrtle|33.83129,-79.05442</t>
        </is>
      </c>
    </row>
    <row r="830">
      <c r="A830" t="inlineStr">
        <is>
          <t>NAPLES-B2-001</t>
        </is>
      </c>
      <c r="B830" t="inlineStr">
        <is>
          <t>Naples / Marco Island, FL</t>
        </is>
      </c>
      <c r="C830" t="inlineStr">
        <is>
          <t>Bayshore Drive</t>
        </is>
      </c>
      <c r="D830" t="inlineStr">
        <is>
          <t>Becca Avenue</t>
        </is>
      </c>
      <c r="E830" t="inlineStr">
        <is>
          <t>Shadowlawn Drive</t>
        </is>
      </c>
      <c r="F830" t="inlineStr"/>
      <c r="G830" t="n">
        <v>45</v>
      </c>
      <c r="H830" t="inlineStr">
        <is>
          <t>city/county</t>
        </is>
      </c>
      <c r="I830" t="inlineStr">
        <is>
          <t>no</t>
        </is>
      </c>
      <c r="J830" t="inlineStr">
        <is>
          <t>https://www.google.com/maps/@?api=1&amp;map_action=pano&amp;viewpoint=26.128105,-81.770520&amp;heading=359</t>
        </is>
      </c>
      <c r="K830" t="inlineStr">
        <is>
          <t>https://www.google.com/maps/search/?api=1&amp;query=26.128105,-81.770520</t>
        </is>
      </c>
      <c r="L830" t="inlineStr"/>
      <c r="M830" t="inlineStr"/>
      <c r="N830" t="inlineStr"/>
      <c r="O830" t="inlineStr"/>
      <c r="P830" t="inlineStr">
        <is>
          <t>pending</t>
        </is>
      </c>
      <c r="Q830" t="inlineStr"/>
      <c r="R830" t="inlineStr"/>
      <c r="S830" t="inlineStr"/>
      <c r="T830" t="inlineStr">
        <is>
          <t>FDOT Maximum Speed Limit (TDA): 03530000 posted 45 mph</t>
        </is>
      </c>
      <c r="U830" t="inlineStr">
        <is>
          <t>https://gis-fdot.opendata.arcgis.com/datasets/maximum-speed-limit-tda</t>
        </is>
      </c>
      <c r="V830">
        <f>IF(OR(L830="",S830=""),"",IF(VALUE(L830)=VALUE(S830),"Y","N"))</f>
        <v/>
      </c>
      <c r="W830">
        <f>IF(V830="Y",S830,"")</f>
        <v/>
      </c>
      <c r="X830" t="inlineStr">
        <is>
          <t>RED ISLAND: 534 m of Bayshore Drive at 45 mph between 35 mph on both sides (confirmed); is the posted limit really higher here?</t>
        </is>
      </c>
      <c r="Y830" t="inlineStr"/>
      <c r="Z830" t="n">
        <v>534</v>
      </c>
      <c r="AA830" t="inlineStr">
        <is>
          <t>naples</t>
        </is>
      </c>
      <c r="AB830" t="inlineStr">
        <is>
          <t>naples|26.12810,-81.77052</t>
        </is>
      </c>
    </row>
    <row r="831">
      <c r="A831" t="inlineStr">
        <is>
          <t>NAPLES-B2-002</t>
        </is>
      </c>
      <c r="B831" t="inlineStr">
        <is>
          <t>Naples / Marco Island, FL</t>
        </is>
      </c>
      <c r="C831" t="inlineStr">
        <is>
          <t>Collier Boulevard</t>
        </is>
      </c>
      <c r="D831" t="inlineStr">
        <is>
          <t>Immokalee Road</t>
        </is>
      </c>
      <c r="E831" t="inlineStr">
        <is>
          <t>Founders Square Dr.</t>
        </is>
      </c>
      <c r="F831" t="inlineStr"/>
      <c r="G831" t="inlineStr"/>
      <c r="H831" t="inlineStr">
        <is>
          <t>inferred</t>
        </is>
      </c>
      <c r="I831" t="inlineStr">
        <is>
          <t>no</t>
        </is>
      </c>
      <c r="J831" t="inlineStr">
        <is>
          <t>https://www.google.com/maps/@?api=1&amp;map_action=pano&amp;viewpoint=26.236170,-81.688020&amp;heading=179</t>
        </is>
      </c>
      <c r="K831" t="inlineStr">
        <is>
          <t>https://www.google.com/maps/search/?api=1&amp;query=26.236170,-81.688020</t>
        </is>
      </c>
      <c r="L831" t="inlineStr"/>
      <c r="M831" t="inlineStr"/>
      <c r="N831" t="inlineStr"/>
      <c r="O831" t="inlineStr"/>
      <c r="P831" t="inlineStr">
        <is>
          <t>pending</t>
        </is>
      </c>
      <c r="Q831" t="inlineStr"/>
      <c r="R831" t="inlineStr"/>
      <c r="S831" t="inlineStr"/>
      <c r="T831" t="inlineStr"/>
      <c r="U831" t="inlineStr"/>
      <c r="V831">
        <f>IF(OR(L831="",S831=""),"",IF(VALUE(L831)=VALUE(S831),"Y","N"))</f>
        <v/>
      </c>
      <c r="W831">
        <f>IF(V831="Y",S831,"")</f>
        <v/>
      </c>
      <c r="X831" t="inlineStr">
        <is>
          <t>unverified: map has no limit (guessed from road type); main road: what is posted? 35 or lower opens it to LSVs</t>
        </is>
      </c>
      <c r="Y831" t="inlineStr"/>
      <c r="Z831" t="n">
        <v>6742</v>
      </c>
      <c r="AA831" t="inlineStr">
        <is>
          <t>naples</t>
        </is>
      </c>
      <c r="AB831" t="inlineStr">
        <is>
          <t>naples|26.23617,-81.68802</t>
        </is>
      </c>
    </row>
    <row r="832">
      <c r="A832" t="inlineStr">
        <is>
          <t>NAPLES-B2-003</t>
        </is>
      </c>
      <c r="B832" t="inlineStr">
        <is>
          <t>Naples / Marco Island, FL</t>
        </is>
      </c>
      <c r="C832" t="inlineStr">
        <is>
          <t>Immokalee Road</t>
        </is>
      </c>
      <c r="D832" t="inlineStr">
        <is>
          <t>(see map link)</t>
        </is>
      </c>
      <c r="E832" t="inlineStr">
        <is>
          <t>(see map link)</t>
        </is>
      </c>
      <c r="F832" t="inlineStr"/>
      <c r="G832" t="inlineStr"/>
      <c r="H832" t="inlineStr">
        <is>
          <t>inferred</t>
        </is>
      </c>
      <c r="I832" t="inlineStr">
        <is>
          <t>no</t>
        </is>
      </c>
      <c r="J832" t="inlineStr">
        <is>
          <t>https://www.google.com/maps/@?api=1&amp;map_action=pano&amp;viewpoint=26.273090,-81.657770&amp;heading=90</t>
        </is>
      </c>
      <c r="K832" t="inlineStr">
        <is>
          <t>https://www.google.com/maps/search/?api=1&amp;query=26.273090,-81.657770</t>
        </is>
      </c>
      <c r="L832" t="inlineStr"/>
      <c r="M832" t="inlineStr"/>
      <c r="N832" t="inlineStr"/>
      <c r="O832" t="inlineStr"/>
      <c r="P832" t="inlineStr">
        <is>
          <t>pending</t>
        </is>
      </c>
      <c r="Q832" t="inlineStr"/>
      <c r="R832" t="inlineStr"/>
      <c r="S832" t="inlineStr"/>
      <c r="T832" t="inlineStr"/>
      <c r="U832" t="inlineStr"/>
      <c r="V832">
        <f>IF(OR(L832="",S832=""),"",IF(VALUE(L832)=VALUE(S832),"Y","N"))</f>
        <v/>
      </c>
      <c r="W832">
        <f>IF(V832="Y",S832,"")</f>
        <v/>
      </c>
      <c r="X832" t="inlineStr">
        <is>
          <t>unverified: map has no limit (guessed from road type); main road: what is posted? 35 or lower opens it to LSVs</t>
        </is>
      </c>
      <c r="Y832" t="inlineStr"/>
      <c r="Z832" t="n">
        <v>2911</v>
      </c>
      <c r="AA832" t="inlineStr">
        <is>
          <t>naples</t>
        </is>
      </c>
      <c r="AB832" t="inlineStr">
        <is>
          <t>naples|26.27309,-81.65777</t>
        </is>
      </c>
    </row>
    <row r="833">
      <c r="A833" t="inlineStr">
        <is>
          <t>NAPLES-B2-004</t>
        </is>
      </c>
      <c r="B833" t="inlineStr">
        <is>
          <t>Naples / Marco Island, FL</t>
        </is>
      </c>
      <c r="C833" t="inlineStr">
        <is>
          <t>Livingston Road</t>
        </is>
      </c>
      <c r="D833" t="inlineStr">
        <is>
          <t>Progress Avenue</t>
        </is>
      </c>
      <c r="E833" t="inlineStr">
        <is>
          <t>Lost Lake Drive</t>
        </is>
      </c>
      <c r="F833" t="inlineStr"/>
      <c r="G833" t="inlineStr"/>
      <c r="H833" t="inlineStr">
        <is>
          <t>inferred</t>
        </is>
      </c>
      <c r="I833" t="inlineStr">
        <is>
          <t>no</t>
        </is>
      </c>
      <c r="J833" t="inlineStr">
        <is>
          <t>https://www.google.com/maps/@?api=1&amp;map_action=pano&amp;viewpoint=26.158365,-81.750790&amp;heading=180</t>
        </is>
      </c>
      <c r="K833" t="inlineStr">
        <is>
          <t>https://www.google.com/maps/search/?api=1&amp;query=26.158365,-81.750790</t>
        </is>
      </c>
      <c r="L833" t="inlineStr"/>
      <c r="M833" t="inlineStr"/>
      <c r="N833" t="inlineStr"/>
      <c r="O833" t="inlineStr"/>
      <c r="P833" t="inlineStr">
        <is>
          <t>pending</t>
        </is>
      </c>
      <c r="Q833" t="inlineStr"/>
      <c r="R833" t="inlineStr"/>
      <c r="S833" t="inlineStr"/>
      <c r="T833" t="inlineStr"/>
      <c r="U833" t="inlineStr"/>
      <c r="V833">
        <f>IF(OR(L833="",S833=""),"",IF(VALUE(L833)=VALUE(S833),"Y","N"))</f>
        <v/>
      </c>
      <c r="W833">
        <f>IF(V833="Y",S833,"")</f>
        <v/>
      </c>
      <c r="X833" t="inlineStr">
        <is>
          <t>unverified: map has no limit (guessed from road type); main road: what is posted? 35 or lower opens it to LSVs</t>
        </is>
      </c>
      <c r="Y833" t="inlineStr"/>
      <c r="Z833" t="n">
        <v>2268</v>
      </c>
      <c r="AA833" t="inlineStr">
        <is>
          <t>naples</t>
        </is>
      </c>
      <c r="AB833" t="inlineStr">
        <is>
          <t>naples|26.15836,-81.75079</t>
        </is>
      </c>
    </row>
    <row r="834">
      <c r="A834" t="inlineStr">
        <is>
          <t>NAPLES-B2-005</t>
        </is>
      </c>
      <c r="B834" t="inlineStr">
        <is>
          <t>Naples / Marco Island, FL</t>
        </is>
      </c>
      <c r="C834" t="inlineStr">
        <is>
          <t>Airport-Pulling Road</t>
        </is>
      </c>
      <c r="D834" t="inlineStr">
        <is>
          <t>Immokalee Road</t>
        </is>
      </c>
      <c r="E834" t="inlineStr">
        <is>
          <t>Emerald Lake Drive</t>
        </is>
      </c>
      <c r="F834" t="inlineStr"/>
      <c r="G834" t="inlineStr"/>
      <c r="H834" t="inlineStr">
        <is>
          <t>inferred</t>
        </is>
      </c>
      <c r="I834" t="inlineStr">
        <is>
          <t>no</t>
        </is>
      </c>
      <c r="J834" t="inlineStr">
        <is>
          <t>https://www.google.com/maps/@?api=1&amp;map_action=pano&amp;viewpoint=26.249910,-81.769425&amp;heading=179</t>
        </is>
      </c>
      <c r="K834" t="inlineStr">
        <is>
          <t>https://www.google.com/maps/search/?api=1&amp;query=26.249910,-81.769425</t>
        </is>
      </c>
      <c r="L834" t="inlineStr"/>
      <c r="M834" t="inlineStr"/>
      <c r="N834" t="inlineStr"/>
      <c r="O834" t="inlineStr"/>
      <c r="P834" t="inlineStr">
        <is>
          <t>pending</t>
        </is>
      </c>
      <c r="Q834" t="inlineStr"/>
      <c r="R834" t="inlineStr"/>
      <c r="S834" t="inlineStr"/>
      <c r="T834" t="inlineStr"/>
      <c r="U834" t="inlineStr"/>
      <c r="V834">
        <f>IF(OR(L834="",S834=""),"",IF(VALUE(L834)=VALUE(S834),"Y","N"))</f>
        <v/>
      </c>
      <c r="W834">
        <f>IF(V834="Y",S834,"")</f>
        <v/>
      </c>
      <c r="X834" t="inlineStr">
        <is>
          <t>unverified: map has no limit (guessed from road type); main road: what is posted? 35 or lower opens it to LSVs</t>
        </is>
      </c>
      <c r="Y834" t="inlineStr"/>
      <c r="Z834" t="n">
        <v>3542</v>
      </c>
      <c r="AA834" t="inlineStr">
        <is>
          <t>naples</t>
        </is>
      </c>
      <c r="AB834" t="inlineStr">
        <is>
          <t>naples|26.24991,-81.76942</t>
        </is>
      </c>
    </row>
    <row r="835">
      <c r="A835" t="inlineStr">
        <is>
          <t>NAPLES-B2-006</t>
        </is>
      </c>
      <c r="B835" t="inlineStr">
        <is>
          <t>Naples / Marco Island, FL</t>
        </is>
      </c>
      <c r="C835" t="inlineStr">
        <is>
          <t>Livingston Road</t>
        </is>
      </c>
      <c r="D835" t="inlineStr">
        <is>
          <t>(see map link)</t>
        </is>
      </c>
      <c r="E835" t="inlineStr">
        <is>
          <t>Verilyn Circle</t>
        </is>
      </c>
      <c r="F835" t="inlineStr"/>
      <c r="G835" t="inlineStr"/>
      <c r="H835" t="inlineStr">
        <is>
          <t>inferred</t>
        </is>
      </c>
      <c r="I835" t="inlineStr">
        <is>
          <t>no</t>
        </is>
      </c>
      <c r="J835" t="inlineStr">
        <is>
          <t>https://www.google.com/maps/@?api=1&amp;map_action=pano&amp;viewpoint=26.278370,-81.754240&amp;heading=179</t>
        </is>
      </c>
      <c r="K835" t="inlineStr">
        <is>
          <t>https://www.google.com/maps/search/?api=1&amp;query=26.278370,-81.754240</t>
        </is>
      </c>
      <c r="L835" t="inlineStr"/>
      <c r="M835" t="inlineStr"/>
      <c r="N835" t="inlineStr"/>
      <c r="O835" t="inlineStr"/>
      <c r="P835" t="inlineStr">
        <is>
          <t>pending</t>
        </is>
      </c>
      <c r="Q835" t="inlineStr"/>
      <c r="R835" t="inlineStr"/>
      <c r="S835" t="inlineStr"/>
      <c r="T835" t="inlineStr"/>
      <c r="U835" t="inlineStr"/>
      <c r="V835">
        <f>IF(OR(L835="",S835=""),"",IF(VALUE(L835)=VALUE(S835),"Y","N"))</f>
        <v/>
      </c>
      <c r="W835">
        <f>IF(V835="Y",S835,"")</f>
        <v/>
      </c>
      <c r="X835" t="inlineStr">
        <is>
          <t>unverified: map has no limit (guessed from road type); main road: what is posted? 35 or lower opens it to LSVs</t>
        </is>
      </c>
      <c r="Y835" t="inlineStr"/>
      <c r="Z835" t="n">
        <v>6812</v>
      </c>
      <c r="AA835" t="inlineStr">
        <is>
          <t>naples</t>
        </is>
      </c>
      <c r="AB835" t="inlineStr">
        <is>
          <t>naples|26.27837,-81.75424</t>
        </is>
      </c>
    </row>
    <row r="836">
      <c r="A836" t="inlineStr">
        <is>
          <t>NAPLES-B2-007</t>
        </is>
      </c>
      <c r="B836" t="inlineStr">
        <is>
          <t>Naples / Marco Island, FL</t>
        </is>
      </c>
      <c r="C836" t="inlineStr">
        <is>
          <t>Pine Ridge Road</t>
        </is>
      </c>
      <c r="D836" t="inlineStr">
        <is>
          <t>Logan Boulevard South</t>
        </is>
      </c>
      <c r="E836" t="inlineStr">
        <is>
          <t>Napa Boulevard</t>
        </is>
      </c>
      <c r="F836" t="inlineStr"/>
      <c r="G836" t="inlineStr"/>
      <c r="H836" t="inlineStr">
        <is>
          <t>inferred</t>
        </is>
      </c>
      <c r="I836" t="inlineStr">
        <is>
          <t>no</t>
        </is>
      </c>
      <c r="J836" t="inlineStr">
        <is>
          <t>https://www.google.com/maps/@?api=1&amp;map_action=pano&amp;viewpoint=26.211830,-81.724015&amp;heading=269</t>
        </is>
      </c>
      <c r="K836" t="inlineStr">
        <is>
          <t>https://www.google.com/maps/search/?api=1&amp;query=26.211830,-81.724015</t>
        </is>
      </c>
      <c r="L836" t="inlineStr"/>
      <c r="M836" t="inlineStr"/>
      <c r="N836" t="inlineStr"/>
      <c r="O836" t="inlineStr"/>
      <c r="P836" t="inlineStr">
        <is>
          <t>pending</t>
        </is>
      </c>
      <c r="Q836" t="inlineStr"/>
      <c r="R836" t="inlineStr"/>
      <c r="S836" t="inlineStr"/>
      <c r="T836" t="inlineStr"/>
      <c r="U836" t="inlineStr"/>
      <c r="V836">
        <f>IF(OR(L836="",S836=""),"",IF(VALUE(L836)=VALUE(S836),"Y","N"))</f>
        <v/>
      </c>
      <c r="W836">
        <f>IF(V836="Y",S836,"")</f>
        <v/>
      </c>
      <c r="X836" t="inlineStr">
        <is>
          <t>unverified: map has no limit (guessed from road type); main road: what is posted? 35 or lower opens it to LSVs</t>
        </is>
      </c>
      <c r="Y836" t="inlineStr"/>
      <c r="Z836" t="n">
        <v>1714</v>
      </c>
      <c r="AA836" t="inlineStr">
        <is>
          <t>naples</t>
        </is>
      </c>
      <c r="AB836" t="inlineStr">
        <is>
          <t>naples|26.21183,-81.72402</t>
        </is>
      </c>
    </row>
    <row r="837">
      <c r="A837" t="inlineStr">
        <is>
          <t>NAPLES-B2-008</t>
        </is>
      </c>
      <c r="B837" t="inlineStr">
        <is>
          <t>Naples / Marco Island, FL</t>
        </is>
      </c>
      <c r="C837" t="inlineStr">
        <is>
          <t>Collier Boulevard</t>
        </is>
      </c>
      <c r="D837" t="inlineStr">
        <is>
          <t>Golden Gate Boulevard West</t>
        </is>
      </c>
      <c r="E837" t="inlineStr">
        <is>
          <t>5th Avenue Northwest</t>
        </is>
      </c>
      <c r="F837" t="inlineStr"/>
      <c r="G837" t="inlineStr"/>
      <c r="H837" t="inlineStr">
        <is>
          <t>inferred</t>
        </is>
      </c>
      <c r="I837" t="inlineStr">
        <is>
          <t>no</t>
        </is>
      </c>
      <c r="J837" t="inlineStr">
        <is>
          <t>https://www.google.com/maps/@?api=1&amp;map_action=pano&amp;viewpoint=26.235705,-81.687845&amp;heading=359</t>
        </is>
      </c>
      <c r="K837" t="inlineStr">
        <is>
          <t>https://www.google.com/maps/search/?api=1&amp;query=26.235705,-81.687845</t>
        </is>
      </c>
      <c r="L837" t="inlineStr"/>
      <c r="M837" t="inlineStr"/>
      <c r="N837" t="inlineStr"/>
      <c r="O837" t="inlineStr"/>
      <c r="P837" t="inlineStr">
        <is>
          <t>pending</t>
        </is>
      </c>
      <c r="Q837" t="inlineStr"/>
      <c r="R837" t="inlineStr"/>
      <c r="S837" t="inlineStr"/>
      <c r="T837" t="inlineStr"/>
      <c r="U837" t="inlineStr"/>
      <c r="V837">
        <f>IF(OR(L837="",S837=""),"",IF(VALUE(L837)=VALUE(S837),"Y","N"))</f>
        <v/>
      </c>
      <c r="W837">
        <f>IF(V837="Y",S837,"")</f>
        <v/>
      </c>
      <c r="X837" t="inlineStr">
        <is>
          <t>unverified: map has no limit (guessed from road type); main road: what is posted? 35 or lower opens it to LSVs</t>
        </is>
      </c>
      <c r="Y837" t="inlineStr"/>
      <c r="Z837" t="n">
        <v>1485</v>
      </c>
      <c r="AA837" t="inlineStr">
        <is>
          <t>naples</t>
        </is>
      </c>
      <c r="AB837" t="inlineStr">
        <is>
          <t>naples|26.23570,-81.68785</t>
        </is>
      </c>
    </row>
    <row r="838">
      <c r="A838" t="inlineStr">
        <is>
          <t>OCOAST-B2-001</t>
        </is>
      </c>
      <c r="B838" t="inlineStr">
        <is>
          <t>Laguna Woods / OC coast, CA</t>
        </is>
      </c>
      <c r="C838" t="inlineStr">
        <is>
          <t>Cristianitos Road</t>
        </is>
      </c>
      <c r="D838" t="inlineStr">
        <is>
          <t>El Camino Real</t>
        </is>
      </c>
      <c r="E838" t="inlineStr">
        <is>
          <t>(see map link)</t>
        </is>
      </c>
      <c r="F838" t="inlineStr"/>
      <c r="G838" t="inlineStr"/>
      <c r="H838" t="inlineStr">
        <is>
          <t>inferred</t>
        </is>
      </c>
      <c r="I838" t="inlineStr">
        <is>
          <t>no</t>
        </is>
      </c>
      <c r="J838" t="inlineStr">
        <is>
          <t>https://www.google.com/maps/@?api=1&amp;map_action=pano&amp;viewpoint=33.396170,-117.591760&amp;heading=214</t>
        </is>
      </c>
      <c r="K838" t="inlineStr">
        <is>
          <t>https://www.google.com/maps/search/?api=1&amp;query=33.396170,-117.591760</t>
        </is>
      </c>
      <c r="L838" t="inlineStr"/>
      <c r="M838" t="inlineStr"/>
      <c r="N838" t="inlineStr"/>
      <c r="O838" t="inlineStr"/>
      <c r="P838" t="inlineStr">
        <is>
          <t>pending</t>
        </is>
      </c>
      <c r="Q838" t="inlineStr"/>
      <c r="R838" t="inlineStr"/>
      <c r="S838" t="inlineStr"/>
      <c r="T838" t="inlineStr"/>
      <c r="U838" t="inlineStr"/>
      <c r="V838">
        <f>IF(OR(L838="",S838=""),"",IF(VALUE(L838)=VALUE(S838),"Y","N"))</f>
        <v/>
      </c>
      <c r="W838">
        <f>IF(V838="Y",S838,"")</f>
        <v/>
      </c>
      <c r="X838" t="inlineStr">
        <is>
          <t>RED ISLAND: 13 m of Cristianitos Road at no limit between 25 mph on both sides (gap); is the posted limit really higher here?</t>
        </is>
      </c>
      <c r="Y838" t="inlineStr"/>
      <c r="Z838" t="n">
        <v>13</v>
      </c>
      <c r="AA838" t="inlineStr">
        <is>
          <t>ocoast</t>
        </is>
      </c>
      <c r="AB838" t="inlineStr">
        <is>
          <t>ocoast|33.39617,-117.59176</t>
        </is>
      </c>
    </row>
    <row r="839">
      <c r="A839" t="inlineStr">
        <is>
          <t>OCOAST-B2-002</t>
        </is>
      </c>
      <c r="B839" t="inlineStr">
        <is>
          <t>Laguna Woods / OC coast, CA</t>
        </is>
      </c>
      <c r="C839" t="inlineStr">
        <is>
          <t>Airoso Street</t>
        </is>
      </c>
      <c r="D839" t="inlineStr">
        <is>
          <t>Chiquita Canyon Drive</t>
        </is>
      </c>
      <c r="E839" t="inlineStr">
        <is>
          <t>(see map link)</t>
        </is>
      </c>
      <c r="F839" t="inlineStr"/>
      <c r="G839" t="n">
        <v>65</v>
      </c>
      <c r="H839" t="inlineStr">
        <is>
          <t>tag</t>
        </is>
      </c>
      <c r="I839" t="inlineStr">
        <is>
          <t>no</t>
        </is>
      </c>
      <c r="J839" t="inlineStr">
        <is>
          <t>https://www.google.com/maps/@?api=1&amp;map_action=pano&amp;viewpoint=33.546880,-117.596565&amp;heading=350</t>
        </is>
      </c>
      <c r="K839" t="inlineStr">
        <is>
          <t>https://www.google.com/maps/search/?api=1&amp;query=33.546880,-117.596565</t>
        </is>
      </c>
      <c r="L839" t="inlineStr"/>
      <c r="M839" t="inlineStr"/>
      <c r="N839" t="inlineStr"/>
      <c r="O839" t="inlineStr"/>
      <c r="P839" t="inlineStr">
        <is>
          <t>pending</t>
        </is>
      </c>
      <c r="Q839" t="inlineStr"/>
      <c r="R839" t="inlineStr"/>
      <c r="S839" t="inlineStr"/>
      <c r="T839" t="inlineStr"/>
      <c r="U839" t="inlineStr"/>
      <c r="V839">
        <f>IF(OR(L839="",S839=""),"",IF(VALUE(L839)=VALUE(S839),"Y","N"))</f>
        <v/>
      </c>
      <c r="W839">
        <f>IF(V839="Y",S839,"")</f>
        <v/>
      </c>
      <c r="X839" t="inlineStr">
        <is>
          <t>RED ISLAND: 143 m of Airoso Street at 65 mph between 25 mph on both sides (single); is the posted limit really higher here?</t>
        </is>
      </c>
      <c r="Y839" t="inlineStr"/>
      <c r="Z839" t="n">
        <v>143</v>
      </c>
      <c r="AA839" t="inlineStr">
        <is>
          <t>ocoast</t>
        </is>
      </c>
      <c r="AB839" t="inlineStr">
        <is>
          <t>ocoast|33.54688,-117.59656</t>
        </is>
      </c>
    </row>
    <row r="840">
      <c r="A840" t="inlineStr">
        <is>
          <t>OCOAST-B2-003</t>
        </is>
      </c>
      <c r="B840" t="inlineStr">
        <is>
          <t>Laguna Woods / OC coast, CA</t>
        </is>
      </c>
      <c r="C840" t="inlineStr">
        <is>
          <t>Via Canon</t>
        </is>
      </c>
      <c r="D840" t="inlineStr">
        <is>
          <t>(see map link)</t>
        </is>
      </c>
      <c r="E840" t="inlineStr">
        <is>
          <t>Camino Capistrano</t>
        </is>
      </c>
      <c r="F840" t="inlineStr"/>
      <c r="G840" t="inlineStr"/>
      <c r="H840" t="inlineStr">
        <is>
          <t>inferred</t>
        </is>
      </c>
      <c r="I840" t="inlineStr">
        <is>
          <t>no</t>
        </is>
      </c>
      <c r="J840" t="inlineStr">
        <is>
          <t>https://www.google.com/maps/@?api=1&amp;map_action=pano&amp;viewpoint=33.464000,-117.670380&amp;heading=40</t>
        </is>
      </c>
      <c r="K840" t="inlineStr">
        <is>
          <t>https://www.google.com/maps/search/?api=1&amp;query=33.464000,-117.670380</t>
        </is>
      </c>
      <c r="L840" t="inlineStr"/>
      <c r="M840" t="inlineStr"/>
      <c r="N840" t="inlineStr"/>
      <c r="O840" t="inlineStr"/>
      <c r="P840" t="inlineStr">
        <is>
          <t>pending</t>
        </is>
      </c>
      <c r="Q840" t="inlineStr"/>
      <c r="R840" t="inlineStr"/>
      <c r="S840" t="inlineStr"/>
      <c r="T840" t="inlineStr"/>
      <c r="U840" t="inlineStr"/>
      <c r="V840">
        <f>IF(OR(L840="",S840=""),"",IF(VALUE(L840)=VALUE(S840),"Y","N"))</f>
        <v/>
      </c>
      <c r="W840">
        <f>IF(V840="Y",S840,"")</f>
        <v/>
      </c>
      <c r="X840" t="inlineStr">
        <is>
          <t>RED ISLAND: 443 m of Via Canon at no limit between 25/30 mph on both sides (gap); is the posted limit really higher here?</t>
        </is>
      </c>
      <c r="Y840" t="inlineStr"/>
      <c r="Z840" t="n">
        <v>443</v>
      </c>
      <c r="AA840" t="inlineStr">
        <is>
          <t>ocoast</t>
        </is>
      </c>
      <c r="AB840" t="inlineStr">
        <is>
          <t>ocoast|33.46400,-117.67038</t>
        </is>
      </c>
    </row>
    <row r="841">
      <c r="A841" t="inlineStr">
        <is>
          <t>OCOAST-B2-004</t>
        </is>
      </c>
      <c r="B841" t="inlineStr">
        <is>
          <t>Laguna Woods / OC coast, CA</t>
        </is>
      </c>
      <c r="C841" t="inlineStr">
        <is>
          <t>Via California</t>
        </is>
      </c>
      <c r="D841" t="inlineStr">
        <is>
          <t>(see map link)</t>
        </is>
      </c>
      <c r="E841" t="inlineStr">
        <is>
          <t>Via Lopez</t>
        </is>
      </c>
      <c r="F841" t="inlineStr"/>
      <c r="G841" t="inlineStr"/>
      <c r="H841" t="inlineStr">
        <is>
          <t>inferred</t>
        </is>
      </c>
      <c r="I841" t="inlineStr">
        <is>
          <t>no</t>
        </is>
      </c>
      <c r="J841" t="inlineStr">
        <is>
          <t>https://www.google.com/maps/@?api=1&amp;map_action=pano&amp;viewpoint=33.465895,-117.667390&amp;heading=40</t>
        </is>
      </c>
      <c r="K841" t="inlineStr">
        <is>
          <t>https://www.google.com/maps/search/?api=1&amp;query=33.465895,-117.667390</t>
        </is>
      </c>
      <c r="L841" t="inlineStr"/>
      <c r="M841" t="inlineStr"/>
      <c r="N841" t="inlineStr"/>
      <c r="O841" t="inlineStr"/>
      <c r="P841" t="inlineStr">
        <is>
          <t>pending</t>
        </is>
      </c>
      <c r="Q841" t="inlineStr"/>
      <c r="R841" t="inlineStr"/>
      <c r="S841" t="inlineStr"/>
      <c r="T841" t="inlineStr"/>
      <c r="U841" t="inlineStr"/>
      <c r="V841">
        <f>IF(OR(L841="",S841=""),"",IF(VALUE(L841)=VALUE(S841),"Y","N"))</f>
        <v/>
      </c>
      <c r="W841">
        <f>IF(V841="Y",S841,"")</f>
        <v/>
      </c>
      <c r="X841" t="inlineStr">
        <is>
          <t>RED ISLAND: 231 m of Via California at no limit between 25 mph on both sides (gap); is the posted limit really higher here?</t>
        </is>
      </c>
      <c r="Y841" t="inlineStr"/>
      <c r="Z841" t="n">
        <v>231</v>
      </c>
      <c r="AA841" t="inlineStr">
        <is>
          <t>ocoast</t>
        </is>
      </c>
      <c r="AB841" t="inlineStr">
        <is>
          <t>ocoast|33.46590,-117.66739</t>
        </is>
      </c>
    </row>
    <row r="842">
      <c r="A842" t="inlineStr">
        <is>
          <t>OCOAST-B2-005</t>
        </is>
      </c>
      <c r="B842" t="inlineStr">
        <is>
          <t>Laguna Woods / OC coast, CA</t>
        </is>
      </c>
      <c r="C842" t="inlineStr">
        <is>
          <t>East Avenida Palizada</t>
        </is>
      </c>
      <c r="D842" t="inlineStr">
        <is>
          <t>North El Camino Real</t>
        </is>
      </c>
      <c r="E842" t="inlineStr">
        <is>
          <t>North Avenida de la Estrella</t>
        </is>
      </c>
      <c r="F842" t="inlineStr"/>
      <c r="G842" t="inlineStr"/>
      <c r="H842" t="inlineStr">
        <is>
          <t>inferred</t>
        </is>
      </c>
      <c r="I842" t="inlineStr">
        <is>
          <t>no</t>
        </is>
      </c>
      <c r="J842" t="inlineStr">
        <is>
          <t>https://www.google.com/maps/@?api=1&amp;map_action=pano&amp;viewpoint=33.430885,-117.614490&amp;heading=48</t>
        </is>
      </c>
      <c r="K842" t="inlineStr">
        <is>
          <t>https://www.google.com/maps/search/?api=1&amp;query=33.430885,-117.614490</t>
        </is>
      </c>
      <c r="L842" t="inlineStr"/>
      <c r="M842" t="inlineStr"/>
      <c r="N842" t="inlineStr"/>
      <c r="O842" t="inlineStr"/>
      <c r="P842" t="inlineStr">
        <is>
          <t>pending</t>
        </is>
      </c>
      <c r="Q842" t="inlineStr"/>
      <c r="R842" t="inlineStr"/>
      <c r="S842" t="inlineStr"/>
      <c r="T842" t="inlineStr"/>
      <c r="U842" t="inlineStr"/>
      <c r="V842">
        <f>IF(OR(L842="",S842=""),"",IF(VALUE(L842)=VALUE(S842),"Y","N"))</f>
        <v/>
      </c>
      <c r="W842">
        <f>IF(V842="Y",S842,"")</f>
        <v/>
      </c>
      <c r="X842" t="inlineStr">
        <is>
          <t>RED ISLAND: 231 m of East Avenida Palizada at no limit between 25 mph on both sides (gap); is the posted limit really higher here?</t>
        </is>
      </c>
      <c r="Y842" t="inlineStr"/>
      <c r="Z842" t="n">
        <v>231</v>
      </c>
      <c r="AA842" t="inlineStr">
        <is>
          <t>ocoast</t>
        </is>
      </c>
      <c r="AB842" t="inlineStr">
        <is>
          <t>ocoast|33.43089,-117.61449</t>
        </is>
      </c>
    </row>
    <row r="843">
      <c r="A843" t="inlineStr">
        <is>
          <t>OCOAST-B2-006</t>
        </is>
      </c>
      <c r="B843" t="inlineStr">
        <is>
          <t>Laguna Woods / OC coast, CA</t>
        </is>
      </c>
      <c r="C843" t="inlineStr">
        <is>
          <t>Greenfield Drive</t>
        </is>
      </c>
      <c r="D843" t="inlineStr">
        <is>
          <t>(see map link)</t>
        </is>
      </c>
      <c r="E843" t="inlineStr">
        <is>
          <t>Crown Valley Parkway</t>
        </is>
      </c>
      <c r="F843" t="inlineStr"/>
      <c r="G843" t="inlineStr"/>
      <c r="H843" t="inlineStr">
        <is>
          <t>inferred</t>
        </is>
      </c>
      <c r="I843" t="inlineStr">
        <is>
          <t>no</t>
        </is>
      </c>
      <c r="J843" t="inlineStr">
        <is>
          <t>https://www.google.com/maps/@?api=1&amp;map_action=pano&amp;viewpoint=33.558140,-117.685570&amp;heading=190</t>
        </is>
      </c>
      <c r="K843" t="inlineStr">
        <is>
          <t>https://www.google.com/maps/search/?api=1&amp;query=33.558140,-117.685570</t>
        </is>
      </c>
      <c r="L843" t="inlineStr"/>
      <c r="M843" t="inlineStr"/>
      <c r="N843" t="inlineStr"/>
      <c r="O843" t="inlineStr"/>
      <c r="P843" t="inlineStr">
        <is>
          <t>pending</t>
        </is>
      </c>
      <c r="Q843" t="inlineStr"/>
      <c r="R843" t="inlineStr"/>
      <c r="S843" t="inlineStr"/>
      <c r="T843" t="inlineStr"/>
      <c r="U843" t="inlineStr"/>
      <c r="V843">
        <f>IF(OR(L843="",S843=""),"",IF(VALUE(L843)=VALUE(S843),"Y","N"))</f>
        <v/>
      </c>
      <c r="W843">
        <f>IF(V843="Y",S843,"")</f>
        <v/>
      </c>
      <c r="X843" t="inlineStr">
        <is>
          <t>RED ISLAND: 775 m of Greenfield Drive at no limit between 25/35 mph on both sides (gap); is the posted limit really higher here?</t>
        </is>
      </c>
      <c r="Y843" t="inlineStr"/>
      <c r="Z843" t="n">
        <v>775</v>
      </c>
      <c r="AA843" t="inlineStr">
        <is>
          <t>ocoast</t>
        </is>
      </c>
      <c r="AB843" t="inlineStr">
        <is>
          <t>ocoast|33.55814,-117.68557</t>
        </is>
      </c>
    </row>
    <row r="844">
      <c r="A844" t="inlineStr">
        <is>
          <t>OCOAST-B2-007</t>
        </is>
      </c>
      <c r="B844" t="inlineStr">
        <is>
          <t>Laguna Woods / OC coast, CA</t>
        </is>
      </c>
      <c r="C844" t="inlineStr">
        <is>
          <t>Camino Capistrano</t>
        </is>
      </c>
      <c r="D844" t="inlineStr">
        <is>
          <t>Paseo de la Colinas</t>
        </is>
      </c>
      <c r="E844" t="inlineStr">
        <is>
          <t>Avery Parkway</t>
        </is>
      </c>
      <c r="F844" t="inlineStr"/>
      <c r="G844" t="inlineStr"/>
      <c r="H844" t="inlineStr">
        <is>
          <t>inferred</t>
        </is>
      </c>
      <c r="I844" t="inlineStr">
        <is>
          <t>no</t>
        </is>
      </c>
      <c r="J844" t="inlineStr">
        <is>
          <t>https://www.google.com/maps/@?api=1&amp;map_action=pano&amp;viewpoint=33.548175,-117.674090&amp;heading=181</t>
        </is>
      </c>
      <c r="K844" t="inlineStr">
        <is>
          <t>https://www.google.com/maps/search/?api=1&amp;query=33.548175,-117.674090</t>
        </is>
      </c>
      <c r="L844" t="inlineStr"/>
      <c r="M844" t="inlineStr"/>
      <c r="N844" t="inlineStr"/>
      <c r="O844" t="inlineStr"/>
      <c r="P844" t="inlineStr">
        <is>
          <t>pending</t>
        </is>
      </c>
      <c r="Q844" t="inlineStr"/>
      <c r="R844" t="inlineStr"/>
      <c r="S844" t="inlineStr"/>
      <c r="T844" t="inlineStr"/>
      <c r="U844" t="inlineStr"/>
      <c r="V844">
        <f>IF(OR(L844="",S844=""),"",IF(VALUE(L844)=VALUE(S844),"Y","N"))</f>
        <v/>
      </c>
      <c r="W844">
        <f>IF(V844="Y",S844,"")</f>
        <v/>
      </c>
      <c r="X844" t="inlineStr">
        <is>
          <t>RED ISLAND: 220 m of Camino Capistrano at no limit between 25/35 mph on both sides (gap); is the posted limit really higher here?</t>
        </is>
      </c>
      <c r="Y844" t="inlineStr"/>
      <c r="Z844" t="n">
        <v>220</v>
      </c>
      <c r="AA844" t="inlineStr">
        <is>
          <t>ocoast</t>
        </is>
      </c>
      <c r="AB844" t="inlineStr">
        <is>
          <t>ocoast|33.54818,-117.67409</t>
        </is>
      </c>
    </row>
    <row r="845">
      <c r="A845" t="inlineStr">
        <is>
          <t>OCOAST-B2-008</t>
        </is>
      </c>
      <c r="B845" t="inlineStr">
        <is>
          <t>Laguna Woods / OC coast, CA</t>
        </is>
      </c>
      <c r="C845" t="inlineStr">
        <is>
          <t>Esencia Drive</t>
        </is>
      </c>
      <c r="D845" t="inlineStr">
        <is>
          <t>Fauna Drive</t>
        </is>
      </c>
      <c r="E845" t="inlineStr">
        <is>
          <t>Fauna Drive</t>
        </is>
      </c>
      <c r="F845" t="inlineStr"/>
      <c r="G845" t="n">
        <v>65</v>
      </c>
      <c r="H845" t="inlineStr">
        <is>
          <t>tag</t>
        </is>
      </c>
      <c r="I845" t="inlineStr">
        <is>
          <t>no</t>
        </is>
      </c>
      <c r="J845" t="inlineStr">
        <is>
          <t>https://www.google.com/maps/@?api=1&amp;map_action=pano&amp;viewpoint=33.535735,-117.603260&amp;heading=165</t>
        </is>
      </c>
      <c r="K845" t="inlineStr">
        <is>
          <t>https://www.google.com/maps/search/?api=1&amp;query=33.535735,-117.603260</t>
        </is>
      </c>
      <c r="L845" t="inlineStr"/>
      <c r="M845" t="inlineStr"/>
      <c r="N845" t="inlineStr"/>
      <c r="O845" t="inlineStr"/>
      <c r="P845" t="inlineStr">
        <is>
          <t>pending</t>
        </is>
      </c>
      <c r="Q845" t="inlineStr"/>
      <c r="R845" t="inlineStr"/>
      <c r="S845" t="inlineStr"/>
      <c r="T845" t="inlineStr"/>
      <c r="U845" t="inlineStr"/>
      <c r="V845">
        <f>IF(OR(L845="",S845=""),"",IF(VALUE(L845)=VALUE(S845),"Y","N"))</f>
        <v/>
      </c>
      <c r="W845">
        <f>IF(V845="Y",S845,"")</f>
        <v/>
      </c>
      <c r="X845" t="inlineStr">
        <is>
          <t>RED ISLAND: 246 m of Esencia Drive at 65 mph between 25/35 mph on both sides (single); is the posted limit really higher here?</t>
        </is>
      </c>
      <c r="Y845" t="inlineStr"/>
      <c r="Z845" t="n">
        <v>246</v>
      </c>
      <c r="AA845" t="inlineStr">
        <is>
          <t>ocoast</t>
        </is>
      </c>
      <c r="AB845" t="inlineStr">
        <is>
          <t>ocoast|33.53574,-117.60326</t>
        </is>
      </c>
    </row>
    <row r="846">
      <c r="A846" t="inlineStr">
        <is>
          <t>OCOAST-B2-009</t>
        </is>
      </c>
      <c r="B846" t="inlineStr">
        <is>
          <t>Laguna Woods / OC coast, CA</t>
        </is>
      </c>
      <c r="C846" t="inlineStr">
        <is>
          <t>Camino Capistrano</t>
        </is>
      </c>
      <c r="D846" t="inlineStr">
        <is>
          <t>(see map link)</t>
        </is>
      </c>
      <c r="E846" t="inlineStr">
        <is>
          <t>(see map link)</t>
        </is>
      </c>
      <c r="F846" t="inlineStr"/>
      <c r="G846" t="n">
        <v>45</v>
      </c>
      <c r="H846" t="inlineStr">
        <is>
          <t>tag</t>
        </is>
      </c>
      <c r="I846" t="inlineStr">
        <is>
          <t>no</t>
        </is>
      </c>
      <c r="J846" t="inlineStr">
        <is>
          <t>https://www.google.com/maps/@?api=1&amp;map_action=pano&amp;viewpoint=33.541885,-117.674640&amp;heading=188</t>
        </is>
      </c>
      <c r="K846" t="inlineStr">
        <is>
          <t>https://www.google.com/maps/search/?api=1&amp;query=33.541885,-117.674640</t>
        </is>
      </c>
      <c r="L846" t="inlineStr"/>
      <c r="M846" t="inlineStr"/>
      <c r="N846" t="inlineStr"/>
      <c r="O846" t="inlineStr"/>
      <c r="P846" t="inlineStr">
        <is>
          <t>pending</t>
        </is>
      </c>
      <c r="Q846" t="inlineStr"/>
      <c r="R846" t="inlineStr"/>
      <c r="S846" t="inlineStr"/>
      <c r="T846" t="inlineStr"/>
      <c r="U846" t="inlineStr"/>
      <c r="V846">
        <f>IF(OR(L846="",S846=""),"",IF(VALUE(L846)=VALUE(S846),"Y","N"))</f>
        <v/>
      </c>
      <c r="W846">
        <f>IF(V846="Y",S846,"")</f>
        <v/>
      </c>
      <c r="X846" t="inlineStr">
        <is>
          <t>RED ISLAND: 28 m of Camino Capistrano at 45 mph between 25/35 mph on both sides (single); is the posted limit really higher here?</t>
        </is>
      </c>
      <c r="Y846" t="inlineStr"/>
      <c r="Z846" t="n">
        <v>28</v>
      </c>
      <c r="AA846" t="inlineStr">
        <is>
          <t>ocoast</t>
        </is>
      </c>
      <c r="AB846" t="inlineStr">
        <is>
          <t>ocoast|33.54188,-117.67464</t>
        </is>
      </c>
    </row>
    <row r="847">
      <c r="A847" t="inlineStr">
        <is>
          <t>OCOAST-B2-010</t>
        </is>
      </c>
      <c r="B847" t="inlineStr">
        <is>
          <t>Laguna Woods / OC coast, CA</t>
        </is>
      </c>
      <c r="C847" t="inlineStr">
        <is>
          <t>Toledo Way</t>
        </is>
      </c>
      <c r="D847" t="inlineStr">
        <is>
          <t>(see map link)</t>
        </is>
      </c>
      <c r="E847" t="inlineStr">
        <is>
          <t>Killy Street</t>
        </is>
      </c>
      <c r="F847" t="inlineStr"/>
      <c r="G847" t="n">
        <v>45</v>
      </c>
      <c r="H847" t="inlineStr">
        <is>
          <t>tag</t>
        </is>
      </c>
      <c r="I847" t="inlineStr">
        <is>
          <t>no</t>
        </is>
      </c>
      <c r="J847" t="inlineStr">
        <is>
          <t>https://www.google.com/maps/@?api=1&amp;map_action=pano&amp;viewpoint=33.634790,-117.688160&amp;heading=136</t>
        </is>
      </c>
      <c r="K847" t="inlineStr">
        <is>
          <t>https://www.google.com/maps/search/?api=1&amp;query=33.634790,-117.688160</t>
        </is>
      </c>
      <c r="L847" t="inlineStr"/>
      <c r="M847" t="inlineStr"/>
      <c r="N847" t="inlineStr"/>
      <c r="O847" t="inlineStr"/>
      <c r="P847" t="inlineStr">
        <is>
          <t>pending</t>
        </is>
      </c>
      <c r="Q847" t="inlineStr"/>
      <c r="R847" t="inlineStr"/>
      <c r="S847" t="inlineStr"/>
      <c r="T847" t="inlineStr"/>
      <c r="U847" t="inlineStr"/>
      <c r="V847">
        <f>IF(OR(L847="",S847=""),"",IF(VALUE(L847)=VALUE(S847),"Y","N"))</f>
        <v/>
      </c>
      <c r="W847">
        <f>IF(V847="Y",S847,"")</f>
        <v/>
      </c>
      <c r="X847" t="inlineStr">
        <is>
          <t>RED ISLAND: 494 m of Toledo Way at 45 mph between 25 mph on both sides (single); is the posted limit really higher here?</t>
        </is>
      </c>
      <c r="Y847" t="inlineStr"/>
      <c r="Z847" t="n">
        <v>494</v>
      </c>
      <c r="AA847" t="inlineStr">
        <is>
          <t>ocoast</t>
        </is>
      </c>
      <c r="AB847" t="inlineStr">
        <is>
          <t>ocoast|33.63479,-117.68816</t>
        </is>
      </c>
    </row>
    <row r="848">
      <c r="A848" t="inlineStr">
        <is>
          <t>OCOAST-B2-011</t>
        </is>
      </c>
      <c r="B848" t="inlineStr">
        <is>
          <t>Laguna Woods / OC coast, CA</t>
        </is>
      </c>
      <c r="C848" t="inlineStr">
        <is>
          <t>Alta Laguna Boulevard</t>
        </is>
      </c>
      <c r="D848" t="inlineStr">
        <is>
          <t>(see map link)</t>
        </is>
      </c>
      <c r="E848" t="inlineStr">
        <is>
          <t>Chillon Way</t>
        </is>
      </c>
      <c r="F848" t="inlineStr"/>
      <c r="G848" t="inlineStr"/>
      <c r="H848" t="inlineStr">
        <is>
          <t>inferred</t>
        </is>
      </c>
      <c r="I848" t="inlineStr">
        <is>
          <t>no</t>
        </is>
      </c>
      <c r="J848" t="inlineStr">
        <is>
          <t>https://www.google.com/maps/@?api=1&amp;map_action=pano&amp;viewpoint=33.545410,-117.753705&amp;heading=183</t>
        </is>
      </c>
      <c r="K848" t="inlineStr">
        <is>
          <t>https://www.google.com/maps/search/?api=1&amp;query=33.545410,-117.753705</t>
        </is>
      </c>
      <c r="L848" t="inlineStr"/>
      <c r="M848" t="inlineStr"/>
      <c r="N848" t="inlineStr"/>
      <c r="O848" t="inlineStr"/>
      <c r="P848" t="inlineStr">
        <is>
          <t>pending</t>
        </is>
      </c>
      <c r="Q848" t="inlineStr"/>
      <c r="R848" t="inlineStr"/>
      <c r="S848" t="inlineStr"/>
      <c r="T848" t="inlineStr"/>
      <c r="U848" t="inlineStr"/>
      <c r="V848">
        <f>IF(OR(L848="",S848=""),"",IF(VALUE(L848)=VALUE(S848),"Y","N"))</f>
        <v/>
      </c>
      <c r="W848">
        <f>IF(V848="Y",S848,"")</f>
        <v/>
      </c>
      <c r="X848" t="inlineStr">
        <is>
          <t>RED ISLAND: 72 m of Alta Laguna Boulevard at no limit between 25/30 mph on both sides (gap); is the posted limit really higher here?</t>
        </is>
      </c>
      <c r="Y848" t="inlineStr"/>
      <c r="Z848" t="n">
        <v>72</v>
      </c>
      <c r="AA848" t="inlineStr">
        <is>
          <t>ocoast</t>
        </is>
      </c>
      <c r="AB848" t="inlineStr">
        <is>
          <t>ocoast|33.54541,-117.75370</t>
        </is>
      </c>
    </row>
    <row r="849">
      <c r="A849" t="inlineStr">
        <is>
          <t>OCOAST-B2-012</t>
        </is>
      </c>
      <c r="B849" t="inlineStr">
        <is>
          <t>Laguna Woods / OC coast, CA</t>
        </is>
      </c>
      <c r="C849" t="inlineStr">
        <is>
          <t>Thalia Street</t>
        </is>
      </c>
      <c r="D849" t="inlineStr">
        <is>
          <t>Pacific Coast Highway</t>
        </is>
      </c>
      <c r="E849" t="inlineStr">
        <is>
          <t>Glenneyre Street</t>
        </is>
      </c>
      <c r="F849" t="inlineStr"/>
      <c r="G849" t="inlineStr"/>
      <c r="H849" t="inlineStr">
        <is>
          <t>inferred</t>
        </is>
      </c>
      <c r="I849" t="inlineStr">
        <is>
          <t>no</t>
        </is>
      </c>
      <c r="J849" t="inlineStr">
        <is>
          <t>https://www.google.com/maps/@?api=1&amp;map_action=pano&amp;viewpoint=33.536060,-117.778150&amp;heading=57</t>
        </is>
      </c>
      <c r="K849" t="inlineStr">
        <is>
          <t>https://www.google.com/maps/search/?api=1&amp;query=33.536060,-117.778150</t>
        </is>
      </c>
      <c r="L849" t="inlineStr"/>
      <c r="M849" t="inlineStr"/>
      <c r="N849" t="inlineStr"/>
      <c r="O849" t="inlineStr"/>
      <c r="P849" t="inlineStr">
        <is>
          <t>pending</t>
        </is>
      </c>
      <c r="Q849" t="inlineStr"/>
      <c r="R849" t="inlineStr"/>
      <c r="S849" t="inlineStr"/>
      <c r="T849" t="inlineStr"/>
      <c r="U849" t="inlineStr"/>
      <c r="V849">
        <f>IF(OR(L849="",S849=""),"",IF(VALUE(L849)=VALUE(S849),"Y","N"))</f>
        <v/>
      </c>
      <c r="W849">
        <f>IF(V849="Y",S849,"")</f>
        <v/>
      </c>
      <c r="X849" t="inlineStr">
        <is>
          <t>RED ISLAND: 105 m of Thalia Street at no limit between 25 mph on both sides (gap); is the posted limit really higher here?</t>
        </is>
      </c>
      <c r="Y849" t="inlineStr"/>
      <c r="Z849" t="n">
        <v>105</v>
      </c>
      <c r="AA849" t="inlineStr">
        <is>
          <t>ocoast</t>
        </is>
      </c>
      <c r="AB849" t="inlineStr">
        <is>
          <t>ocoast|33.53606,-117.77815</t>
        </is>
      </c>
    </row>
    <row r="850">
      <c r="A850" t="inlineStr">
        <is>
          <t>OCOAST-B2-013</t>
        </is>
      </c>
      <c r="B850" t="inlineStr">
        <is>
          <t>Laguna Woods / OC coast, CA</t>
        </is>
      </c>
      <c r="C850" t="inlineStr">
        <is>
          <t>Del Obispo Street</t>
        </is>
      </c>
      <c r="D850" t="inlineStr">
        <is>
          <t>Westborne Drive</t>
        </is>
      </c>
      <c r="E850" t="inlineStr">
        <is>
          <t>(see map link)</t>
        </is>
      </c>
      <c r="F850" t="inlineStr"/>
      <c r="G850" t="n">
        <v>45</v>
      </c>
      <c r="H850" t="inlineStr">
        <is>
          <t>mapillary</t>
        </is>
      </c>
      <c r="I850" t="inlineStr">
        <is>
          <t>no</t>
        </is>
      </c>
      <c r="J850" t="inlineStr">
        <is>
          <t>https://www.google.com/maps/@?api=1&amp;map_action=pano&amp;viewpoint=33.484120,-117.684270&amp;heading=193</t>
        </is>
      </c>
      <c r="K850" t="inlineStr">
        <is>
          <t>https://www.google.com/maps/search/?api=1&amp;query=33.484120,-117.684270</t>
        </is>
      </c>
      <c r="L850" t="inlineStr"/>
      <c r="M850" t="inlineStr"/>
      <c r="N850" t="inlineStr"/>
      <c r="O850" t="inlineStr"/>
      <c r="P850" t="inlineStr">
        <is>
          <t>pending</t>
        </is>
      </c>
      <c r="Q850" t="inlineStr"/>
      <c r="R850" t="inlineStr"/>
      <c r="S850" t="inlineStr"/>
      <c r="T850" t="inlineStr">
        <is>
          <t>Mapillary: 2 posted 45 mph sign(s) detected</t>
        </is>
      </c>
      <c r="U850" t="inlineStr">
        <is>
          <t>https://www.mapillary.com/app/?lat=33.483800&amp;lng=-117.684230&amp;z=19&amp;focus=map&amp;mapFeatureId=3464619807089324</t>
        </is>
      </c>
      <c r="V850">
        <f>IF(OR(L850="",S850=""),"",IF(VALUE(L850)=VALUE(S850),"Y","N"))</f>
        <v/>
      </c>
      <c r="W850">
        <f>IF(V850="Y",S850,"")</f>
        <v/>
      </c>
      <c r="X850" t="inlineStr">
        <is>
          <t>RED ISLAND: 164 m of Del Obispo Street at 45 mph between 25/35 mph on both sides (confirmed); is the posted limit really higher here?</t>
        </is>
      </c>
      <c r="Y850" t="inlineStr"/>
      <c r="Z850" t="n">
        <v>164</v>
      </c>
      <c r="AA850" t="inlineStr">
        <is>
          <t>ocoast</t>
        </is>
      </c>
      <c r="AB850" t="inlineStr">
        <is>
          <t>ocoast|33.48412,-117.68427</t>
        </is>
      </c>
    </row>
    <row r="851">
      <c r="A851" t="inlineStr">
        <is>
          <t>OCOAST-B2-014</t>
        </is>
      </c>
      <c r="B851" t="inlineStr">
        <is>
          <t>Laguna Woods / OC coast, CA</t>
        </is>
      </c>
      <c r="C851" t="inlineStr">
        <is>
          <t>Avenida Vista Hermosa</t>
        </is>
      </c>
      <c r="D851" t="inlineStr">
        <is>
          <t>(see map link)</t>
        </is>
      </c>
      <c r="E851" t="inlineStr">
        <is>
          <t>Avenue Costa Azul</t>
        </is>
      </c>
      <c r="F851" t="inlineStr"/>
      <c r="G851" t="n">
        <v>40</v>
      </c>
      <c r="H851" t="inlineStr">
        <is>
          <t>mapillary</t>
        </is>
      </c>
      <c r="I851" t="inlineStr">
        <is>
          <t>no</t>
        </is>
      </c>
      <c r="J851" t="inlineStr">
        <is>
          <t>https://www.google.com/maps/@?api=1&amp;map_action=pano&amp;viewpoint=33.441940,-117.632180&amp;heading=176</t>
        </is>
      </c>
      <c r="K851" t="inlineStr">
        <is>
          <t>https://www.google.com/maps/search/?api=1&amp;query=33.441940,-117.632180</t>
        </is>
      </c>
      <c r="L851" t="inlineStr"/>
      <c r="M851" t="inlineStr"/>
      <c r="N851" t="inlineStr"/>
      <c r="O851" t="inlineStr"/>
      <c r="P851" t="inlineStr">
        <is>
          <t>pending</t>
        </is>
      </c>
      <c r="Q851" t="inlineStr"/>
      <c r="R851" t="inlineStr"/>
      <c r="S851" t="inlineStr"/>
      <c r="T851" t="inlineStr">
        <is>
          <t>Mapillary: 2 posted 40 mph sign(s) detected</t>
        </is>
      </c>
      <c r="U851" t="inlineStr">
        <is>
          <t>https://www.mapillary.com/app/?lat=33.442383&amp;lng=-117.632310&amp;z=19&amp;focus=map&amp;mapFeatureId=818251078813444</t>
        </is>
      </c>
      <c r="V851">
        <f>IF(OR(L851="",S851=""),"",IF(VALUE(L851)=VALUE(S851),"Y","N"))</f>
        <v/>
      </c>
      <c r="W851">
        <f>IF(V851="Y",S851,"")</f>
        <v/>
      </c>
      <c r="X851" t="inlineStr">
        <is>
          <t>RED ISLAND: 221 m of Avenida Vista Hermosa at 40 mph between 35 mph on both sides (confirmed); is the posted limit really higher here?</t>
        </is>
      </c>
      <c r="Y851" t="inlineStr"/>
      <c r="Z851" t="n">
        <v>221</v>
      </c>
      <c r="AA851" t="inlineStr">
        <is>
          <t>ocoast</t>
        </is>
      </c>
      <c r="AB851" t="inlineStr">
        <is>
          <t>ocoast|33.44194,-117.63218</t>
        </is>
      </c>
    </row>
    <row r="852">
      <c r="A852" t="inlineStr">
        <is>
          <t>OCOAST-B2-015</t>
        </is>
      </c>
      <c r="B852" t="inlineStr">
        <is>
          <t>Laguna Woods / OC coast, CA</t>
        </is>
      </c>
      <c r="C852" t="inlineStr">
        <is>
          <t>Avenida Vista Hermosa</t>
        </is>
      </c>
      <c r="D852" t="inlineStr">
        <is>
          <t>(see map link)</t>
        </is>
      </c>
      <c r="E852" t="inlineStr">
        <is>
          <t>(see map link)</t>
        </is>
      </c>
      <c r="F852" t="inlineStr"/>
      <c r="G852" t="n">
        <v>40</v>
      </c>
      <c r="H852" t="inlineStr">
        <is>
          <t>mapillary</t>
        </is>
      </c>
      <c r="I852" t="inlineStr">
        <is>
          <t>no</t>
        </is>
      </c>
      <c r="J852" t="inlineStr">
        <is>
          <t>https://www.google.com/maps/@?api=1&amp;map_action=pano&amp;viewpoint=33.440235,-117.631190&amp;heading=144</t>
        </is>
      </c>
      <c r="K852" t="inlineStr">
        <is>
          <t>https://www.google.com/maps/search/?api=1&amp;query=33.440235,-117.631190</t>
        </is>
      </c>
      <c r="L852" t="inlineStr"/>
      <c r="M852" t="inlineStr"/>
      <c r="N852" t="inlineStr"/>
      <c r="O852" t="inlineStr"/>
      <c r="P852" t="inlineStr">
        <is>
          <t>pending</t>
        </is>
      </c>
      <c r="Q852" t="inlineStr"/>
      <c r="R852" t="inlineStr"/>
      <c r="S852" t="inlineStr"/>
      <c r="T852" t="inlineStr">
        <is>
          <t>Mapillary: 3 posted 40 mph sign(s) detected</t>
        </is>
      </c>
      <c r="U852" t="inlineStr">
        <is>
          <t>https://www.mapillary.com/app/?lat=33.440556&amp;lng=-117.631676&amp;z=19&amp;focus=map&amp;mapFeatureId=1173692720929340</t>
        </is>
      </c>
      <c r="V852">
        <f>IF(OR(L852="",S852=""),"",IF(VALUE(L852)=VALUE(S852),"Y","N"))</f>
        <v/>
      </c>
      <c r="W852">
        <f>IF(V852="Y",S852,"")</f>
        <v/>
      </c>
      <c r="X852" t="inlineStr">
        <is>
          <t>RED ISLAND: 128 m of Avenida Vista Hermosa at 40 mph between 35 mph on both sides (confirmed); is the posted limit really higher here?</t>
        </is>
      </c>
      <c r="Y852" t="inlineStr"/>
      <c r="Z852" t="n">
        <v>128</v>
      </c>
      <c r="AA852" t="inlineStr">
        <is>
          <t>ocoast</t>
        </is>
      </c>
      <c r="AB852" t="inlineStr">
        <is>
          <t>ocoast|33.44024,-117.63119</t>
        </is>
      </c>
    </row>
    <row r="853">
      <c r="A853" t="inlineStr">
        <is>
          <t>OCOAST-B2-016</t>
        </is>
      </c>
      <c r="B853" t="inlineStr">
        <is>
          <t>Laguna Woods / OC coast, CA</t>
        </is>
      </c>
      <c r="C853" t="inlineStr">
        <is>
          <t>Avenida Vista Hermosa</t>
        </is>
      </c>
      <c r="D853" t="inlineStr">
        <is>
          <t>Outlets at San Clemente</t>
        </is>
      </c>
      <c r="E853" t="inlineStr">
        <is>
          <t>(see map link)</t>
        </is>
      </c>
      <c r="F853" t="inlineStr"/>
      <c r="G853" t="n">
        <v>40</v>
      </c>
      <c r="H853" t="inlineStr">
        <is>
          <t>mapillary</t>
        </is>
      </c>
      <c r="I853" t="inlineStr">
        <is>
          <t>no</t>
        </is>
      </c>
      <c r="J853" t="inlineStr">
        <is>
          <t>https://www.google.com/maps/@?api=1&amp;map_action=pano&amp;viewpoint=33.437380,-117.628720&amp;heading=151</t>
        </is>
      </c>
      <c r="K853" t="inlineStr">
        <is>
          <t>https://www.google.com/maps/search/?api=1&amp;query=33.437380,-117.628720</t>
        </is>
      </c>
      <c r="L853" t="inlineStr"/>
      <c r="M853" t="inlineStr"/>
      <c r="N853" t="inlineStr"/>
      <c r="O853" t="inlineStr"/>
      <c r="P853" t="inlineStr">
        <is>
          <t>pending</t>
        </is>
      </c>
      <c r="Q853" t="inlineStr"/>
      <c r="R853" t="inlineStr"/>
      <c r="S853" t="inlineStr"/>
      <c r="T853" t="inlineStr">
        <is>
          <t>Mapillary: 2 posted 40 mph sign(s) detected</t>
        </is>
      </c>
      <c r="U853" t="inlineStr">
        <is>
          <t>https://www.mapillary.com/app/?lat=33.436954&amp;lng=-117.628510&amp;z=19&amp;focus=map&amp;mapFeatureId=1209032730658538</t>
        </is>
      </c>
      <c r="V853">
        <f>IF(OR(L853="",S853=""),"",IF(VALUE(L853)=VALUE(S853),"Y","N"))</f>
        <v/>
      </c>
      <c r="W853">
        <f>IF(V853="Y",S853,"")</f>
        <v/>
      </c>
      <c r="X853" t="inlineStr">
        <is>
          <t>RED ISLAND: 148 m of Avenida Vista Hermosa at 40 mph between 35 mph on both sides (confirmed); is the posted limit really higher here?</t>
        </is>
      </c>
      <c r="Y853" t="inlineStr"/>
      <c r="Z853" t="n">
        <v>148</v>
      </c>
      <c r="AA853" t="inlineStr">
        <is>
          <t>ocoast</t>
        </is>
      </c>
      <c r="AB853" t="inlineStr">
        <is>
          <t>ocoast|33.43738,-117.62872</t>
        </is>
      </c>
    </row>
    <row r="854">
      <c r="A854" t="inlineStr">
        <is>
          <t>OCOAST-B2-017</t>
        </is>
      </c>
      <c r="B854" t="inlineStr">
        <is>
          <t>Laguna Woods / OC coast, CA</t>
        </is>
      </c>
      <c r="C854" t="inlineStr">
        <is>
          <t>Camino de Los Mares</t>
        </is>
      </c>
      <c r="D854" t="inlineStr">
        <is>
          <t>(see map link)</t>
        </is>
      </c>
      <c r="E854" t="inlineStr">
        <is>
          <t>(see map link)</t>
        </is>
      </c>
      <c r="F854" t="inlineStr"/>
      <c r="G854" t="n">
        <v>45</v>
      </c>
      <c r="H854" t="inlineStr">
        <is>
          <t>mapillary</t>
        </is>
      </c>
      <c r="I854" t="inlineStr">
        <is>
          <t>no</t>
        </is>
      </c>
      <c r="J854" t="inlineStr">
        <is>
          <t>https://www.google.com/maps/@?api=1&amp;map_action=pano&amp;viewpoint=33.475675,-117.628685&amp;heading=3</t>
        </is>
      </c>
      <c r="K854" t="inlineStr">
        <is>
          <t>https://www.google.com/maps/search/?api=1&amp;query=33.475675,-117.628685</t>
        </is>
      </c>
      <c r="L854" t="inlineStr"/>
      <c r="M854" t="inlineStr"/>
      <c r="N854" t="inlineStr"/>
      <c r="O854" t="inlineStr"/>
      <c r="P854" t="inlineStr">
        <is>
          <t>pending</t>
        </is>
      </c>
      <c r="Q854" t="inlineStr"/>
      <c r="R854" t="inlineStr"/>
      <c r="S854" t="inlineStr"/>
      <c r="T854" t="inlineStr">
        <is>
          <t>Mapillary: 2 posted 45 mph sign(s) detected</t>
        </is>
      </c>
      <c r="U854" t="inlineStr">
        <is>
          <t>https://www.mapillary.com/app/?lat=33.476078&amp;lng=-117.628654&amp;z=19&amp;focus=map&amp;mapFeatureId=109629968656836</t>
        </is>
      </c>
      <c r="V854">
        <f>IF(OR(L854="",S854=""),"",IF(VALUE(L854)=VALUE(S854),"Y","N"))</f>
        <v/>
      </c>
      <c r="W854">
        <f>IF(V854="Y",S854,"")</f>
        <v/>
      </c>
      <c r="X854" t="inlineStr">
        <is>
          <t>RED ISLAND: 349 m of Camino de Los Mares at 45 mph between 25 mph on both sides (confirmed); is the posted limit really higher here?</t>
        </is>
      </c>
      <c r="Y854" t="inlineStr"/>
      <c r="Z854" t="n">
        <v>349</v>
      </c>
      <c r="AA854" t="inlineStr">
        <is>
          <t>ocoast</t>
        </is>
      </c>
      <c r="AB854" t="inlineStr">
        <is>
          <t>ocoast|33.47567,-117.62868</t>
        </is>
      </c>
    </row>
    <row r="855">
      <c r="A855" t="inlineStr">
        <is>
          <t>OCOAST-B2-018</t>
        </is>
      </c>
      <c r="B855" t="inlineStr">
        <is>
          <t>Laguna Woods / OC coast, CA</t>
        </is>
      </c>
      <c r="C855" t="inlineStr">
        <is>
          <t>Camino del Rio</t>
        </is>
      </c>
      <c r="D855" t="inlineStr">
        <is>
          <t>(see map link)</t>
        </is>
      </c>
      <c r="E855" t="inlineStr">
        <is>
          <t>Brillante</t>
        </is>
      </c>
      <c r="F855" t="inlineStr"/>
      <c r="G855" t="n">
        <v>40</v>
      </c>
      <c r="H855" t="inlineStr">
        <is>
          <t>mapillary</t>
        </is>
      </c>
      <c r="I855" t="inlineStr">
        <is>
          <t>no</t>
        </is>
      </c>
      <c r="J855" t="inlineStr">
        <is>
          <t>https://www.google.com/maps/@?api=1&amp;map_action=pano&amp;viewpoint=33.474680,-117.623580&amp;heading=66</t>
        </is>
      </c>
      <c r="K855" t="inlineStr">
        <is>
          <t>https://www.google.com/maps/search/?api=1&amp;query=33.474680,-117.623580</t>
        </is>
      </c>
      <c r="L855" t="inlineStr"/>
      <c r="M855" t="inlineStr"/>
      <c r="N855" t="inlineStr"/>
      <c r="O855" t="inlineStr"/>
      <c r="P855" t="inlineStr">
        <is>
          <t>pending</t>
        </is>
      </c>
      <c r="Q855" t="inlineStr"/>
      <c r="R855" t="inlineStr"/>
      <c r="S855" t="inlineStr"/>
      <c r="T855" t="inlineStr">
        <is>
          <t>Mapillary: 2 posted 40 mph sign(s) detected</t>
        </is>
      </c>
      <c r="U855" t="inlineStr">
        <is>
          <t>https://www.mapillary.com/app/?lat=33.474884&amp;lng=-117.622870&amp;z=19&amp;focus=map&amp;mapFeatureId=1868728547291934</t>
        </is>
      </c>
      <c r="V855">
        <f>IF(OR(L855="",S855=""),"",IF(VALUE(L855)=VALUE(S855),"Y","N"))</f>
        <v/>
      </c>
      <c r="W855">
        <f>IF(V855="Y",S855,"")</f>
        <v/>
      </c>
      <c r="X855" t="inlineStr">
        <is>
          <t>RED ISLAND: 671 m of Camino del Rio at 40 mph between 14/35 mph on both sides (confirmed); is the posted limit really higher here?</t>
        </is>
      </c>
      <c r="Y855" t="inlineStr"/>
      <c r="Z855" t="n">
        <v>671</v>
      </c>
      <c r="AA855" t="inlineStr">
        <is>
          <t>ocoast</t>
        </is>
      </c>
      <c r="AB855" t="inlineStr">
        <is>
          <t>ocoast|33.47468,-117.62358</t>
        </is>
      </c>
    </row>
    <row r="856">
      <c r="A856" t="inlineStr">
        <is>
          <t>OCOAST-B2-019</t>
        </is>
      </c>
      <c r="B856" t="inlineStr">
        <is>
          <t>Laguna Woods / OC coast, CA</t>
        </is>
      </c>
      <c r="C856" t="inlineStr">
        <is>
          <t>Avenida Vista Hermosa</t>
        </is>
      </c>
      <c r="D856" t="inlineStr">
        <is>
          <t>Avenue Costa Azul</t>
        </is>
      </c>
      <c r="E856" t="inlineStr">
        <is>
          <t>(see map link)</t>
        </is>
      </c>
      <c r="F856" t="inlineStr"/>
      <c r="G856" t="n">
        <v>40</v>
      </c>
      <c r="H856" t="inlineStr">
        <is>
          <t>mapillary</t>
        </is>
      </c>
      <c r="I856" t="inlineStr">
        <is>
          <t>no</t>
        </is>
      </c>
      <c r="J856" t="inlineStr">
        <is>
          <t>https://www.google.com/maps/@?api=1&amp;map_action=pano&amp;viewpoint=33.441185,-117.631700&amp;heading=336</t>
        </is>
      </c>
      <c r="K856" t="inlineStr">
        <is>
          <t>https://www.google.com/maps/search/?api=1&amp;query=33.441185,-117.631700</t>
        </is>
      </c>
      <c r="L856" t="inlineStr"/>
      <c r="M856" t="inlineStr"/>
      <c r="N856" t="inlineStr"/>
      <c r="O856" t="inlineStr"/>
      <c r="P856" t="inlineStr">
        <is>
          <t>pending</t>
        </is>
      </c>
      <c r="Q856" t="inlineStr"/>
      <c r="R856" t="inlineStr"/>
      <c r="S856" t="inlineStr"/>
      <c r="T856" t="inlineStr">
        <is>
          <t>Mapillary: 2 posted 40 mph sign(s) detected</t>
        </is>
      </c>
      <c r="U856" t="inlineStr">
        <is>
          <t>https://www.mapillary.com/app/?lat=33.441050&amp;lng=-117.631680&amp;z=19&amp;focus=map&amp;mapFeatureId=1414050509405044</t>
        </is>
      </c>
      <c r="V856">
        <f>IF(OR(L856="",S856=""),"",IF(VALUE(L856)=VALUE(S856),"Y","N"))</f>
        <v/>
      </c>
      <c r="W856">
        <f>IF(V856="Y",S856,"")</f>
        <v/>
      </c>
      <c r="X856" t="inlineStr">
        <is>
          <t>RED ISLAND: 87 m of Avenida Vista Hermosa at 40 mph between 25/35 mph on both sides (confirmed); is the posted limit really higher here?</t>
        </is>
      </c>
      <c r="Y856" t="inlineStr"/>
      <c r="Z856" t="n">
        <v>87</v>
      </c>
      <c r="AA856" t="inlineStr">
        <is>
          <t>ocoast</t>
        </is>
      </c>
      <c r="AB856" t="inlineStr">
        <is>
          <t>ocoast|33.44118,-117.63170</t>
        </is>
      </c>
    </row>
    <row r="857">
      <c r="A857" t="inlineStr">
        <is>
          <t>OCOAST-B2-020</t>
        </is>
      </c>
      <c r="B857" t="inlineStr">
        <is>
          <t>Laguna Woods / OC coast, CA</t>
        </is>
      </c>
      <c r="C857" t="inlineStr">
        <is>
          <t>Avenida Vista Hermosa</t>
        </is>
      </c>
      <c r="D857" t="inlineStr">
        <is>
          <t>Avenida Pico</t>
        </is>
      </c>
      <c r="E857" t="inlineStr">
        <is>
          <t>(see map link)</t>
        </is>
      </c>
      <c r="F857" t="inlineStr"/>
      <c r="G857" t="n">
        <v>40</v>
      </c>
      <c r="H857" t="inlineStr">
        <is>
          <t>mapillary</t>
        </is>
      </c>
      <c r="I857" t="inlineStr">
        <is>
          <t>no</t>
        </is>
      </c>
      <c r="J857" t="inlineStr">
        <is>
          <t>https://www.google.com/maps/@?api=1&amp;map_action=pano&amp;viewpoint=33.436875,-117.628320&amp;heading=338</t>
        </is>
      </c>
      <c r="K857" t="inlineStr">
        <is>
          <t>https://www.google.com/maps/search/?api=1&amp;query=33.436875,-117.628320</t>
        </is>
      </c>
      <c r="L857" t="inlineStr"/>
      <c r="M857" t="inlineStr"/>
      <c r="N857" t="inlineStr"/>
      <c r="O857" t="inlineStr"/>
      <c r="P857" t="inlineStr">
        <is>
          <t>pending</t>
        </is>
      </c>
      <c r="Q857" t="inlineStr"/>
      <c r="R857" t="inlineStr"/>
      <c r="S857" t="inlineStr"/>
      <c r="T857" t="inlineStr">
        <is>
          <t>Mapillary: 2 posted 40 mph sign(s) detected</t>
        </is>
      </c>
      <c r="U857" t="inlineStr">
        <is>
          <t>https://www.mapillary.com/app/?lat=33.436980&amp;lng=-117.628310&amp;z=19&amp;focus=map&amp;mapFeatureId=530395415845513</t>
        </is>
      </c>
      <c r="V857">
        <f>IF(OR(L857="",S857=""),"",IF(VALUE(L857)=VALUE(S857),"Y","N"))</f>
        <v/>
      </c>
      <c r="W857">
        <f>IF(V857="Y",S857,"")</f>
        <v/>
      </c>
      <c r="X857" t="inlineStr">
        <is>
          <t>RED ISLAND: 173 m of Avenida Vista Hermosa at 40 mph between 35 mph on both sides (confirmed); is the posted limit really higher here?</t>
        </is>
      </c>
      <c r="Y857" t="inlineStr"/>
      <c r="Z857" t="n">
        <v>173</v>
      </c>
      <c r="AA857" t="inlineStr">
        <is>
          <t>ocoast</t>
        </is>
      </c>
      <c r="AB857" t="inlineStr">
        <is>
          <t>ocoast|33.43688,-117.62832</t>
        </is>
      </c>
    </row>
    <row r="858">
      <c r="A858" t="inlineStr">
        <is>
          <t>OCOAST-B2-021</t>
        </is>
      </c>
      <c r="B858" t="inlineStr">
        <is>
          <t>Laguna Woods / OC coast, CA</t>
        </is>
      </c>
      <c r="C858" t="inlineStr">
        <is>
          <t>Meandering Trail</t>
        </is>
      </c>
      <c r="D858" t="inlineStr">
        <is>
          <t>(see map link)</t>
        </is>
      </c>
      <c r="E858" t="inlineStr">
        <is>
          <t>Crestview Drive</t>
        </is>
      </c>
      <c r="F858" t="inlineStr"/>
      <c r="G858" t="n">
        <v>40</v>
      </c>
      <c r="H858" t="inlineStr">
        <is>
          <t>mapillary</t>
        </is>
      </c>
      <c r="I858" t="inlineStr">
        <is>
          <t>no</t>
        </is>
      </c>
      <c r="J858" t="inlineStr">
        <is>
          <t>https://www.google.com/maps/@?api=1&amp;map_action=pano&amp;viewpoint=33.592010,-117.622750&amp;heading=23</t>
        </is>
      </c>
      <c r="K858" t="inlineStr">
        <is>
          <t>https://www.google.com/maps/search/?api=1&amp;query=33.592010,-117.622750</t>
        </is>
      </c>
      <c r="L858" t="inlineStr"/>
      <c r="M858" t="inlineStr"/>
      <c r="N858" t="inlineStr"/>
      <c r="O858" t="inlineStr"/>
      <c r="P858" t="inlineStr">
        <is>
          <t>pending</t>
        </is>
      </c>
      <c r="Q858" t="inlineStr"/>
      <c r="R858" t="inlineStr"/>
      <c r="S858" t="inlineStr"/>
      <c r="T858" t="inlineStr">
        <is>
          <t>Mapillary: 2 posted 40 mph sign(s) detected</t>
        </is>
      </c>
      <c r="U858" t="inlineStr">
        <is>
          <t>https://www.mapillary.com/app/?lat=33.591312&amp;lng=-117.623090&amp;z=19&amp;focus=map&amp;mapFeatureId=446243870864595</t>
        </is>
      </c>
      <c r="V858">
        <f>IF(OR(L858="",S858=""),"",IF(VALUE(L858)=VALUE(S858),"Y","N"))</f>
        <v/>
      </c>
      <c r="W858">
        <f>IF(V858="Y",S858,"")</f>
        <v/>
      </c>
      <c r="X858" t="inlineStr">
        <is>
          <t>RED ISLAND: 369 m of Meandering Trail at 40 mph between 25 mph on both sides (confirmed); is the posted limit really higher here?</t>
        </is>
      </c>
      <c r="Y858" t="inlineStr"/>
      <c r="Z858" t="n">
        <v>369</v>
      </c>
      <c r="AA858" t="inlineStr">
        <is>
          <t>ocoast</t>
        </is>
      </c>
      <c r="AB858" t="inlineStr">
        <is>
          <t>ocoast|33.59201,-117.62275</t>
        </is>
      </c>
    </row>
    <row r="859">
      <c r="A859" t="inlineStr">
        <is>
          <t>OCOAST-B2-022</t>
        </is>
      </c>
      <c r="B859" t="inlineStr">
        <is>
          <t>Laguna Woods / OC coast, CA</t>
        </is>
      </c>
      <c r="C859" t="inlineStr">
        <is>
          <t>O'Neill Drive</t>
        </is>
      </c>
      <c r="D859" t="inlineStr">
        <is>
          <t>(see map link)</t>
        </is>
      </c>
      <c r="E859" t="inlineStr">
        <is>
          <t>(see map link)</t>
        </is>
      </c>
      <c r="F859" t="inlineStr"/>
      <c r="G859" t="n">
        <v>40</v>
      </c>
      <c r="H859" t="inlineStr">
        <is>
          <t>tag</t>
        </is>
      </c>
      <c r="I859" t="inlineStr">
        <is>
          <t>no</t>
        </is>
      </c>
      <c r="J859" t="inlineStr">
        <is>
          <t>https://www.google.com/maps/@?api=1&amp;map_action=pano&amp;viewpoint=33.547350,-117.644750&amp;heading=314</t>
        </is>
      </c>
      <c r="K859" t="inlineStr">
        <is>
          <t>https://www.google.com/maps/search/?api=1&amp;query=33.547350,-117.644750</t>
        </is>
      </c>
      <c r="L859" t="inlineStr"/>
      <c r="M859" t="inlineStr"/>
      <c r="N859" t="inlineStr"/>
      <c r="O859" t="inlineStr"/>
      <c r="P859" t="inlineStr">
        <is>
          <t>pending</t>
        </is>
      </c>
      <c r="Q859" t="inlineStr"/>
      <c r="R859" t="inlineStr"/>
      <c r="S859" t="inlineStr"/>
      <c r="T859" t="inlineStr"/>
      <c r="U859" t="inlineStr"/>
      <c r="V859">
        <f>IF(OR(L859="",S859=""),"",IF(VALUE(L859)=VALUE(S859),"Y","N"))</f>
        <v/>
      </c>
      <c r="W859">
        <f>IF(V859="Y",S859,"")</f>
        <v/>
      </c>
      <c r="X859" t="inlineStr">
        <is>
          <t>RED ISLAND: 503 m of O'Neill Drive at 40 mph between 15 mph on both sides (confirmed); is the posted limit really higher here?</t>
        </is>
      </c>
      <c r="Y859" t="inlineStr"/>
      <c r="Z859" t="n">
        <v>503</v>
      </c>
      <c r="AA859" t="inlineStr">
        <is>
          <t>ocoast</t>
        </is>
      </c>
      <c r="AB859" t="inlineStr">
        <is>
          <t>ocoast|33.54735,-117.64475</t>
        </is>
      </c>
    </row>
    <row r="860">
      <c r="A860" t="inlineStr">
        <is>
          <t>OCOAST-B2-023</t>
        </is>
      </c>
      <c r="B860" t="inlineStr">
        <is>
          <t>Laguna Woods / OC coast, CA</t>
        </is>
      </c>
      <c r="C860" t="inlineStr">
        <is>
          <t>O'Neill Drive</t>
        </is>
      </c>
      <c r="D860" t="inlineStr">
        <is>
          <t>(see map link)</t>
        </is>
      </c>
      <c r="E860" t="inlineStr">
        <is>
          <t>Creighton Place</t>
        </is>
      </c>
      <c r="F860" t="inlineStr"/>
      <c r="G860" t="n">
        <v>40</v>
      </c>
      <c r="H860" t="inlineStr">
        <is>
          <t>mapillary</t>
        </is>
      </c>
      <c r="I860" t="inlineStr">
        <is>
          <t>no</t>
        </is>
      </c>
      <c r="J860" t="inlineStr">
        <is>
          <t>https://www.google.com/maps/@?api=1&amp;map_action=pano&amp;viewpoint=33.550170,-117.645930&amp;heading=359</t>
        </is>
      </c>
      <c r="K860" t="inlineStr">
        <is>
          <t>https://www.google.com/maps/search/?api=1&amp;query=33.550170,-117.645930</t>
        </is>
      </c>
      <c r="L860" t="inlineStr"/>
      <c r="M860" t="inlineStr"/>
      <c r="N860" t="inlineStr"/>
      <c r="O860" t="inlineStr"/>
      <c r="P860" t="inlineStr">
        <is>
          <t>pending</t>
        </is>
      </c>
      <c r="Q860" t="inlineStr"/>
      <c r="R860" t="inlineStr"/>
      <c r="S860" t="inlineStr"/>
      <c r="T860" t="inlineStr">
        <is>
          <t>Mapillary: 1 posted 40 mph sign(s) detected</t>
        </is>
      </c>
      <c r="U860" t="inlineStr">
        <is>
          <t>https://www.mapillary.com/app/?lat=33.549820&amp;lng=-117.645900&amp;z=19&amp;focus=map&amp;mapFeatureId=616551863323976</t>
        </is>
      </c>
      <c r="V860">
        <f>IF(OR(L860="",S860=""),"",IF(VALUE(L860)=VALUE(S860),"Y","N"))</f>
        <v/>
      </c>
      <c r="W860">
        <f>IF(V860="Y",S860,"")</f>
        <v/>
      </c>
      <c r="X860" t="inlineStr">
        <is>
          <t>RED ISLAND: 591 m of O'Neill Drive at 40 mph between 15 mph on both sides (confirmed); is the posted limit really higher here?</t>
        </is>
      </c>
      <c r="Y860" t="inlineStr"/>
      <c r="Z860" t="n">
        <v>591</v>
      </c>
      <c r="AA860" t="inlineStr">
        <is>
          <t>ocoast</t>
        </is>
      </c>
      <c r="AB860" t="inlineStr">
        <is>
          <t>ocoast|33.55017,-117.64593</t>
        </is>
      </c>
    </row>
    <row r="861">
      <c r="A861" t="inlineStr">
        <is>
          <t>OCOAST-B2-024</t>
        </is>
      </c>
      <c r="B861" t="inlineStr">
        <is>
          <t>Laguna Woods / OC coast, CA</t>
        </is>
      </c>
      <c r="C861" t="inlineStr">
        <is>
          <t>O'Neill Drive</t>
        </is>
      </c>
      <c r="D861" t="inlineStr">
        <is>
          <t>Creighton Place</t>
        </is>
      </c>
      <c r="E861" t="inlineStr">
        <is>
          <t>Creighton Place</t>
        </is>
      </c>
      <c r="F861" t="inlineStr"/>
      <c r="G861" t="n">
        <v>40</v>
      </c>
      <c r="H861" t="inlineStr">
        <is>
          <t>tag</t>
        </is>
      </c>
      <c r="I861" t="inlineStr">
        <is>
          <t>no</t>
        </is>
      </c>
      <c r="J861" t="inlineStr">
        <is>
          <t>https://www.google.com/maps/@?api=1&amp;map_action=pano&amp;viewpoint=33.550560,-117.645980&amp;heading=192</t>
        </is>
      </c>
      <c r="K861" t="inlineStr">
        <is>
          <t>https://www.google.com/maps/search/?api=1&amp;query=33.550560,-117.645980</t>
        </is>
      </c>
      <c r="L861" t="inlineStr"/>
      <c r="M861" t="inlineStr"/>
      <c r="N861" t="inlineStr"/>
      <c r="O861" t="inlineStr"/>
      <c r="P861" t="inlineStr">
        <is>
          <t>pending</t>
        </is>
      </c>
      <c r="Q861" t="inlineStr"/>
      <c r="R861" t="inlineStr"/>
      <c r="S861" t="inlineStr"/>
      <c r="T861" t="inlineStr"/>
      <c r="U861" t="inlineStr"/>
      <c r="V861">
        <f>IF(OR(L861="",S861=""),"",IF(VALUE(L861)=VALUE(S861),"Y","N"))</f>
        <v/>
      </c>
      <c r="W861">
        <f>IF(V861="Y",S861,"")</f>
        <v/>
      </c>
      <c r="X861" t="inlineStr">
        <is>
          <t>RED ISLAND: 594 m of O'Neill Drive at 40 mph between 15 mph on both sides (confirmed); is the posted limit really higher here?</t>
        </is>
      </c>
      <c r="Y861" t="inlineStr"/>
      <c r="Z861" t="n">
        <v>594</v>
      </c>
      <c r="AA861" t="inlineStr">
        <is>
          <t>ocoast</t>
        </is>
      </c>
      <c r="AB861" t="inlineStr">
        <is>
          <t>ocoast|33.55056,-117.64598</t>
        </is>
      </c>
    </row>
    <row r="862">
      <c r="A862" t="inlineStr">
        <is>
          <t>OCOAST-B2-025</t>
        </is>
      </c>
      <c r="B862" t="inlineStr">
        <is>
          <t>Laguna Woods / OC coast, CA</t>
        </is>
      </c>
      <c r="C862" t="inlineStr">
        <is>
          <t>Meandering Trail</t>
        </is>
      </c>
      <c r="D862" t="inlineStr">
        <is>
          <t>(see map link)</t>
        </is>
      </c>
      <c r="E862" t="inlineStr">
        <is>
          <t>Antonio Parkway</t>
        </is>
      </c>
      <c r="F862" t="inlineStr"/>
      <c r="G862" t="n">
        <v>40</v>
      </c>
      <c r="H862" t="inlineStr">
        <is>
          <t>mapillary</t>
        </is>
      </c>
      <c r="I862" t="inlineStr">
        <is>
          <t>no</t>
        </is>
      </c>
      <c r="J862" t="inlineStr">
        <is>
          <t>https://www.google.com/maps/@?api=1&amp;map_action=pano&amp;viewpoint=33.595000,-117.624180&amp;heading=290</t>
        </is>
      </c>
      <c r="K862" t="inlineStr">
        <is>
          <t>https://www.google.com/maps/search/?api=1&amp;query=33.595000,-117.624180</t>
        </is>
      </c>
      <c r="L862" t="inlineStr"/>
      <c r="M862" t="inlineStr"/>
      <c r="N862" t="inlineStr"/>
      <c r="O862" t="inlineStr"/>
      <c r="P862" t="inlineStr">
        <is>
          <t>pending</t>
        </is>
      </c>
      <c r="Q862" t="inlineStr"/>
      <c r="R862" t="inlineStr"/>
      <c r="S862" t="inlineStr"/>
      <c r="T862" t="inlineStr">
        <is>
          <t>Mapillary: 2 posted 40 mph sign(s) detected</t>
        </is>
      </c>
      <c r="U862" t="inlineStr">
        <is>
          <t>https://www.mapillary.com/app/?lat=33.594936&amp;lng=-117.624030&amp;z=19&amp;focus=map&amp;mapFeatureId=4350751044936117</t>
        </is>
      </c>
      <c r="V862">
        <f>IF(OR(L862="",S862=""),"",IF(VALUE(L862)=VALUE(S862),"Y","N"))</f>
        <v/>
      </c>
      <c r="W862">
        <f>IF(V862="Y",S862,"")</f>
        <v/>
      </c>
      <c r="X862" t="inlineStr">
        <is>
          <t>RED ISLAND: 59 m of Meandering Trail at 40 mph between 25 mph on both sides (confirmed); is the posted limit really higher here?</t>
        </is>
      </c>
      <c r="Y862" t="inlineStr"/>
      <c r="Z862" t="n">
        <v>59</v>
      </c>
      <c r="AA862" t="inlineStr">
        <is>
          <t>ocoast</t>
        </is>
      </c>
      <c r="AB862" t="inlineStr">
        <is>
          <t>ocoast|33.59500,-117.62418</t>
        </is>
      </c>
    </row>
    <row r="863">
      <c r="A863" t="inlineStr">
        <is>
          <t>OCOAST-B2-026</t>
        </is>
      </c>
      <c r="B863" t="inlineStr">
        <is>
          <t>Laguna Woods / OC coast, CA</t>
        </is>
      </c>
      <c r="C863" t="inlineStr">
        <is>
          <t>Serrano Road</t>
        </is>
      </c>
      <c r="D863" t="inlineStr">
        <is>
          <t>Quiet Oak Drive</t>
        </is>
      </c>
      <c r="E863" t="inlineStr">
        <is>
          <t>Copper Cliff Court</t>
        </is>
      </c>
      <c r="F863" t="inlineStr"/>
      <c r="G863" t="n">
        <v>40</v>
      </c>
      <c r="H863" t="inlineStr">
        <is>
          <t>mapillary</t>
        </is>
      </c>
      <c r="I863" t="inlineStr">
        <is>
          <t>no</t>
        </is>
      </c>
      <c r="J863" t="inlineStr">
        <is>
          <t>https://www.google.com/maps/@?api=1&amp;map_action=pano&amp;viewpoint=33.647540,-117.699130&amp;heading=106</t>
        </is>
      </c>
      <c r="K863" t="inlineStr">
        <is>
          <t>https://www.google.com/maps/search/?api=1&amp;query=33.647540,-117.699130</t>
        </is>
      </c>
      <c r="L863" t="inlineStr"/>
      <c r="M863" t="inlineStr"/>
      <c r="N863" t="inlineStr"/>
      <c r="O863" t="inlineStr"/>
      <c r="P863" t="inlineStr">
        <is>
          <t>pending</t>
        </is>
      </c>
      <c r="Q863" t="inlineStr"/>
      <c r="R863" t="inlineStr"/>
      <c r="S863" t="inlineStr"/>
      <c r="T863" t="inlineStr">
        <is>
          <t>Mapillary: 3 posted 40 mph sign(s) detected</t>
        </is>
      </c>
      <c r="U863" t="inlineStr">
        <is>
          <t>https://www.mapillary.com/app/?lat=33.647865&amp;lng=-117.700100&amp;z=19&amp;focus=map&amp;mapFeatureId=8421130877923960</t>
        </is>
      </c>
      <c r="V863">
        <f>IF(OR(L863="",S863=""),"",IF(VALUE(L863)=VALUE(S863),"Y","N"))</f>
        <v/>
      </c>
      <c r="W863">
        <f>IF(V863="Y",S863,"")</f>
        <v/>
      </c>
      <c r="X863" t="inlineStr">
        <is>
          <t>RED ISLAND: 617 m of Serrano Road at 40 mph between 25 mph on both sides (confirmed); is the posted limit really higher here?</t>
        </is>
      </c>
      <c r="Y863" t="inlineStr"/>
      <c r="Z863" t="n">
        <v>617</v>
      </c>
      <c r="AA863" t="inlineStr">
        <is>
          <t>ocoast</t>
        </is>
      </c>
      <c r="AB863" t="inlineStr">
        <is>
          <t>ocoast|33.64754,-117.69913</t>
        </is>
      </c>
    </row>
    <row r="864">
      <c r="A864" t="inlineStr">
        <is>
          <t>OCOAST-B2-027</t>
        </is>
      </c>
      <c r="B864" t="inlineStr">
        <is>
          <t>Laguna Woods / OC coast, CA</t>
        </is>
      </c>
      <c r="C864" t="inlineStr">
        <is>
          <t>Toledo Way</t>
        </is>
      </c>
      <c r="D864" t="inlineStr">
        <is>
          <t>(see map link)</t>
        </is>
      </c>
      <c r="E864" t="inlineStr">
        <is>
          <t>El Toro Road</t>
        </is>
      </c>
      <c r="F864" t="inlineStr"/>
      <c r="G864" t="n">
        <v>45</v>
      </c>
      <c r="H864" t="inlineStr">
        <is>
          <t>mapillary</t>
        </is>
      </c>
      <c r="I864" t="inlineStr">
        <is>
          <t>no</t>
        </is>
      </c>
      <c r="J864" t="inlineStr">
        <is>
          <t>https://www.google.com/maps/@?api=1&amp;map_action=pano&amp;viewpoint=33.632810,-117.685875&amp;heading=137</t>
        </is>
      </c>
      <c r="K864" t="inlineStr">
        <is>
          <t>https://www.google.com/maps/search/?api=1&amp;query=33.632810,-117.685875</t>
        </is>
      </c>
      <c r="L864" t="inlineStr"/>
      <c r="M864" t="inlineStr"/>
      <c r="N864" t="inlineStr"/>
      <c r="O864" t="inlineStr"/>
      <c r="P864" t="inlineStr">
        <is>
          <t>pending</t>
        </is>
      </c>
      <c r="Q864" t="inlineStr"/>
      <c r="R864" t="inlineStr"/>
      <c r="S864" t="inlineStr"/>
      <c r="T864" t="inlineStr">
        <is>
          <t>Mapillary: 2 posted 45 mph sign(s) detected</t>
        </is>
      </c>
      <c r="U864" t="inlineStr">
        <is>
          <t>https://www.mapillary.com/app/?lat=33.632847&amp;lng=-117.685776&amp;z=19&amp;focus=map&amp;mapFeatureId=517350037771203</t>
        </is>
      </c>
      <c r="V864">
        <f>IF(OR(L864="",S864=""),"",IF(VALUE(L864)=VALUE(S864),"Y","N"))</f>
        <v/>
      </c>
      <c r="W864">
        <f>IF(V864="Y",S864,"")</f>
        <v/>
      </c>
      <c r="X864" t="inlineStr">
        <is>
          <t>RED ISLAND: 82 m of Toledo Way at 45 mph between 25 mph on both sides (confirmed); is the posted limit really higher here?</t>
        </is>
      </c>
      <c r="Y864" t="inlineStr"/>
      <c r="Z864" t="n">
        <v>82</v>
      </c>
      <c r="AA864" t="inlineStr">
        <is>
          <t>ocoast</t>
        </is>
      </c>
      <c r="AB864" t="inlineStr">
        <is>
          <t>ocoast|33.63281,-117.68587</t>
        </is>
      </c>
    </row>
    <row r="865">
      <c r="A865" t="inlineStr">
        <is>
          <t>OCOAST-B2-028</t>
        </is>
      </c>
      <c r="B865" t="inlineStr">
        <is>
          <t>Laguna Woods / OC coast, CA</t>
        </is>
      </c>
      <c r="C865" t="inlineStr">
        <is>
          <t>Pacific Coast Highway</t>
        </is>
      </c>
      <c r="D865" t="inlineStr">
        <is>
          <t>(see map link)</t>
        </is>
      </c>
      <c r="E865" t="inlineStr">
        <is>
          <t>Blue Lantern Street</t>
        </is>
      </c>
      <c r="F865" t="inlineStr"/>
      <c r="G865" t="n">
        <v>50</v>
      </c>
      <c r="H865" t="inlineStr">
        <is>
          <t>mapillary</t>
        </is>
      </c>
      <c r="I865" t="inlineStr">
        <is>
          <t>no</t>
        </is>
      </c>
      <c r="J865" t="inlineStr">
        <is>
          <t>https://www.google.com/maps/@?api=1&amp;map_action=pano&amp;viewpoint=33.465545,-117.707145&amp;heading=264</t>
        </is>
      </c>
      <c r="K865" t="inlineStr">
        <is>
          <t>https://www.google.com/maps/search/?api=1&amp;query=33.465545,-117.707145</t>
        </is>
      </c>
      <c r="L865" t="inlineStr"/>
      <c r="M865" t="inlineStr"/>
      <c r="N865" t="inlineStr"/>
      <c r="O865" t="inlineStr"/>
      <c r="P865" t="inlineStr">
        <is>
          <t>pending</t>
        </is>
      </c>
      <c r="Q865" t="inlineStr"/>
      <c r="R865" t="inlineStr"/>
      <c r="S865" t="inlineStr"/>
      <c r="T865" t="inlineStr">
        <is>
          <t>Mapillary: 3 posted 50 mph sign(s) detected</t>
        </is>
      </c>
      <c r="U865" t="inlineStr">
        <is>
          <t>https://www.mapillary.com/app/?lat=33.465570&amp;lng=-117.707750&amp;z=19&amp;focus=map&amp;mapFeatureId=266860184805985</t>
        </is>
      </c>
      <c r="V865">
        <f>IF(OR(L865="",S865=""),"",IF(VALUE(L865)=VALUE(S865),"Y","N"))</f>
        <v/>
      </c>
      <c r="W865">
        <f>IF(V865="Y",S865,"")</f>
        <v/>
      </c>
      <c r="X865" t="inlineStr">
        <is>
          <t>RED ISLAND: 197 m of Pacific Coast Highway at 50 mph between 35 mph on both sides (confirmed); is the posted limit really higher here?</t>
        </is>
      </c>
      <c r="Y865" t="inlineStr"/>
      <c r="Z865" t="n">
        <v>197</v>
      </c>
      <c r="AA865" t="inlineStr">
        <is>
          <t>ocoast</t>
        </is>
      </c>
      <c r="AB865" t="inlineStr">
        <is>
          <t>ocoast|33.46554,-117.70714</t>
        </is>
      </c>
    </row>
    <row r="866">
      <c r="A866" t="inlineStr">
        <is>
          <t>OCOAST-B2-029</t>
        </is>
      </c>
      <c r="B866" t="inlineStr">
        <is>
          <t>Laguna Woods / OC coast, CA</t>
        </is>
      </c>
      <c r="C866" t="inlineStr">
        <is>
          <t>Stonehill Drive</t>
        </is>
      </c>
      <c r="D866" t="inlineStr">
        <is>
          <t>(see map link)</t>
        </is>
      </c>
      <c r="E866" t="inlineStr">
        <is>
          <t>Street of the Blue Lantern</t>
        </is>
      </c>
      <c r="F866" t="inlineStr"/>
      <c r="G866" t="inlineStr"/>
      <c r="H866" t="inlineStr">
        <is>
          <t>inferred</t>
        </is>
      </c>
      <c r="I866" t="inlineStr">
        <is>
          <t>no</t>
        </is>
      </c>
      <c r="J866" t="inlineStr">
        <is>
          <t>https://www.google.com/maps/@?api=1&amp;map_action=pano&amp;viewpoint=33.476355,-117.699995&amp;heading=91</t>
        </is>
      </c>
      <c r="K866" t="inlineStr">
        <is>
          <t>https://www.google.com/maps/search/?api=1&amp;query=33.476355,-117.699995</t>
        </is>
      </c>
      <c r="L866" t="inlineStr"/>
      <c r="M866" t="inlineStr"/>
      <c r="N866" t="inlineStr"/>
      <c r="O866" t="inlineStr"/>
      <c r="P866" t="inlineStr">
        <is>
          <t>pending</t>
        </is>
      </c>
      <c r="Q866" t="inlineStr"/>
      <c r="R866" t="inlineStr"/>
      <c r="S866" t="inlineStr"/>
      <c r="T866" t="inlineStr"/>
      <c r="U866" t="inlineStr"/>
      <c r="V866">
        <f>IF(OR(L866="",S866=""),"",IF(VALUE(L866)=VALUE(S866),"Y","N"))</f>
        <v/>
      </c>
      <c r="W866">
        <f>IF(V866="Y",S866,"")</f>
        <v/>
      </c>
      <c r="X866" t="inlineStr">
        <is>
          <t>RED ISLAND: 348 m of Stonehill Drive at 40 mph between 25 mph on both sides (confirmed); is the posted limit really higher here?</t>
        </is>
      </c>
      <c r="Y866" t="inlineStr"/>
      <c r="Z866" t="n">
        <v>348</v>
      </c>
      <c r="AA866" t="inlineStr">
        <is>
          <t>ocoast</t>
        </is>
      </c>
      <c r="AB866" t="inlineStr">
        <is>
          <t>ocoast|33.47635,-117.70000</t>
        </is>
      </c>
    </row>
    <row r="867">
      <c r="A867" t="inlineStr">
        <is>
          <t>OCOAST-B2-030</t>
        </is>
      </c>
      <c r="B867" t="inlineStr">
        <is>
          <t>Laguna Woods / OC coast, CA</t>
        </is>
      </c>
      <c r="C867" t="inlineStr">
        <is>
          <t>La Mirage Circle</t>
        </is>
      </c>
      <c r="D867" t="inlineStr">
        <is>
          <t>Ivoire Way</t>
        </is>
      </c>
      <c r="E867" t="inlineStr">
        <is>
          <t>Rubis Way</t>
        </is>
      </c>
      <c r="F867" t="inlineStr"/>
      <c r="G867" t="n">
        <v>45</v>
      </c>
      <c r="H867" t="inlineStr">
        <is>
          <t>mapillary</t>
        </is>
      </c>
      <c r="I867" t="inlineStr">
        <is>
          <t>no</t>
        </is>
      </c>
      <c r="J867" t="inlineStr">
        <is>
          <t>https://www.google.com/maps/@?api=1&amp;map_action=pano&amp;viewpoint=33.555970,-117.730330&amp;heading=88</t>
        </is>
      </c>
      <c r="K867" t="inlineStr">
        <is>
          <t>https://www.google.com/maps/search/?api=1&amp;query=33.555970,-117.730330</t>
        </is>
      </c>
      <c r="L867" t="inlineStr"/>
      <c r="M867" t="inlineStr"/>
      <c r="N867" t="inlineStr"/>
      <c r="O867" t="inlineStr"/>
      <c r="P867" t="inlineStr">
        <is>
          <t>pending</t>
        </is>
      </c>
      <c r="Q867" t="inlineStr"/>
      <c r="R867" t="inlineStr"/>
      <c r="S867" t="inlineStr"/>
      <c r="T867" t="inlineStr">
        <is>
          <t>Mapillary: 2 posted 45 mph sign(s) detected</t>
        </is>
      </c>
      <c r="U867" t="inlineStr">
        <is>
          <t>https://www.mapillary.com/app/?lat=33.554930&amp;lng=-117.730710&amp;z=19&amp;focus=map&amp;mapFeatureId=226204562792273</t>
        </is>
      </c>
      <c r="V867">
        <f>IF(OR(L867="",S867=""),"",IF(VALUE(L867)=VALUE(S867),"Y","N"))</f>
        <v/>
      </c>
      <c r="W867">
        <f>IF(V867="Y",S867,"")</f>
        <v/>
      </c>
      <c r="X867" t="inlineStr">
        <is>
          <t>RED ISLAND: 539 m of La Mirage Circle at 45 mph between 25 mph on both sides (confirmed); is the posted limit really higher here?</t>
        </is>
      </c>
      <c r="Y867" t="inlineStr"/>
      <c r="Z867" t="n">
        <v>539</v>
      </c>
      <c r="AA867" t="inlineStr">
        <is>
          <t>ocoast</t>
        </is>
      </c>
      <c r="AB867" t="inlineStr">
        <is>
          <t>ocoast|33.55597,-117.73033</t>
        </is>
      </c>
    </row>
    <row r="868">
      <c r="A868" t="inlineStr">
        <is>
          <t>OCOAST-B2-031</t>
        </is>
      </c>
      <c r="B868" t="inlineStr">
        <is>
          <t>Laguna Woods / OC coast, CA</t>
        </is>
      </c>
      <c r="C868" t="inlineStr">
        <is>
          <t>Cliff Drive</t>
        </is>
      </c>
      <c r="D868" t="inlineStr">
        <is>
          <t>Pacific Coast Highway</t>
        </is>
      </c>
      <c r="E868" t="inlineStr">
        <is>
          <t>Aster Street</t>
        </is>
      </c>
      <c r="F868" t="inlineStr"/>
      <c r="G868" t="n">
        <v>55</v>
      </c>
      <c r="H868" t="inlineStr">
        <is>
          <t>city/county</t>
        </is>
      </c>
      <c r="I868" t="inlineStr">
        <is>
          <t>no</t>
        </is>
      </c>
      <c r="J868" t="inlineStr">
        <is>
          <t>https://www.google.com/maps/@?api=1&amp;map_action=pano&amp;viewpoint=33.543900,-117.788220&amp;heading=278</t>
        </is>
      </c>
      <c r="K868" t="inlineStr">
        <is>
          <t>https://www.google.com/maps/search/?api=1&amp;query=33.543900,-117.788220</t>
        </is>
      </c>
      <c r="L868" t="inlineStr"/>
      <c r="M868" t="inlineStr"/>
      <c r="N868" t="inlineStr"/>
      <c r="O868" t="inlineStr"/>
      <c r="P868" t="inlineStr">
        <is>
          <t>pending</t>
        </is>
      </c>
      <c r="Q868" t="inlineStr"/>
      <c r="R868" t="inlineStr"/>
      <c r="S868" t="inlineStr"/>
      <c r="T868" t="inlineStr">
        <is>
          <t>FHWA 2022 speed limit study (HPMS 2020, NHS roads): SHS_001._P posted 55 mph</t>
        </is>
      </c>
      <c r="U868" t="inlineStr">
        <is>
          <t>https://geo.dot.gov/server/rest/services/Hosted/FHWA__2022_Speed_Limit_Study_Results__All_States/FeatureServer/0</t>
        </is>
      </c>
      <c r="V868">
        <f>IF(OR(L868="",S868=""),"",IF(VALUE(L868)=VALUE(S868),"Y","N"))</f>
        <v/>
      </c>
      <c r="W868">
        <f>IF(V868="Y",S868,"")</f>
        <v/>
      </c>
      <c r="X868" t="inlineStr">
        <is>
          <t>RED ISLAND: 74 m of Cliff Drive at 55 mph between 25 mph on both sides (confirmed); is the posted limit really higher here?</t>
        </is>
      </c>
      <c r="Y868" t="inlineStr"/>
      <c r="Z868" t="n">
        <v>74</v>
      </c>
      <c r="AA868" t="inlineStr">
        <is>
          <t>ocoast</t>
        </is>
      </c>
      <c r="AB868" t="inlineStr">
        <is>
          <t>ocoast|33.54390,-117.78822</t>
        </is>
      </c>
    </row>
    <row r="869">
      <c r="A869" t="inlineStr">
        <is>
          <t>OCOAST-B2-032</t>
        </is>
      </c>
      <c r="B869" t="inlineStr">
        <is>
          <t>Laguna Woods / OC coast, CA</t>
        </is>
      </c>
      <c r="C869" t="inlineStr">
        <is>
          <t>La Paz Road</t>
        </is>
      </c>
      <c r="D869" t="inlineStr">
        <is>
          <t>Aliso Hills Drive</t>
        </is>
      </c>
      <c r="E869" t="inlineStr">
        <is>
          <t>Alameda Avenue</t>
        </is>
      </c>
      <c r="F869" t="inlineStr"/>
      <c r="G869" t="inlineStr"/>
      <c r="H869" t="inlineStr">
        <is>
          <t>inferred</t>
        </is>
      </c>
      <c r="I869" t="inlineStr">
        <is>
          <t>no</t>
        </is>
      </c>
      <c r="J869" t="inlineStr">
        <is>
          <t>https://www.google.com/maps/@?api=1&amp;map_action=pano&amp;viewpoint=33.584910,-117.689950&amp;heading=31</t>
        </is>
      </c>
      <c r="K869" t="inlineStr">
        <is>
          <t>https://www.google.com/maps/search/?api=1&amp;query=33.584910,-117.689950</t>
        </is>
      </c>
      <c r="L869" t="inlineStr"/>
      <c r="M869" t="inlineStr"/>
      <c r="N869" t="inlineStr"/>
      <c r="O869" t="inlineStr"/>
      <c r="P869" t="inlineStr">
        <is>
          <t>pending</t>
        </is>
      </c>
      <c r="Q869" t="inlineStr"/>
      <c r="R869" t="inlineStr"/>
      <c r="S869" t="inlineStr"/>
      <c r="T869" t="inlineStr"/>
      <c r="U869" t="inlineStr"/>
      <c r="V869">
        <f>IF(OR(L869="",S869=""),"",IF(VALUE(L869)=VALUE(S869),"Y","N"))</f>
        <v/>
      </c>
      <c r="W869">
        <f>IF(V869="Y",S869,"")</f>
        <v/>
      </c>
      <c r="X869" t="inlineStr">
        <is>
          <t>unverified: map has no limit (guessed from road type); main road: what is posted? 35 or lower opens it to LSVs</t>
        </is>
      </c>
      <c r="Y869" t="inlineStr"/>
      <c r="Z869" t="n">
        <v>2974</v>
      </c>
      <c r="AA869" t="inlineStr">
        <is>
          <t>ocoast</t>
        </is>
      </c>
      <c r="AB869" t="inlineStr">
        <is>
          <t>ocoast|33.58491,-117.68995</t>
        </is>
      </c>
    </row>
    <row r="870">
      <c r="A870" t="inlineStr">
        <is>
          <t>OCOAST-B2-033</t>
        </is>
      </c>
      <c r="B870" t="inlineStr">
        <is>
          <t>Laguna Woods / OC coast, CA</t>
        </is>
      </c>
      <c r="C870" t="inlineStr">
        <is>
          <t>Crown Valley Parkway</t>
        </is>
      </c>
      <c r="D870" t="inlineStr">
        <is>
          <t>La Paz Road</t>
        </is>
      </c>
      <c r="E870" t="inlineStr">
        <is>
          <t>Niguel Road</t>
        </is>
      </c>
      <c r="F870" t="inlineStr"/>
      <c r="G870" t="inlineStr"/>
      <c r="H870" t="inlineStr">
        <is>
          <t>inferred</t>
        </is>
      </c>
      <c r="I870" t="inlineStr">
        <is>
          <t>no</t>
        </is>
      </c>
      <c r="J870" t="inlineStr">
        <is>
          <t>https://www.google.com/maps/@?api=1&amp;map_action=pano&amp;viewpoint=33.532450,-117.702760&amp;heading=52</t>
        </is>
      </c>
      <c r="K870" t="inlineStr">
        <is>
          <t>https://www.google.com/maps/search/?api=1&amp;query=33.532450,-117.702760</t>
        </is>
      </c>
      <c r="L870" t="inlineStr"/>
      <c r="M870" t="inlineStr"/>
      <c r="N870" t="inlineStr"/>
      <c r="O870" t="inlineStr"/>
      <c r="P870" t="inlineStr">
        <is>
          <t>pending</t>
        </is>
      </c>
      <c r="Q870" t="inlineStr"/>
      <c r="R870" t="inlineStr"/>
      <c r="S870" t="inlineStr"/>
      <c r="T870" t="inlineStr"/>
      <c r="U870" t="inlineStr"/>
      <c r="V870">
        <f>IF(OR(L870="",S870=""),"",IF(VALUE(L870)=VALUE(S870),"Y","N"))</f>
        <v/>
      </c>
      <c r="W870">
        <f>IF(V870="Y",S870,"")</f>
        <v/>
      </c>
      <c r="X870" t="inlineStr">
        <is>
          <t>unverified: map has no limit (guessed from road type); main road: what is posted? 35 or lower opens it to LSVs</t>
        </is>
      </c>
      <c r="Y870" t="inlineStr"/>
      <c r="Z870" t="n">
        <v>2888</v>
      </c>
      <c r="AA870" t="inlineStr">
        <is>
          <t>ocoast</t>
        </is>
      </c>
      <c r="AB870" t="inlineStr">
        <is>
          <t>ocoast|33.53245,-117.70276</t>
        </is>
      </c>
    </row>
    <row r="871">
      <c r="A871" t="inlineStr">
        <is>
          <t>OCOAST-B2-034</t>
        </is>
      </c>
      <c r="B871" t="inlineStr">
        <is>
          <t>Laguna Woods / OC coast, CA</t>
        </is>
      </c>
      <c r="C871" t="inlineStr">
        <is>
          <t>El Toro Road</t>
        </is>
      </c>
      <c r="D871" t="inlineStr">
        <is>
          <t>(see map link)</t>
        </is>
      </c>
      <c r="E871" t="inlineStr">
        <is>
          <t>(see map link)</t>
        </is>
      </c>
      <c r="F871" t="inlineStr"/>
      <c r="G871" t="inlineStr"/>
      <c r="H871" t="inlineStr">
        <is>
          <t>inferred</t>
        </is>
      </c>
      <c r="I871" t="inlineStr">
        <is>
          <t>no</t>
        </is>
      </c>
      <c r="J871" t="inlineStr">
        <is>
          <t>https://www.google.com/maps/@?api=1&amp;map_action=pano&amp;viewpoint=33.654690,-117.659050&amp;heading=203</t>
        </is>
      </c>
      <c r="K871" t="inlineStr">
        <is>
          <t>https://www.google.com/maps/search/?api=1&amp;query=33.654690,-117.659050</t>
        </is>
      </c>
      <c r="L871" t="inlineStr"/>
      <c r="M871" t="inlineStr"/>
      <c r="N871" t="inlineStr"/>
      <c r="O871" t="inlineStr"/>
      <c r="P871" t="inlineStr">
        <is>
          <t>pending</t>
        </is>
      </c>
      <c r="Q871" t="inlineStr"/>
      <c r="R871" t="inlineStr"/>
      <c r="S871" t="inlineStr"/>
      <c r="T871" t="inlineStr"/>
      <c r="U871" t="inlineStr"/>
      <c r="V871">
        <f>IF(OR(L871="",S871=""),"",IF(VALUE(L871)=VALUE(S871),"Y","N"))</f>
        <v/>
      </c>
      <c r="W871">
        <f>IF(V871="Y",S871,"")</f>
        <v/>
      </c>
      <c r="X871" t="inlineStr">
        <is>
          <t>unverified: map has no limit (guessed from road type); main road: what is posted? 35 or lower opens it to LSVs</t>
        </is>
      </c>
      <c r="Y871" t="inlineStr"/>
      <c r="Z871" t="n">
        <v>1907</v>
      </c>
      <c r="AA871" t="inlineStr">
        <is>
          <t>ocoast</t>
        </is>
      </c>
      <c r="AB871" t="inlineStr">
        <is>
          <t>ocoast|33.65469,-117.65905</t>
        </is>
      </c>
    </row>
    <row r="872">
      <c r="A872" t="inlineStr">
        <is>
          <t>PCB-B2-001</t>
        </is>
      </c>
      <c r="B872" t="inlineStr">
        <is>
          <t>Panama City Beach, FL</t>
        </is>
      </c>
      <c r="C872" t="inlineStr">
        <is>
          <t>Nautilus Street</t>
        </is>
      </c>
      <c r="D872" t="inlineStr">
        <is>
          <t>Panama City Beach Parkway</t>
        </is>
      </c>
      <c r="E872" t="inlineStr">
        <is>
          <t>Seaclusion Circle</t>
        </is>
      </c>
      <c r="F872" t="inlineStr"/>
      <c r="G872" t="n">
        <v>45</v>
      </c>
      <c r="H872" t="inlineStr">
        <is>
          <t>tag</t>
        </is>
      </c>
      <c r="I872" t="inlineStr">
        <is>
          <t>no</t>
        </is>
      </c>
      <c r="J872" t="inlineStr">
        <is>
          <t>https://www.google.com/maps/@?api=1&amp;map_action=pano&amp;viewpoint=30.209720,-85.849735&amp;heading=203</t>
        </is>
      </c>
      <c r="K872" t="inlineStr">
        <is>
          <t>https://www.google.com/maps/search/?api=1&amp;query=30.209720,-85.849735</t>
        </is>
      </c>
      <c r="L872" t="inlineStr"/>
      <c r="M872" t="inlineStr"/>
      <c r="N872" t="inlineStr"/>
      <c r="O872" t="inlineStr"/>
      <c r="P872" t="inlineStr">
        <is>
          <t>pending</t>
        </is>
      </c>
      <c r="Q872" t="inlineStr"/>
      <c r="R872" t="inlineStr"/>
      <c r="S872" t="inlineStr"/>
      <c r="T872" t="inlineStr"/>
      <c r="U872" t="inlineStr"/>
      <c r="V872">
        <f>IF(OR(L872="",S872=""),"",IF(VALUE(L872)=VALUE(S872),"Y","N"))</f>
        <v/>
      </c>
      <c r="W872">
        <f>IF(V872="Y",S872,"")</f>
        <v/>
      </c>
      <c r="X872" t="inlineStr">
        <is>
          <t>RED ISLAND: 157 m of Nautilus Street at 45 mph between 25/35 mph on both sides (single); is the posted limit really higher here?</t>
        </is>
      </c>
      <c r="Y872" t="inlineStr"/>
      <c r="Z872" t="n">
        <v>157</v>
      </c>
      <c r="AA872" t="inlineStr">
        <is>
          <t>pcb</t>
        </is>
      </c>
      <c r="AB872" t="inlineStr">
        <is>
          <t>pcb|30.20972,-85.84974</t>
        </is>
      </c>
    </row>
    <row r="873">
      <c r="A873" t="inlineStr">
        <is>
          <t>PCB-B2-002</t>
        </is>
      </c>
      <c r="B873" t="inlineStr">
        <is>
          <t>Panama City Beach, FL</t>
        </is>
      </c>
      <c r="C873" t="inlineStr">
        <is>
          <t>Collegiate Drive</t>
        </is>
      </c>
      <c r="D873" t="inlineStr">
        <is>
          <t>(see map link)</t>
        </is>
      </c>
      <c r="E873" t="inlineStr">
        <is>
          <t>Commodore Cir</t>
        </is>
      </c>
      <c r="F873" t="inlineStr"/>
      <c r="G873" t="n">
        <v>45</v>
      </c>
      <c r="H873" t="inlineStr">
        <is>
          <t>city/county</t>
        </is>
      </c>
      <c r="I873" t="inlineStr">
        <is>
          <t>no</t>
        </is>
      </c>
      <c r="J873" t="inlineStr">
        <is>
          <t>https://www.google.com/maps/@?api=1&amp;map_action=pano&amp;viewpoint=30.186680,-85.729635&amp;heading=52</t>
        </is>
      </c>
      <c r="K873" t="inlineStr">
        <is>
          <t>https://www.google.com/maps/search/?api=1&amp;query=30.186680,-85.729635</t>
        </is>
      </c>
      <c r="L873" t="inlineStr"/>
      <c r="M873" t="inlineStr"/>
      <c r="N873" t="inlineStr"/>
      <c r="O873" t="inlineStr"/>
      <c r="P873" t="inlineStr">
        <is>
          <t>pending</t>
        </is>
      </c>
      <c r="Q873" t="inlineStr"/>
      <c r="R873" t="inlineStr"/>
      <c r="S873" t="inlineStr"/>
      <c r="T873" t="inlineStr">
        <is>
          <t>FDOT Maximum Speed Limit (TDA): 46140000 posted 45 mph</t>
        </is>
      </c>
      <c r="U873" t="inlineStr">
        <is>
          <t>https://gis-fdot.opendata.arcgis.com/datasets/maximum-speed-limit-tda</t>
        </is>
      </c>
      <c r="V873">
        <f>IF(OR(L873="",S873=""),"",IF(VALUE(L873)=VALUE(S873),"Y","N"))</f>
        <v/>
      </c>
      <c r="W873">
        <f>IF(V873="Y",S873,"")</f>
        <v/>
      </c>
      <c r="X873" t="inlineStr">
        <is>
          <t>RED ISLAND: 430 m of Collegiate Drive at 45 mph between 25/35 mph on both sides (confirmed); is the posted limit really higher here?</t>
        </is>
      </c>
      <c r="Y873" t="inlineStr"/>
      <c r="Z873" t="n">
        <v>430</v>
      </c>
      <c r="AA873" t="inlineStr">
        <is>
          <t>pcb</t>
        </is>
      </c>
      <c r="AB873" t="inlineStr">
        <is>
          <t>pcb|30.18668,-85.72964</t>
        </is>
      </c>
    </row>
    <row r="874">
      <c r="A874" t="inlineStr">
        <is>
          <t>POIPU-B2-001</t>
        </is>
      </c>
      <c r="B874" t="inlineStr">
        <is>
          <t>Poipu &amp; Koloa, Kauai</t>
        </is>
      </c>
      <c r="C874" t="inlineStr">
        <is>
          <t>Kaumualiʻi Highway</t>
        </is>
      </c>
      <c r="D874" t="inlineStr">
        <is>
          <t>Omao Road</t>
        </is>
      </c>
      <c r="E874" t="inlineStr">
        <is>
          <t>Aulima Road</t>
        </is>
      </c>
      <c r="F874" t="inlineStr"/>
      <c r="G874" t="inlineStr"/>
      <c r="H874" t="inlineStr">
        <is>
          <t>inferred</t>
        </is>
      </c>
      <c r="I874" t="inlineStr">
        <is>
          <t>no</t>
        </is>
      </c>
      <c r="J874" t="inlineStr">
        <is>
          <t>https://www.google.com/maps/@?api=1&amp;map_action=pano&amp;viewpoint=21.923700,-159.495040&amp;heading=80</t>
        </is>
      </c>
      <c r="K874" t="inlineStr">
        <is>
          <t>https://www.google.com/maps/search/?api=1&amp;query=21.923700,-159.495040</t>
        </is>
      </c>
      <c r="L874" t="inlineStr"/>
      <c r="M874" t="inlineStr"/>
      <c r="N874" t="inlineStr"/>
      <c r="O874" t="inlineStr"/>
      <c r="P874" t="inlineStr">
        <is>
          <t>pending</t>
        </is>
      </c>
      <c r="Q874" t="inlineStr"/>
      <c r="R874" t="inlineStr"/>
      <c r="S874" t="inlineStr"/>
      <c r="T874" t="inlineStr"/>
      <c r="U874" t="inlineStr"/>
      <c r="V874">
        <f>IF(OR(L874="",S874=""),"",IF(VALUE(L874)=VALUE(S874),"Y","N"))</f>
        <v/>
      </c>
      <c r="W874">
        <f>IF(V874="Y",S874,"")</f>
        <v/>
      </c>
      <c r="X874" t="inlineStr">
        <is>
          <t>unverified: map has no limit (guessed from road type); main road: what is posted? 35 or lower opens it to LSVs</t>
        </is>
      </c>
      <c r="Y874" t="inlineStr"/>
      <c r="Z874" t="n">
        <v>2723</v>
      </c>
      <c r="AA874" t="inlineStr">
        <is>
          <t>poipu</t>
        </is>
      </c>
      <c r="AB874" t="inlineStr">
        <is>
          <t>poipu|21.92370,-159.49504</t>
        </is>
      </c>
    </row>
    <row r="875">
      <c r="A875" t="inlineStr">
        <is>
          <t>PTC-B2-001</t>
        </is>
      </c>
      <c r="B875" t="inlineStr">
        <is>
          <t>Peachtree City, GA</t>
        </is>
      </c>
      <c r="C875" t="inlineStr">
        <is>
          <t>Fischer Road</t>
        </is>
      </c>
      <c r="D875" t="inlineStr">
        <is>
          <t>GA 34</t>
        </is>
      </c>
      <c r="E875" t="inlineStr">
        <is>
          <t>Lower Fayetteville Road</t>
        </is>
      </c>
      <c r="F875" t="inlineStr"/>
      <c r="G875" t="inlineStr"/>
      <c r="H875" t="inlineStr">
        <is>
          <t>inferred</t>
        </is>
      </c>
      <c r="I875" t="inlineStr">
        <is>
          <t>no</t>
        </is>
      </c>
      <c r="J875" t="inlineStr">
        <is>
          <t>https://www.google.com/maps/@?api=1&amp;map_action=pano&amp;viewpoint=33.397485,-84.622845&amp;heading=28</t>
        </is>
      </c>
      <c r="K875" t="inlineStr">
        <is>
          <t>https://www.google.com/maps/search/?api=1&amp;query=33.397485,-84.622845</t>
        </is>
      </c>
      <c r="L875" t="inlineStr"/>
      <c r="M875" t="inlineStr"/>
      <c r="N875" t="inlineStr"/>
      <c r="O875" t="inlineStr"/>
      <c r="P875" t="inlineStr">
        <is>
          <t>pending</t>
        </is>
      </c>
      <c r="Q875" t="inlineStr"/>
      <c r="R875" t="inlineStr"/>
      <c r="S875" t="inlineStr"/>
      <c r="T875" t="inlineStr"/>
      <c r="U875" t="inlineStr"/>
      <c r="V875">
        <f>IF(OR(L875="",S875=""),"",IF(VALUE(L875)=VALUE(S875),"Y","N"))</f>
        <v/>
      </c>
      <c r="W875">
        <f>IF(V875="Y",S875,"")</f>
        <v/>
      </c>
      <c r="X875" t="inlineStr">
        <is>
          <t>RED ISLAND: 223 m of Fischer Road at no limit between 25 mph on both sides (gap); is the posted limit really higher here?</t>
        </is>
      </c>
      <c r="Y875" t="inlineStr"/>
      <c r="Z875" t="n">
        <v>223</v>
      </c>
      <c r="AA875" t="inlineStr">
        <is>
          <t>ptc</t>
        </is>
      </c>
      <c r="AB875" t="inlineStr">
        <is>
          <t>ptc|33.39749,-84.62284</t>
        </is>
      </c>
    </row>
    <row r="876">
      <c r="A876" t="inlineStr">
        <is>
          <t>ROCKPORT-B2-001</t>
        </is>
      </c>
      <c r="B876" t="inlineStr">
        <is>
          <t>Rockport / Fulton, TX</t>
        </is>
      </c>
      <c r="C876" t="inlineStr">
        <is>
          <t>East Market Street</t>
        </is>
      </c>
      <c r="D876" t="inlineStr">
        <is>
          <t>South Austin Street</t>
        </is>
      </c>
      <c r="E876" t="inlineStr">
        <is>
          <t>South Church Street</t>
        </is>
      </c>
      <c r="F876" t="inlineStr"/>
      <c r="G876" t="inlineStr"/>
      <c r="H876" t="inlineStr">
        <is>
          <t>inferred</t>
        </is>
      </c>
      <c r="I876" t="inlineStr">
        <is>
          <t>no</t>
        </is>
      </c>
      <c r="J876" t="inlineStr">
        <is>
          <t>https://www.google.com/maps/@?api=1&amp;map_action=pano&amp;viewpoint=28.019870,-97.052410&amp;heading=289</t>
        </is>
      </c>
      <c r="K876" t="inlineStr">
        <is>
          <t>https://www.google.com/maps/search/?api=1&amp;query=28.019870,-97.052410</t>
        </is>
      </c>
      <c r="L876" t="inlineStr"/>
      <c r="M876" t="inlineStr"/>
      <c r="N876" t="inlineStr"/>
      <c r="O876" t="inlineStr"/>
      <c r="P876" t="inlineStr">
        <is>
          <t>pending</t>
        </is>
      </c>
      <c r="Q876" t="inlineStr"/>
      <c r="R876" t="inlineStr"/>
      <c r="S876" t="inlineStr"/>
      <c r="T876" t="inlineStr"/>
      <c r="U876" t="inlineStr"/>
      <c r="V876">
        <f>IF(OR(L876="",S876=""),"",IF(VALUE(L876)=VALUE(S876),"Y","N"))</f>
        <v/>
      </c>
      <c r="W876">
        <f>IF(V876="Y",S876,"")</f>
        <v/>
      </c>
      <c r="X876" t="inlineStr">
        <is>
          <t>RED ISLAND: 267 m of East Market Street at no limit between 25/30 mph on both sides (gap); is the posted limit really higher here?</t>
        </is>
      </c>
      <c r="Y876" t="inlineStr"/>
      <c r="Z876" t="n">
        <v>267</v>
      </c>
      <c r="AA876" t="inlineStr">
        <is>
          <t>rockport</t>
        </is>
      </c>
      <c r="AB876" t="inlineStr">
        <is>
          <t>rockport|28.01987,-97.05241</t>
        </is>
      </c>
    </row>
    <row r="877">
      <c r="A877" t="inlineStr">
        <is>
          <t>ROCKPORT-B2-002</t>
        </is>
      </c>
      <c r="B877" t="inlineStr">
        <is>
          <t>Rockport / Fulton, TX</t>
        </is>
      </c>
      <c r="C877" t="inlineStr">
        <is>
          <t>East 5th Street</t>
        </is>
      </c>
      <c r="D877" t="inlineStr">
        <is>
          <t>South Church Street</t>
        </is>
      </c>
      <c r="E877" t="inlineStr">
        <is>
          <t>Loop 70</t>
        </is>
      </c>
      <c r="F877" t="inlineStr"/>
      <c r="G877" t="n">
        <v>40</v>
      </c>
      <c r="H877" t="inlineStr">
        <is>
          <t>city/county</t>
        </is>
      </c>
      <c r="I877" t="inlineStr">
        <is>
          <t>no</t>
        </is>
      </c>
      <c r="J877" t="inlineStr">
        <is>
          <t>https://www.google.com/maps/@?api=1&amp;map_action=pano&amp;viewpoint=28.004690,-97.061030&amp;heading=216</t>
        </is>
      </c>
      <c r="K877" t="inlineStr">
        <is>
          <t>https://www.google.com/maps/search/?api=1&amp;query=28.004690,-97.061030</t>
        </is>
      </c>
      <c r="L877" t="inlineStr"/>
      <c r="M877" t="inlineStr"/>
      <c r="N877" t="inlineStr"/>
      <c r="O877" t="inlineStr"/>
      <c r="P877" t="inlineStr">
        <is>
          <t>pending</t>
        </is>
      </c>
      <c r="Q877" t="inlineStr"/>
      <c r="R877" t="inlineStr"/>
      <c r="S877" t="inlineStr"/>
      <c r="T877" t="inlineStr">
        <is>
          <t>TxDOT Speed Limits: SL0070-KG posted 40 mph</t>
        </is>
      </c>
      <c r="U877" t="inlineStr">
        <is>
          <t>https://gis-txdot.opendata.arcgis.com/datasets/txdot-speed-limits</t>
        </is>
      </c>
      <c r="V877">
        <f>IF(OR(L877="",S877=""),"",IF(VALUE(L877)=VALUE(S877),"Y","N"))</f>
        <v/>
      </c>
      <c r="W877">
        <f>IF(V877="Y",S877,"")</f>
        <v/>
      </c>
      <c r="X877" t="inlineStr">
        <is>
          <t>RED ISLAND: 399 m of East 5th Street at 40 mph between 25 mph on both sides (confirmed); is the posted limit really higher here?</t>
        </is>
      </c>
      <c r="Y877" t="inlineStr"/>
      <c r="Z877" t="n">
        <v>399</v>
      </c>
      <c r="AA877" t="inlineStr">
        <is>
          <t>rockport</t>
        </is>
      </c>
      <c r="AB877" t="inlineStr">
        <is>
          <t>rockport|28.00469,-97.06103</t>
        </is>
      </c>
    </row>
    <row r="878">
      <c r="A878" t="inlineStr">
        <is>
          <t>SIESTA-B2-001</t>
        </is>
      </c>
      <c r="B878" t="inlineStr">
        <is>
          <t>Siesta Key / Sarasota keys, FL</t>
        </is>
      </c>
      <c r="C878" t="inlineStr">
        <is>
          <t>Bayshore Gardens Parkway</t>
        </is>
      </c>
      <c r="D878" t="inlineStr">
        <is>
          <t>63rd Avenue West</t>
        </is>
      </c>
      <c r="E878" t="inlineStr">
        <is>
          <t>14th Street West</t>
        </is>
      </c>
      <c r="F878" t="inlineStr"/>
      <c r="G878" t="inlineStr"/>
      <c r="H878" t="inlineStr">
        <is>
          <t>inferred</t>
        </is>
      </c>
      <c r="I878" t="inlineStr">
        <is>
          <t>no</t>
        </is>
      </c>
      <c r="J878" t="inlineStr">
        <is>
          <t>https://www.google.com/maps/@?api=1&amp;map_action=pano&amp;viewpoint=27.430715,-82.574030&amp;heading=328</t>
        </is>
      </c>
      <c r="K878" t="inlineStr">
        <is>
          <t>https://www.google.com/maps/search/?api=1&amp;query=27.430715,-82.574030</t>
        </is>
      </c>
      <c r="L878" t="inlineStr"/>
      <c r="M878" t="inlineStr"/>
      <c r="N878" t="inlineStr"/>
      <c r="O878" t="inlineStr"/>
      <c r="P878" t="inlineStr">
        <is>
          <t>pending</t>
        </is>
      </c>
      <c r="Q878" t="inlineStr"/>
      <c r="R878" t="inlineStr"/>
      <c r="S878" t="inlineStr"/>
      <c r="T878" t="inlineStr"/>
      <c r="U878" t="inlineStr"/>
      <c r="V878">
        <f>IF(OR(L878="",S878=""),"",IF(VALUE(L878)=VALUE(S878),"Y","N"))</f>
        <v/>
      </c>
      <c r="W878">
        <f>IF(V878="Y",S878,"")</f>
        <v/>
      </c>
      <c r="X878" t="inlineStr">
        <is>
          <t>RED ISLAND: 308 m of Bayshore Gardens Parkway at no limit between 25/30 mph on both sides (gap); is the posted limit really higher here?</t>
        </is>
      </c>
      <c r="Y878" t="inlineStr"/>
      <c r="Z878" t="n">
        <v>308</v>
      </c>
      <c r="AA878" t="inlineStr">
        <is>
          <t>siesta</t>
        </is>
      </c>
      <c r="AB878" t="inlineStr">
        <is>
          <t>siesta|27.43071,-82.57403</t>
        </is>
      </c>
    </row>
    <row r="879">
      <c r="A879" t="inlineStr">
        <is>
          <t>SIESTA-B2-002</t>
        </is>
      </c>
      <c r="B879" t="inlineStr">
        <is>
          <t>Siesta Key / Sarasota keys, FL</t>
        </is>
      </c>
      <c r="C879" t="inlineStr">
        <is>
          <t>South Osprey Avenue</t>
        </is>
      </c>
      <c r="D879" t="inlineStr">
        <is>
          <t>Siesta Drive</t>
        </is>
      </c>
      <c r="E879" t="inlineStr">
        <is>
          <t>Versailles Street</t>
        </is>
      </c>
      <c r="F879" t="inlineStr"/>
      <c r="G879" t="n">
        <v>50</v>
      </c>
      <c r="H879" t="inlineStr">
        <is>
          <t>mapillary</t>
        </is>
      </c>
      <c r="I879" t="inlineStr">
        <is>
          <t>no</t>
        </is>
      </c>
      <c r="J879" t="inlineStr">
        <is>
          <t>https://www.google.com/maps/@?api=1&amp;map_action=pano&amp;viewpoint=27.301865,-82.533640&amp;heading=179</t>
        </is>
      </c>
      <c r="K879" t="inlineStr">
        <is>
          <t>https://www.google.com/maps/search/?api=1&amp;query=27.301865,-82.533640</t>
        </is>
      </c>
      <c r="L879" t="inlineStr"/>
      <c r="M879" t="inlineStr"/>
      <c r="N879" t="inlineStr"/>
      <c r="O879" t="inlineStr"/>
      <c r="P879" t="inlineStr">
        <is>
          <t>pending</t>
        </is>
      </c>
      <c r="Q879" t="inlineStr"/>
      <c r="R879" t="inlineStr"/>
      <c r="S879" t="inlineStr"/>
      <c r="T879" t="inlineStr">
        <is>
          <t>Mapillary: 2 posted 50 mph sign(s) detected</t>
        </is>
      </c>
      <c r="U879" t="inlineStr">
        <is>
          <t>https://www.mapillary.com/app/?lat=27.302397&amp;lng=-82.533570&amp;z=19&amp;focus=map&amp;mapFeatureId=793599268191572</t>
        </is>
      </c>
      <c r="V879">
        <f>IF(OR(L879="",S879=""),"",IF(VALUE(L879)=VALUE(S879),"Y","N"))</f>
        <v/>
      </c>
      <c r="W879">
        <f>IF(V879="Y",S879,"")</f>
        <v/>
      </c>
      <c r="X879" t="inlineStr">
        <is>
          <t>RED ISLAND: 239 m of South Osprey Avenue at 50 mph between 30 mph on both sides (confirmed); is the posted limit really higher here?</t>
        </is>
      </c>
      <c r="Y879" t="inlineStr"/>
      <c r="Z879" t="n">
        <v>239</v>
      </c>
      <c r="AA879" t="inlineStr">
        <is>
          <t>siesta</t>
        </is>
      </c>
      <c r="AB879" t="inlineStr">
        <is>
          <t>siesta|27.30186,-82.53364</t>
        </is>
      </c>
    </row>
    <row r="880">
      <c r="A880" t="inlineStr">
        <is>
          <t>SIESTA-B2-003</t>
        </is>
      </c>
      <c r="B880" t="inlineStr">
        <is>
          <t>Siesta Key / Sarasota keys, FL</t>
        </is>
      </c>
      <c r="C880" t="inlineStr">
        <is>
          <t>South Gulf of Mexico Drive</t>
        </is>
      </c>
      <c r="D880" t="inlineStr">
        <is>
          <t>Longboat Club Road</t>
        </is>
      </c>
      <c r="E880" t="inlineStr">
        <is>
          <t>(see map link)</t>
        </is>
      </c>
      <c r="F880" t="inlineStr"/>
      <c r="G880" t="n">
        <v>45</v>
      </c>
      <c r="H880" t="inlineStr">
        <is>
          <t>mapillary</t>
        </is>
      </c>
      <c r="I880" t="inlineStr">
        <is>
          <t>no</t>
        </is>
      </c>
      <c r="J880" t="inlineStr">
        <is>
          <t>https://www.google.com/maps/@?api=1&amp;map_action=pano&amp;viewpoint=27.336855,-82.587525&amp;heading=293</t>
        </is>
      </c>
      <c r="K880" t="inlineStr">
        <is>
          <t>https://www.google.com/maps/search/?api=1&amp;query=27.336855,-82.587525</t>
        </is>
      </c>
      <c r="L880" t="inlineStr"/>
      <c r="M880" t="inlineStr"/>
      <c r="N880" t="inlineStr"/>
      <c r="O880" t="inlineStr"/>
      <c r="P880" t="inlineStr">
        <is>
          <t>pending</t>
        </is>
      </c>
      <c r="Q880" t="inlineStr"/>
      <c r="R880" t="inlineStr"/>
      <c r="S880" t="inlineStr"/>
      <c r="T880" t="inlineStr">
        <is>
          <t>Mapillary: 2 posted 45 mph sign(s) detected</t>
        </is>
      </c>
      <c r="U880" t="inlineStr">
        <is>
          <t>https://www.mapillary.com/app/?lat=27.337267&amp;lng=-82.588420&amp;z=19&amp;focus=map&amp;mapFeatureId=851488112129176</t>
        </is>
      </c>
      <c r="V880">
        <f>IF(OR(L880="",S880=""),"",IF(VALUE(L880)=VALUE(S880),"Y","N"))</f>
        <v/>
      </c>
      <c r="W880">
        <f>IF(V880="Y",S880,"")</f>
        <v/>
      </c>
      <c r="X880" t="inlineStr">
        <is>
          <t>RED ISLAND: 205 m of South Gulf of Mexico Drive at 45 mph between 35 mph on both sides (confirmed); is the posted limit really higher here?</t>
        </is>
      </c>
      <c r="Y880" t="inlineStr"/>
      <c r="Z880" t="n">
        <v>205</v>
      </c>
      <c r="AA880" t="inlineStr">
        <is>
          <t>siesta</t>
        </is>
      </c>
      <c r="AB880" t="inlineStr">
        <is>
          <t>siesta|27.33685,-82.58752</t>
        </is>
      </c>
    </row>
    <row r="881">
      <c r="A881" t="inlineStr">
        <is>
          <t>SIESTA-B2-004</t>
        </is>
      </c>
      <c r="B881" t="inlineStr">
        <is>
          <t>Siesta Key / Sarasota keys, FL</t>
        </is>
      </c>
      <c r="C881" t="inlineStr">
        <is>
          <t>South Shade Avenue</t>
        </is>
      </c>
      <c r="D881" t="inlineStr">
        <is>
          <t>Grove Street</t>
        </is>
      </c>
      <c r="E881" t="inlineStr">
        <is>
          <t>Siesta Drive</t>
        </is>
      </c>
      <c r="F881" t="inlineStr"/>
      <c r="G881" t="n">
        <v>40</v>
      </c>
      <c r="H881" t="inlineStr">
        <is>
          <t>city/county</t>
        </is>
      </c>
      <c r="I881" t="inlineStr">
        <is>
          <t>no</t>
        </is>
      </c>
      <c r="J881" t="inlineStr">
        <is>
          <t>https://www.google.com/maps/@?api=1&amp;map_action=pano&amp;viewpoint=27.309120,-82.522070&amp;heading=180</t>
        </is>
      </c>
      <c r="K881" t="inlineStr">
        <is>
          <t>https://www.google.com/maps/search/?api=1&amp;query=27.309120,-82.522070</t>
        </is>
      </c>
      <c r="L881" t="inlineStr"/>
      <c r="M881" t="inlineStr"/>
      <c r="N881" t="inlineStr"/>
      <c r="O881" t="inlineStr"/>
      <c r="P881" t="inlineStr">
        <is>
          <t>pending</t>
        </is>
      </c>
      <c r="Q881" t="inlineStr"/>
      <c r="R881" t="inlineStr"/>
      <c r="S881" t="inlineStr"/>
      <c r="T881" t="inlineStr">
        <is>
          <t>FDOT Maximum Speed Limit (TDA): 17000052 posted 40 mph</t>
        </is>
      </c>
      <c r="U881" t="inlineStr">
        <is>
          <t>https://gis-fdot.opendata.arcgis.com/datasets/maximum-speed-limit-tda</t>
        </is>
      </c>
      <c r="V881">
        <f>IF(OR(L881="",S881=""),"",IF(VALUE(L881)=VALUE(S881),"Y","N"))</f>
        <v/>
      </c>
      <c r="W881">
        <f>IF(V881="Y",S881,"")</f>
        <v/>
      </c>
      <c r="X881" t="inlineStr">
        <is>
          <t>RED ISLAND: 788 m of South Shade Avenue at 40 mph between 15/25 mph on both sides (confirmed); is the posted limit really higher here?</t>
        </is>
      </c>
      <c r="Y881" t="inlineStr"/>
      <c r="Z881" t="n">
        <v>788</v>
      </c>
      <c r="AA881" t="inlineStr">
        <is>
          <t>siesta</t>
        </is>
      </c>
      <c r="AB881" t="inlineStr">
        <is>
          <t>siesta|27.30912,-82.52207</t>
        </is>
      </c>
    </row>
    <row r="882">
      <c r="A882" t="inlineStr">
        <is>
          <t>SIESTA-B2-005</t>
        </is>
      </c>
      <c r="B882" t="inlineStr">
        <is>
          <t>Siesta Key / Sarasota keys, FL</t>
        </is>
      </c>
      <c r="C882" t="inlineStr">
        <is>
          <t>Tuttle Avenue</t>
        </is>
      </c>
      <c r="D882" t="inlineStr">
        <is>
          <t>(see map link)</t>
        </is>
      </c>
      <c r="E882" t="inlineStr">
        <is>
          <t>(see map link)</t>
        </is>
      </c>
      <c r="F882" t="inlineStr"/>
      <c r="G882" t="n">
        <v>40</v>
      </c>
      <c r="H882" t="inlineStr">
        <is>
          <t>mapillary</t>
        </is>
      </c>
      <c r="I882" t="inlineStr">
        <is>
          <t>no</t>
        </is>
      </c>
      <c r="J882" t="inlineStr">
        <is>
          <t>https://www.google.com/maps/@?api=1&amp;map_action=pano&amp;viewpoint=27.389925,-82.513790&amp;heading=2</t>
        </is>
      </c>
      <c r="K882" t="inlineStr">
        <is>
          <t>https://www.google.com/maps/search/?api=1&amp;query=27.389925,-82.513790</t>
        </is>
      </c>
      <c r="L882" t="inlineStr"/>
      <c r="M882" t="inlineStr"/>
      <c r="N882" t="inlineStr"/>
      <c r="O882" t="inlineStr"/>
      <c r="P882" t="inlineStr">
        <is>
          <t>pending</t>
        </is>
      </c>
      <c r="Q882" t="inlineStr"/>
      <c r="R882" t="inlineStr"/>
      <c r="S882" t="inlineStr"/>
      <c r="T882" t="inlineStr">
        <is>
          <t>Mapillary: 2 posted 40 mph sign(s) detected</t>
        </is>
      </c>
      <c r="U882" t="inlineStr">
        <is>
          <t>https://www.mapillary.com/app/?lat=27.389640&amp;lng=-82.513620&amp;z=19&amp;focus=map&amp;mapFeatureId=301888174767867</t>
        </is>
      </c>
      <c r="V882">
        <f>IF(OR(L882="",S882=""),"",IF(VALUE(L882)=VALUE(S882),"Y","N"))</f>
        <v/>
      </c>
      <c r="W882">
        <f>IF(V882="Y",S882,"")</f>
        <v/>
      </c>
      <c r="X882" t="inlineStr">
        <is>
          <t>RED ISLAND: 125 m of Tuttle Avenue at 40 mph between 25 mph on both sides (confirmed); is the posted limit really higher here?</t>
        </is>
      </c>
      <c r="Y882" t="inlineStr"/>
      <c r="Z882" t="n">
        <v>125</v>
      </c>
      <c r="AA882" t="inlineStr">
        <is>
          <t>siesta</t>
        </is>
      </c>
      <c r="AB882" t="inlineStr">
        <is>
          <t>siesta|27.38992,-82.51379</t>
        </is>
      </c>
    </row>
    <row r="883">
      <c r="A883" t="inlineStr">
        <is>
          <t>SIESTA-B2-006</t>
        </is>
      </c>
      <c r="B883" t="inlineStr">
        <is>
          <t>Siesta Key / Sarasota keys, FL</t>
        </is>
      </c>
      <c r="C883" t="inlineStr">
        <is>
          <t>Whitfield Avenue</t>
        </is>
      </c>
      <c r="D883" t="inlineStr">
        <is>
          <t>26th Court East</t>
        </is>
      </c>
      <c r="E883" t="inlineStr">
        <is>
          <t>28th Court East</t>
        </is>
      </c>
      <c r="F883" t="inlineStr"/>
      <c r="G883" t="n">
        <v>40</v>
      </c>
      <c r="H883" t="inlineStr">
        <is>
          <t>mapillary</t>
        </is>
      </c>
      <c r="I883" t="inlineStr">
        <is>
          <t>no</t>
        </is>
      </c>
      <c r="J883" t="inlineStr">
        <is>
          <t>https://www.google.com/maps/@?api=1&amp;map_action=pano&amp;viewpoint=27.418105,-82.526740&amp;heading=90</t>
        </is>
      </c>
      <c r="K883" t="inlineStr">
        <is>
          <t>https://www.google.com/maps/search/?api=1&amp;query=27.418105,-82.526740</t>
        </is>
      </c>
      <c r="L883" t="inlineStr"/>
      <c r="M883" t="inlineStr"/>
      <c r="N883" t="inlineStr"/>
      <c r="O883" t="inlineStr"/>
      <c r="P883" t="inlineStr">
        <is>
          <t>pending</t>
        </is>
      </c>
      <c r="Q883" t="inlineStr"/>
      <c r="R883" t="inlineStr"/>
      <c r="S883" t="inlineStr"/>
      <c r="T883" t="inlineStr">
        <is>
          <t>Mapillary: 3 posted 40 mph sign(s) detected</t>
        </is>
      </c>
      <c r="U883" t="inlineStr">
        <is>
          <t>https://www.mapillary.com/app/?lat=27.418064&amp;lng=-82.524670&amp;z=19&amp;focus=map&amp;mapFeatureId=899276430918075</t>
        </is>
      </c>
      <c r="V883">
        <f>IF(OR(L883="",S883=""),"",IF(VALUE(L883)=VALUE(S883),"Y","N"))</f>
        <v/>
      </c>
      <c r="W883">
        <f>IF(V883="Y",S883,"")</f>
        <v/>
      </c>
      <c r="X883" t="inlineStr">
        <is>
          <t>RED ISLAND: 762 m of Whitfield Avenue at 40 mph between 25 mph on both sides (confirmed); is the posted limit really higher here?</t>
        </is>
      </c>
      <c r="Y883" t="inlineStr"/>
      <c r="Z883" t="n">
        <v>762</v>
      </c>
      <c r="AA883" t="inlineStr">
        <is>
          <t>siesta</t>
        </is>
      </c>
      <c r="AB883" t="inlineStr">
        <is>
          <t>siesta|27.41810,-82.52674</t>
        </is>
      </c>
    </row>
    <row r="884">
      <c r="A884" t="inlineStr">
        <is>
          <t>SIESTA-B2-007</t>
        </is>
      </c>
      <c r="B884" t="inlineStr">
        <is>
          <t>Siesta Key / Sarasota keys, FL</t>
        </is>
      </c>
      <c r="C884" t="inlineStr">
        <is>
          <t>53rd Avenue East</t>
        </is>
      </c>
      <c r="D884" t="inlineStr">
        <is>
          <t>(see map link)</t>
        </is>
      </c>
      <c r="E884" t="inlineStr">
        <is>
          <t>(see map link)</t>
        </is>
      </c>
      <c r="F884" t="inlineStr"/>
      <c r="G884" t="n">
        <v>40</v>
      </c>
      <c r="H884" t="inlineStr">
        <is>
          <t>city/county</t>
        </is>
      </c>
      <c r="I884" t="inlineStr">
        <is>
          <t>no</t>
        </is>
      </c>
      <c r="J884" t="inlineStr">
        <is>
          <t>https://www.google.com/maps/@?api=1&amp;map_action=pano&amp;viewpoint=27.447390,-82.534880&amp;heading=90</t>
        </is>
      </c>
      <c r="K884" t="inlineStr">
        <is>
          <t>https://www.google.com/maps/search/?api=1&amp;query=27.447390,-82.534880</t>
        </is>
      </c>
      <c r="L884" t="inlineStr"/>
      <c r="M884" t="inlineStr"/>
      <c r="N884" t="inlineStr"/>
      <c r="O884" t="inlineStr"/>
      <c r="P884" t="inlineStr">
        <is>
          <t>pending</t>
        </is>
      </c>
      <c r="Q884" t="inlineStr"/>
      <c r="R884" t="inlineStr"/>
      <c r="S884" t="inlineStr"/>
      <c r="T884" t="inlineStr">
        <is>
          <t>FHWA 2022 speed limit study (HPMS 2020, NHS roads): 13160000 posted 40 mph</t>
        </is>
      </c>
      <c r="U884" t="inlineStr">
        <is>
          <t>https://geo.dot.gov/server/rest/services/Hosted/FHWA__2022_Speed_Limit_Study_Results__All_States/FeatureServer/0</t>
        </is>
      </c>
      <c r="V884">
        <f>IF(OR(L884="",S884=""),"",IF(VALUE(L884)=VALUE(S884),"Y","N"))</f>
        <v/>
      </c>
      <c r="W884">
        <f>IF(V884="Y",S884,"")</f>
        <v/>
      </c>
      <c r="X884" t="inlineStr">
        <is>
          <t>RED ISLAND: 59 m of 53rd Avenue East at 40 mph between 20/30 mph on both sides (confirmed); is the posted limit really higher here?</t>
        </is>
      </c>
      <c r="Y884" t="inlineStr"/>
      <c r="Z884" t="n">
        <v>59</v>
      </c>
      <c r="AA884" t="inlineStr">
        <is>
          <t>siesta</t>
        </is>
      </c>
      <c r="AB884" t="inlineStr">
        <is>
          <t>siesta|27.44739,-82.53488</t>
        </is>
      </c>
    </row>
    <row r="885">
      <c r="A885" t="inlineStr">
        <is>
          <t>STAUG-B2-001</t>
        </is>
      </c>
      <c r="B885" t="inlineStr">
        <is>
          <t>St. Augustine, FL</t>
        </is>
      </c>
      <c r="C885" t="inlineStr">
        <is>
          <t>CR 214</t>
        </is>
      </c>
      <c r="D885" t="inlineStr">
        <is>
          <t>North Holmes Boulevard</t>
        </is>
      </c>
      <c r="E885" t="inlineStr">
        <is>
          <t>(see map link)</t>
        </is>
      </c>
      <c r="F885" t="inlineStr"/>
      <c r="G885" t="inlineStr"/>
      <c r="H885" t="inlineStr">
        <is>
          <t>inferred</t>
        </is>
      </c>
      <c r="I885" t="inlineStr">
        <is>
          <t>no</t>
        </is>
      </c>
      <c r="J885" t="inlineStr">
        <is>
          <t>https://www.google.com/maps/@?api=1&amp;map_action=pano&amp;viewpoint=29.884980,-81.359390&amp;heading=33</t>
        </is>
      </c>
      <c r="K885" t="inlineStr">
        <is>
          <t>https://www.google.com/maps/search/?api=1&amp;query=29.884980,-81.359390</t>
        </is>
      </c>
      <c r="L885" t="inlineStr"/>
      <c r="M885" t="inlineStr"/>
      <c r="N885" t="inlineStr"/>
      <c r="O885" t="inlineStr"/>
      <c r="P885" t="inlineStr">
        <is>
          <t>pending</t>
        </is>
      </c>
      <c r="Q885" t="inlineStr"/>
      <c r="R885" t="inlineStr"/>
      <c r="S885" t="inlineStr"/>
      <c r="T885" t="inlineStr"/>
      <c r="U885" t="inlineStr"/>
      <c r="V885">
        <f>IF(OR(L885="",S885=""),"",IF(VALUE(L885)=VALUE(S885),"Y","N"))</f>
        <v/>
      </c>
      <c r="W885">
        <f>IF(V885="Y",S885,"")</f>
        <v/>
      </c>
      <c r="X885" t="inlineStr">
        <is>
          <t>unverified: map has no limit (guessed from road type); main road: what is posted? 35 or lower opens it to LSVs</t>
        </is>
      </c>
      <c r="Y885" t="inlineStr"/>
      <c r="Z885" t="n">
        <v>2154</v>
      </c>
      <c r="AA885" t="inlineStr">
        <is>
          <t>staug</t>
        </is>
      </c>
      <c r="AB885" t="inlineStr">
        <is>
          <t>staug|29.88498,-81.35939</t>
        </is>
      </c>
    </row>
    <row r="886">
      <c r="A886" t="inlineStr">
        <is>
          <t>SUNCITY-B2-001</t>
        </is>
      </c>
      <c r="B886" t="inlineStr">
        <is>
          <t>Sun City / Sun City West, AZ</t>
        </is>
      </c>
      <c r="C886" t="inlineStr">
        <is>
          <t>West Union Hills Drive</t>
        </is>
      </c>
      <c r="D886" t="inlineStr">
        <is>
          <t>North Palo Verde Drive</t>
        </is>
      </c>
      <c r="E886" t="inlineStr">
        <is>
          <t>North Conestoga Drive</t>
        </is>
      </c>
      <c r="F886" t="inlineStr"/>
      <c r="G886" t="n">
        <v>40</v>
      </c>
      <c r="H886" t="inlineStr">
        <is>
          <t>tag</t>
        </is>
      </c>
      <c r="I886" t="inlineStr">
        <is>
          <t>no</t>
        </is>
      </c>
      <c r="J886" t="inlineStr">
        <is>
          <t>https://www.google.com/maps/@?api=1&amp;map_action=pano&amp;viewpoint=33.652620,-112.277095&amp;heading=271</t>
        </is>
      </c>
      <c r="K886" t="inlineStr">
        <is>
          <t>https://www.google.com/maps/search/?api=1&amp;query=33.652620,-112.277095</t>
        </is>
      </c>
      <c r="L886" t="inlineStr"/>
      <c r="M886" t="inlineStr"/>
      <c r="N886" t="inlineStr"/>
      <c r="O886" t="inlineStr"/>
      <c r="P886" t="inlineStr">
        <is>
          <t>pending</t>
        </is>
      </c>
      <c r="Q886" t="inlineStr"/>
      <c r="R886" t="inlineStr"/>
      <c r="S886" t="inlineStr"/>
      <c r="T886" t="inlineStr"/>
      <c r="U886" t="inlineStr"/>
      <c r="V886">
        <f>IF(OR(L886="",S886=""),"",IF(VALUE(L886)=VALUE(S886),"Y","N"))</f>
        <v/>
      </c>
      <c r="W886">
        <f>IF(V886="Y",S886,"")</f>
        <v/>
      </c>
      <c r="X886" t="inlineStr">
        <is>
          <t>RED ISLAND: 753 m of West Union Hills Drive at 40 mph between 30 mph on both sides (single); is the posted limit really higher here?</t>
        </is>
      </c>
      <c r="Y886" t="inlineStr"/>
      <c r="Z886" t="n">
        <v>753</v>
      </c>
      <c r="AA886" t="inlineStr">
        <is>
          <t>suncity</t>
        </is>
      </c>
      <c r="AB886" t="inlineStr">
        <is>
          <t>suncity|33.65262,-112.27710</t>
        </is>
      </c>
    </row>
    <row r="887">
      <c r="A887" t="inlineStr">
        <is>
          <t>SUNCITY-B2-002</t>
        </is>
      </c>
      <c r="B887" t="inlineStr">
        <is>
          <t>Sun City / Sun City West, AZ</t>
        </is>
      </c>
      <c r="C887" t="inlineStr">
        <is>
          <t>West Cactus Road</t>
        </is>
      </c>
      <c r="D887" t="inlineStr">
        <is>
          <t>North 123rd Lane</t>
        </is>
      </c>
      <c r="E887" t="inlineStr">
        <is>
          <t>North El Mirage Road</t>
        </is>
      </c>
      <c r="F887" t="inlineStr"/>
      <c r="G887" t="inlineStr"/>
      <c r="H887" t="inlineStr">
        <is>
          <t>inferred</t>
        </is>
      </c>
      <c r="I887" t="inlineStr">
        <is>
          <t>no</t>
        </is>
      </c>
      <c r="J887" t="inlineStr">
        <is>
          <t>https://www.google.com/maps/@?api=1&amp;map_action=pano&amp;viewpoint=33.594480,-112.326225&amp;heading=272</t>
        </is>
      </c>
      <c r="K887" t="inlineStr">
        <is>
          <t>https://www.google.com/maps/search/?api=1&amp;query=33.594480,-112.326225</t>
        </is>
      </c>
      <c r="L887" t="inlineStr"/>
      <c r="M887" t="inlineStr"/>
      <c r="N887" t="inlineStr"/>
      <c r="O887" t="inlineStr"/>
      <c r="P887" t="inlineStr">
        <is>
          <t>pending</t>
        </is>
      </c>
      <c r="Q887" t="inlineStr"/>
      <c r="R887" t="inlineStr"/>
      <c r="S887" t="inlineStr"/>
      <c r="T887" t="inlineStr"/>
      <c r="U887" t="inlineStr"/>
      <c r="V887">
        <f>IF(OR(L887="",S887=""),"",IF(VALUE(L887)=VALUE(S887),"Y","N"))</f>
        <v/>
      </c>
      <c r="W887">
        <f>IF(V887="Y",S887,"")</f>
        <v/>
      </c>
      <c r="X887" t="inlineStr">
        <is>
          <t>RED ISLAND: 221 m of West Cactus Road at no limit between 25/35 mph on both sides (gap); is the posted limit really higher here?</t>
        </is>
      </c>
      <c r="Y887" t="inlineStr"/>
      <c r="Z887" t="n">
        <v>221</v>
      </c>
      <c r="AA887" t="inlineStr">
        <is>
          <t>suncity</t>
        </is>
      </c>
      <c r="AB887" t="inlineStr">
        <is>
          <t>suncity|33.59448,-112.32622</t>
        </is>
      </c>
    </row>
    <row r="888">
      <c r="A888" t="inlineStr">
        <is>
          <t>SUNCITY-B2-003</t>
        </is>
      </c>
      <c r="B888" t="inlineStr">
        <is>
          <t>Sun City / Sun City West, AZ</t>
        </is>
      </c>
      <c r="C888" t="inlineStr">
        <is>
          <t>North Dysart Road</t>
        </is>
      </c>
      <c r="D888" t="inlineStr">
        <is>
          <t>(see map link)</t>
        </is>
      </c>
      <c r="E888" t="inlineStr">
        <is>
          <t>West Bell Road</t>
        </is>
      </c>
      <c r="F888" t="inlineStr"/>
      <c r="G888" t="inlineStr"/>
      <c r="H888" t="inlineStr">
        <is>
          <t>inferred</t>
        </is>
      </c>
      <c r="I888" t="inlineStr">
        <is>
          <t>no</t>
        </is>
      </c>
      <c r="J888" t="inlineStr">
        <is>
          <t>https://www.google.com/maps/@?api=1&amp;map_action=pano&amp;viewpoint=33.638320,-112.342120&amp;heading=0</t>
        </is>
      </c>
      <c r="K888" t="inlineStr">
        <is>
          <t>https://www.google.com/maps/search/?api=1&amp;query=33.638320,-112.342120</t>
        </is>
      </c>
      <c r="L888" t="inlineStr"/>
      <c r="M888" t="inlineStr"/>
      <c r="N888" t="inlineStr"/>
      <c r="O888" t="inlineStr"/>
      <c r="P888" t="inlineStr">
        <is>
          <t>pending</t>
        </is>
      </c>
      <c r="Q888" t="inlineStr"/>
      <c r="R888" t="inlineStr"/>
      <c r="S888" t="inlineStr"/>
      <c r="T888" t="inlineStr"/>
      <c r="U888" t="inlineStr"/>
      <c r="V888">
        <f>IF(OR(L888="",S888=""),"",IF(VALUE(L888)=VALUE(S888),"Y","N"))</f>
        <v/>
      </c>
      <c r="W888">
        <f>IF(V888="Y",S888,"")</f>
        <v/>
      </c>
      <c r="X888" t="inlineStr">
        <is>
          <t>RED ISLAND: 62 m of North Dysart Road at no limit between 25/35 mph on both sides (gap); is the posted limit really higher here?</t>
        </is>
      </c>
      <c r="Y888" t="inlineStr"/>
      <c r="Z888" t="n">
        <v>62</v>
      </c>
      <c r="AA888" t="inlineStr">
        <is>
          <t>suncity</t>
        </is>
      </c>
      <c r="AB888" t="inlineStr">
        <is>
          <t>suncity|33.63832,-112.34212</t>
        </is>
      </c>
    </row>
    <row r="889">
      <c r="A889" t="inlineStr">
        <is>
          <t>SUNCITY-B2-004</t>
        </is>
      </c>
      <c r="B889" t="inlineStr">
        <is>
          <t>Sun City / Sun City West, AZ</t>
        </is>
      </c>
      <c r="C889" t="inlineStr">
        <is>
          <t>North El Mirage Road</t>
        </is>
      </c>
      <c r="D889" t="inlineStr">
        <is>
          <t>West Deer Valley Access Road</t>
        </is>
      </c>
      <c r="E889" t="inlineStr">
        <is>
          <t>(see map link)</t>
        </is>
      </c>
      <c r="F889" t="inlineStr"/>
      <c r="G889" t="n">
        <v>45</v>
      </c>
      <c r="H889" t="inlineStr">
        <is>
          <t>mapillary</t>
        </is>
      </c>
      <c r="I889" t="inlineStr">
        <is>
          <t>no</t>
        </is>
      </c>
      <c r="J889" t="inlineStr">
        <is>
          <t>https://www.google.com/maps/@?api=1&amp;map_action=pano&amp;viewpoint=33.683965,-112.327660&amp;heading=113</t>
        </is>
      </c>
      <c r="K889" t="inlineStr">
        <is>
          <t>https://www.google.com/maps/search/?api=1&amp;query=33.683965,-112.327660</t>
        </is>
      </c>
      <c r="L889" t="inlineStr"/>
      <c r="M889" t="inlineStr"/>
      <c r="N889" t="inlineStr"/>
      <c r="O889" t="inlineStr"/>
      <c r="P889" t="inlineStr">
        <is>
          <t>pending</t>
        </is>
      </c>
      <c r="Q889" t="inlineStr"/>
      <c r="R889" t="inlineStr"/>
      <c r="S889" t="inlineStr"/>
      <c r="T889" t="inlineStr">
        <is>
          <t>Mapillary: 1 posted 45 mph sign(s) detected</t>
        </is>
      </c>
      <c r="U889" t="inlineStr">
        <is>
          <t>https://www.mapillary.com/app/?lat=33.683884&amp;lng=-112.327896&amp;z=19&amp;focus=map&amp;mapFeatureId=377040693644675</t>
        </is>
      </c>
      <c r="V889">
        <f>IF(OR(L889="",S889=""),"",IF(VALUE(L889)=VALUE(S889),"Y","N"))</f>
        <v/>
      </c>
      <c r="W889">
        <f>IF(V889="Y",S889,"")</f>
        <v/>
      </c>
      <c r="X889" t="inlineStr">
        <is>
          <t>RED ISLAND: 329 m of North El Mirage Road at 45 mph between 35 mph on both sides (single); is the posted limit really higher here?</t>
        </is>
      </c>
      <c r="Y889" t="inlineStr"/>
      <c r="Z889" t="n">
        <v>329</v>
      </c>
      <c r="AA889" t="inlineStr">
        <is>
          <t>suncity</t>
        </is>
      </c>
      <c r="AB889" t="inlineStr">
        <is>
          <t>suncity|33.68397,-112.32766</t>
        </is>
      </c>
    </row>
    <row r="890">
      <c r="A890" t="inlineStr">
        <is>
          <t>SUNCITY-B2-005</t>
        </is>
      </c>
      <c r="B890" t="inlineStr">
        <is>
          <t>Sun City / Sun City West, AZ</t>
        </is>
      </c>
      <c r="C890" t="inlineStr">
        <is>
          <t>North El Mirage Road</t>
        </is>
      </c>
      <c r="D890" t="inlineStr">
        <is>
          <t>(see map link)</t>
        </is>
      </c>
      <c r="E890" t="inlineStr">
        <is>
          <t>(see map link)</t>
        </is>
      </c>
      <c r="F890" t="inlineStr"/>
      <c r="G890" t="n">
        <v>45</v>
      </c>
      <c r="H890" t="inlineStr">
        <is>
          <t>tag</t>
        </is>
      </c>
      <c r="I890" t="inlineStr">
        <is>
          <t>no</t>
        </is>
      </c>
      <c r="J890" t="inlineStr">
        <is>
          <t>https://www.google.com/maps/@?api=1&amp;map_action=pano&amp;viewpoint=33.662180,-112.324240&amp;heading=182</t>
        </is>
      </c>
      <c r="K890" t="inlineStr">
        <is>
          <t>https://www.google.com/maps/search/?api=1&amp;query=33.662180,-112.324240</t>
        </is>
      </c>
      <c r="L890" t="inlineStr"/>
      <c r="M890" t="inlineStr"/>
      <c r="N890" t="inlineStr"/>
      <c r="O890" t="inlineStr"/>
      <c r="P890" t="inlineStr">
        <is>
          <t>pending</t>
        </is>
      </c>
      <c r="Q890" t="inlineStr"/>
      <c r="R890" t="inlineStr"/>
      <c r="S890" t="inlineStr"/>
      <c r="T890" t="inlineStr"/>
      <c r="U890" t="inlineStr"/>
      <c r="V890">
        <f>IF(OR(L890="",S890=""),"",IF(VALUE(L890)=VALUE(S890),"Y","N"))</f>
        <v/>
      </c>
      <c r="W890">
        <f>IF(V890="Y",S890,"")</f>
        <v/>
      </c>
      <c r="X890" t="inlineStr">
        <is>
          <t>RED ISLAND: 657 m of North El Mirage Road at 45 mph between 35 mph on both sides (single); is the posted limit really higher here?</t>
        </is>
      </c>
      <c r="Y890" t="inlineStr"/>
      <c r="Z890" t="n">
        <v>657</v>
      </c>
      <c r="AA890" t="inlineStr">
        <is>
          <t>suncity</t>
        </is>
      </c>
      <c r="AB890" t="inlineStr">
        <is>
          <t>suncity|33.66218,-112.32424</t>
        </is>
      </c>
    </row>
    <row r="891">
      <c r="A891" t="inlineStr">
        <is>
          <t>SUNCITY-B2-006</t>
        </is>
      </c>
      <c r="B891" t="inlineStr">
        <is>
          <t>Sun City / Sun City West, AZ</t>
        </is>
      </c>
      <c r="C891" t="inlineStr">
        <is>
          <t>West Thompson Ranch Road</t>
        </is>
      </c>
      <c r="D891" t="inlineStr">
        <is>
          <t>(see map link)</t>
        </is>
      </c>
      <c r="E891" t="inlineStr">
        <is>
          <t>(see map link)</t>
        </is>
      </c>
      <c r="F891" t="inlineStr"/>
      <c r="G891" t="n">
        <v>40</v>
      </c>
      <c r="H891" t="inlineStr">
        <is>
          <t>mapillary</t>
        </is>
      </c>
      <c r="I891" t="inlineStr">
        <is>
          <t>no</t>
        </is>
      </c>
      <c r="J891" t="inlineStr">
        <is>
          <t>https://www.google.com/maps/@?api=1&amp;map_action=pano&amp;viewpoint=33.614950,-112.312440&amp;heading=347</t>
        </is>
      </c>
      <c r="K891" t="inlineStr">
        <is>
          <t>https://www.google.com/maps/search/?api=1&amp;query=33.614950,-112.312440</t>
        </is>
      </c>
      <c r="L891" t="inlineStr"/>
      <c r="M891" t="inlineStr"/>
      <c r="N891" t="inlineStr"/>
      <c r="O891" t="inlineStr"/>
      <c r="P891" t="inlineStr">
        <is>
          <t>pending</t>
        </is>
      </c>
      <c r="Q891" t="inlineStr"/>
      <c r="R891" t="inlineStr"/>
      <c r="S891" t="inlineStr"/>
      <c r="T891" t="inlineStr">
        <is>
          <t>Mapillary: 2 posted 40 mph sign(s) detected</t>
        </is>
      </c>
      <c r="U891" t="inlineStr">
        <is>
          <t>https://www.mapillary.com/app/?lat=33.613647&amp;lng=-112.312164&amp;z=19&amp;focus=map&amp;mapFeatureId=263007665507990</t>
        </is>
      </c>
      <c r="V891">
        <f>IF(OR(L891="",S891=""),"",IF(VALUE(L891)=VALUE(S891),"Y","N"))</f>
        <v/>
      </c>
      <c r="W891">
        <f>IF(V891="Y",S891,"")</f>
        <v/>
      </c>
      <c r="X891" t="inlineStr">
        <is>
          <t>RED ISLAND: 301 m of West Thompson Ranch Road at 40 mph between 35 mph on both sides (confirmed); is the posted limit really higher here?</t>
        </is>
      </c>
      <c r="Y891" t="inlineStr"/>
      <c r="Z891" t="n">
        <v>301</v>
      </c>
      <c r="AA891" t="inlineStr">
        <is>
          <t>suncity</t>
        </is>
      </c>
      <c r="AB891" t="inlineStr">
        <is>
          <t>suncity|33.61495,-112.31244</t>
        </is>
      </c>
    </row>
    <row r="892">
      <c r="A892" t="inlineStr">
        <is>
          <t>SUNCITY-B2-007</t>
        </is>
      </c>
      <c r="B892" t="inlineStr">
        <is>
          <t>Sun City / Sun City West, AZ</t>
        </is>
      </c>
      <c r="C892" t="inlineStr">
        <is>
          <t>West Bell Road</t>
        </is>
      </c>
      <c r="D892" t="inlineStr">
        <is>
          <t>(see map link)</t>
        </is>
      </c>
      <c r="E892" t="inlineStr">
        <is>
          <t>North 134th Avenue</t>
        </is>
      </c>
      <c r="F892" t="inlineStr"/>
      <c r="G892" t="n">
        <v>45</v>
      </c>
      <c r="H892" t="inlineStr">
        <is>
          <t>city/county</t>
        </is>
      </c>
      <c r="I892" t="inlineStr">
        <is>
          <t>no</t>
        </is>
      </c>
      <c r="J892" t="inlineStr">
        <is>
          <t>https://www.google.com/maps/@?api=1&amp;map_action=pano&amp;viewpoint=33.638730,-112.347015&amp;heading=270</t>
        </is>
      </c>
      <c r="K892" t="inlineStr">
        <is>
          <t>https://www.google.com/maps/search/?api=1&amp;query=33.638730,-112.347015</t>
        </is>
      </c>
      <c r="L892" t="inlineStr"/>
      <c r="M892" t="inlineStr"/>
      <c r="N892" t="inlineStr"/>
      <c r="O892" t="inlineStr"/>
      <c r="P892" t="inlineStr">
        <is>
          <t>pending</t>
        </is>
      </c>
      <c r="Q892" t="inlineStr"/>
      <c r="R892" t="inlineStr"/>
      <c r="S892" t="inlineStr"/>
      <c r="T892" t="inlineStr">
        <is>
          <t>FHWA 2022 speed limit study (HPMS 2020, NHS roads): 07  BELL                RD posted 45 mph</t>
        </is>
      </c>
      <c r="U892" t="inlineStr">
        <is>
          <t>https://geo.dot.gov/server/rest/services/Hosted/FHWA__2022_Speed_Limit_Study_Results__All_States/FeatureServer/0</t>
        </is>
      </c>
      <c r="V892">
        <f>IF(OR(L892="",S892=""),"",IF(VALUE(L892)=VALUE(S892),"Y","N"))</f>
        <v/>
      </c>
      <c r="W892">
        <f>IF(V892="Y",S892,"")</f>
        <v/>
      </c>
      <c r="X892" t="inlineStr">
        <is>
          <t>RED ISLAND: 283 m of West Bell Road at 45 mph between 35 mph on both sides (confirmed); is the posted limit really higher here?</t>
        </is>
      </c>
      <c r="Y892" t="inlineStr"/>
      <c r="Z892" t="n">
        <v>283</v>
      </c>
      <c r="AA892" t="inlineStr">
        <is>
          <t>suncity</t>
        </is>
      </c>
      <c r="AB892" t="inlineStr">
        <is>
          <t>suncity|33.63873,-112.34701</t>
        </is>
      </c>
    </row>
    <row r="893">
      <c r="A893" t="inlineStr">
        <is>
          <t>SUNCITY-B2-008</t>
        </is>
      </c>
      <c r="B893" t="inlineStr">
        <is>
          <t>Sun City / Sun City West, AZ</t>
        </is>
      </c>
      <c r="C893" t="inlineStr">
        <is>
          <t>West Thompson Ranch Road</t>
        </is>
      </c>
      <c r="D893" t="inlineStr">
        <is>
          <t>West Mauna Loa Lane</t>
        </is>
      </c>
      <c r="E893" t="inlineStr">
        <is>
          <t>(see map link)</t>
        </is>
      </c>
      <c r="F893" t="inlineStr"/>
      <c r="G893" t="n">
        <v>40</v>
      </c>
      <c r="H893" t="inlineStr">
        <is>
          <t>mapillary</t>
        </is>
      </c>
      <c r="I893" t="inlineStr">
        <is>
          <t>no</t>
        </is>
      </c>
      <c r="J893" t="inlineStr">
        <is>
          <t>https://www.google.com/maps/@?api=1&amp;map_action=pano&amp;viewpoint=33.618710,-112.316905&amp;heading=312</t>
        </is>
      </c>
      <c r="K893" t="inlineStr">
        <is>
          <t>https://www.google.com/maps/search/?api=1&amp;query=33.618710,-112.316905</t>
        </is>
      </c>
      <c r="L893" t="inlineStr"/>
      <c r="M893" t="inlineStr"/>
      <c r="N893" t="inlineStr"/>
      <c r="O893" t="inlineStr"/>
      <c r="P893" t="inlineStr">
        <is>
          <t>pending</t>
        </is>
      </c>
      <c r="Q893" t="inlineStr"/>
      <c r="R893" t="inlineStr"/>
      <c r="S893" t="inlineStr"/>
      <c r="T893" t="inlineStr">
        <is>
          <t>Mapillary: 2 posted 40 mph sign(s) detected</t>
        </is>
      </c>
      <c r="U893" t="inlineStr">
        <is>
          <t>https://www.mapillary.com/app/?lat=33.618835&amp;lng=-112.316970&amp;z=19&amp;focus=map&amp;mapFeatureId=191262726153799</t>
        </is>
      </c>
      <c r="V893">
        <f>IF(OR(L893="",S893=""),"",IF(VALUE(L893)=VALUE(S893),"Y","N"))</f>
        <v/>
      </c>
      <c r="W893">
        <f>IF(V893="Y",S893,"")</f>
        <v/>
      </c>
      <c r="X893" t="inlineStr">
        <is>
          <t>RED ISLAND: 43 m of West Thompson Ranch Road at 40 mph between 35 mph on both sides (confirmed); is the posted limit really higher here?</t>
        </is>
      </c>
      <c r="Y893" t="inlineStr"/>
      <c r="Z893" t="n">
        <v>43</v>
      </c>
      <c r="AA893" t="inlineStr">
        <is>
          <t>suncity</t>
        </is>
      </c>
      <c r="AB893" t="inlineStr">
        <is>
          <t>suncity|33.61871,-112.31691</t>
        </is>
      </c>
    </row>
    <row r="894">
      <c r="A894" t="inlineStr">
        <is>
          <t>SUNCITY-B2-009</t>
        </is>
      </c>
      <c r="B894" t="inlineStr">
        <is>
          <t>Sun City / Sun City West, AZ</t>
        </is>
      </c>
      <c r="C894" t="inlineStr">
        <is>
          <t>West Deer Valley Drive</t>
        </is>
      </c>
      <c r="D894" t="inlineStr">
        <is>
          <t>(see map link)</t>
        </is>
      </c>
      <c r="E894" t="inlineStr">
        <is>
          <t>(see map link)</t>
        </is>
      </c>
      <c r="F894" t="inlineStr"/>
      <c r="G894" t="n">
        <v>40</v>
      </c>
      <c r="H894" t="inlineStr">
        <is>
          <t>mapillary</t>
        </is>
      </c>
      <c r="I894" t="inlineStr">
        <is>
          <t>no</t>
        </is>
      </c>
      <c r="J894" t="inlineStr">
        <is>
          <t>https://www.google.com/maps/@?api=1&amp;map_action=pano&amp;viewpoint=33.682070,-112.350160&amp;heading=270</t>
        </is>
      </c>
      <c r="K894" t="inlineStr">
        <is>
          <t>https://www.google.com/maps/search/?api=1&amp;query=33.682070,-112.350160</t>
        </is>
      </c>
      <c r="L894" t="inlineStr"/>
      <c r="M894" t="inlineStr"/>
      <c r="N894" t="inlineStr"/>
      <c r="O894" t="inlineStr"/>
      <c r="P894" t="inlineStr">
        <is>
          <t>pending</t>
        </is>
      </c>
      <c r="Q894" t="inlineStr"/>
      <c r="R894" t="inlineStr"/>
      <c r="S894" t="inlineStr"/>
      <c r="T894" t="inlineStr">
        <is>
          <t>Mapillary: 2 posted 40 mph sign(s) detected</t>
        </is>
      </c>
      <c r="U894" t="inlineStr">
        <is>
          <t>https://www.mapillary.com/app/?lat=33.681973&amp;lng=-112.350250&amp;z=19&amp;focus=map&amp;mapFeatureId=142142321223932</t>
        </is>
      </c>
      <c r="V894">
        <f>IF(OR(L894="",S894=""),"",IF(VALUE(L894)=VALUE(S894),"Y","N"))</f>
        <v/>
      </c>
      <c r="W894">
        <f>IF(V894="Y",S894,"")</f>
        <v/>
      </c>
      <c r="X894" t="inlineStr">
        <is>
          <t>RED ISLAND: 193 m of West Deer Valley Drive at 40 mph between 25 mph on both sides (confirmed); is the posted limit really higher here?</t>
        </is>
      </c>
      <c r="Y894" t="inlineStr"/>
      <c r="Z894" t="n">
        <v>193</v>
      </c>
      <c r="AA894" t="inlineStr">
        <is>
          <t>suncity</t>
        </is>
      </c>
      <c r="AB894" t="inlineStr">
        <is>
          <t>suncity|33.68207,-112.35016</t>
        </is>
      </c>
    </row>
    <row r="895">
      <c r="A895" t="inlineStr">
        <is>
          <t>SUNCITYCENTER-B2-001</t>
        </is>
      </c>
      <c r="B895" t="inlineStr">
        <is>
          <t>Sun City Center, FL</t>
        </is>
      </c>
      <c r="C895" t="inlineStr">
        <is>
          <t>30th Street Northeast</t>
        </is>
      </c>
      <c r="D895" t="inlineStr">
        <is>
          <t>19th Avenue Northeast</t>
        </is>
      </c>
      <c r="E895" t="inlineStr">
        <is>
          <t>(see map link)</t>
        </is>
      </c>
      <c r="F895" t="inlineStr"/>
      <c r="G895" t="n">
        <v>40</v>
      </c>
      <c r="H895" t="inlineStr">
        <is>
          <t>mapillary</t>
        </is>
      </c>
      <c r="I895" t="inlineStr">
        <is>
          <t>no</t>
        </is>
      </c>
      <c r="J895" t="inlineStr">
        <is>
          <t>https://www.google.com/maps/@?api=1&amp;map_action=pano&amp;viewpoint=27.730960,-82.392080&amp;heading=143</t>
        </is>
      </c>
      <c r="K895" t="inlineStr">
        <is>
          <t>https://www.google.com/maps/search/?api=1&amp;query=27.730960,-82.392080</t>
        </is>
      </c>
      <c r="L895" t="inlineStr"/>
      <c r="M895" t="inlineStr"/>
      <c r="N895" t="inlineStr"/>
      <c r="O895" t="inlineStr"/>
      <c r="P895" t="inlineStr">
        <is>
          <t>pending</t>
        </is>
      </c>
      <c r="Q895" t="inlineStr"/>
      <c r="R895" t="inlineStr"/>
      <c r="S895" t="inlineStr"/>
      <c r="T895" t="inlineStr">
        <is>
          <t>Mapillary: 5 posted 40 mph sign(s) detected</t>
        </is>
      </c>
      <c r="U895" t="inlineStr">
        <is>
          <t>https://www.mapillary.com/app/?lat=27.729233&amp;lng=-82.391710&amp;z=19&amp;focus=map&amp;mapFeatureId=1284271578709433</t>
        </is>
      </c>
      <c r="V895">
        <f>IF(OR(L895="",S895=""),"",IF(VALUE(L895)=VALUE(S895),"Y","N"))</f>
        <v/>
      </c>
      <c r="W895">
        <f>IF(V895="Y",S895,"")</f>
        <v/>
      </c>
      <c r="X895" t="inlineStr">
        <is>
          <t>RED ISLAND: 730 m of 30th Street Northeast at 40 mph between 25 mph on both sides (confirmed); is the posted limit really higher here?</t>
        </is>
      </c>
      <c r="Y895" t="inlineStr"/>
      <c r="Z895" t="n">
        <v>730</v>
      </c>
      <c r="AA895" t="inlineStr">
        <is>
          <t>suncitycenter</t>
        </is>
      </c>
      <c r="AB895" t="inlineStr">
        <is>
          <t>suncitycenter|27.73096,-82.39208</t>
        </is>
      </c>
    </row>
    <row r="896">
      <c r="A896" t="inlineStr">
        <is>
          <t>SUNCITYCENTER-B2-002</t>
        </is>
      </c>
      <c r="B896" t="inlineStr">
        <is>
          <t>Sun City Center, FL</t>
        </is>
      </c>
      <c r="C896" t="inlineStr">
        <is>
          <t>24th Street Southeast</t>
        </is>
      </c>
      <c r="D896" t="inlineStr">
        <is>
          <t>21st Avenue Southeast</t>
        </is>
      </c>
      <c r="E896" t="inlineStr">
        <is>
          <t>21st Avenue Southeast</t>
        </is>
      </c>
      <c r="F896" t="inlineStr"/>
      <c r="G896" t="n">
        <v>45</v>
      </c>
      <c r="H896" t="inlineStr">
        <is>
          <t>city/county</t>
        </is>
      </c>
      <c r="I896" t="inlineStr">
        <is>
          <t>no</t>
        </is>
      </c>
      <c r="J896" t="inlineStr">
        <is>
          <t>https://www.google.com/maps/@?api=1&amp;map_action=pano&amp;viewpoint=27.696420,-82.402275&amp;heading=0</t>
        </is>
      </c>
      <c r="K896" t="inlineStr">
        <is>
          <t>https://www.google.com/maps/search/?api=1&amp;query=27.696420,-82.402275</t>
        </is>
      </c>
      <c r="L896" t="inlineStr"/>
      <c r="M896" t="inlineStr"/>
      <c r="N896" t="inlineStr"/>
      <c r="O896" t="inlineStr"/>
      <c r="P896" t="inlineStr">
        <is>
          <t>pending</t>
        </is>
      </c>
      <c r="Q896" t="inlineStr"/>
      <c r="R896" t="inlineStr"/>
      <c r="S896" t="inlineStr"/>
      <c r="T896" t="inlineStr">
        <is>
          <t>FDOT Maximum Speed Limit (TDA): 10000038 posted 45 mph</t>
        </is>
      </c>
      <c r="U896" t="inlineStr">
        <is>
          <t>https://gis-fdot.opendata.arcgis.com/datasets/maximum-speed-limit-tda</t>
        </is>
      </c>
      <c r="V896">
        <f>IF(OR(L896="",S896=""),"",IF(VALUE(L896)=VALUE(S896),"Y","N"))</f>
        <v/>
      </c>
      <c r="W896">
        <f>IF(V896="Y",S896,"")</f>
        <v/>
      </c>
      <c r="X896" t="inlineStr">
        <is>
          <t>RED ISLAND: 469 m of 24th Street Southeast at 45 mph between 25 mph on both sides (confirmed); is the posted limit really higher here?</t>
        </is>
      </c>
      <c r="Y896" t="inlineStr"/>
      <c r="Z896" t="n">
        <v>469</v>
      </c>
      <c r="AA896" t="inlineStr">
        <is>
          <t>suncitycenter</t>
        </is>
      </c>
      <c r="AB896" t="inlineStr">
        <is>
          <t>suncitycenter|27.69642,-82.40228</t>
        </is>
      </c>
    </row>
    <row r="897">
      <c r="A897" t="inlineStr">
        <is>
          <t>SUNCITYCENTER-B2-003</t>
        </is>
      </c>
      <c r="B897" t="inlineStr">
        <is>
          <t>Sun City Center, FL</t>
        </is>
      </c>
      <c r="C897" t="inlineStr">
        <is>
          <t>24th Street Southeast</t>
        </is>
      </c>
      <c r="D897" t="inlineStr">
        <is>
          <t>(see map link)</t>
        </is>
      </c>
      <c r="E897" t="inlineStr">
        <is>
          <t>East College Avenue</t>
        </is>
      </c>
      <c r="F897" t="inlineStr"/>
      <c r="G897" t="n">
        <v>50</v>
      </c>
      <c r="H897" t="inlineStr">
        <is>
          <t>city/county</t>
        </is>
      </c>
      <c r="I897" t="inlineStr">
        <is>
          <t>no</t>
        </is>
      </c>
      <c r="J897" t="inlineStr">
        <is>
          <t>https://www.google.com/maps/@?api=1&amp;map_action=pano&amp;viewpoint=27.712285,-82.402200&amp;heading=1</t>
        </is>
      </c>
      <c r="K897" t="inlineStr">
        <is>
          <t>https://www.google.com/maps/search/?api=1&amp;query=27.712285,-82.402200</t>
        </is>
      </c>
      <c r="L897" t="inlineStr"/>
      <c r="M897" t="inlineStr"/>
      <c r="N897" t="inlineStr"/>
      <c r="O897" t="inlineStr"/>
      <c r="P897" t="inlineStr">
        <is>
          <t>pending</t>
        </is>
      </c>
      <c r="Q897" t="inlineStr"/>
      <c r="R897" t="inlineStr"/>
      <c r="S897" t="inlineStr"/>
      <c r="T897" t="inlineStr">
        <is>
          <t>FHWA 2022 speed limit study (HPMS 2020, NHS roads): 10120000 posted 50 mph</t>
        </is>
      </c>
      <c r="U897" t="inlineStr">
        <is>
          <t>https://geo.dot.gov/server/rest/services/Hosted/FHWA__2022_Speed_Limit_Study_Results__All_States/FeatureServer/0</t>
        </is>
      </c>
      <c r="V897">
        <f>IF(OR(L897="",S897=""),"",IF(VALUE(L897)=VALUE(S897),"Y","N"))</f>
        <v/>
      </c>
      <c r="W897">
        <f>IF(V897="Y",S897,"")</f>
        <v/>
      </c>
      <c r="X897" t="inlineStr">
        <is>
          <t>RED ISLAND: 198 m of 24th Street Southeast at 50 mph between 25 mph on both sides (confirmed); is the posted limit really higher here?</t>
        </is>
      </c>
      <c r="Y897" t="inlineStr"/>
      <c r="Z897" t="n">
        <v>198</v>
      </c>
      <c r="AA897" t="inlineStr">
        <is>
          <t>suncitycenter</t>
        </is>
      </c>
      <c r="AB897" t="inlineStr">
        <is>
          <t>suncitycenter|27.71229,-82.40220</t>
        </is>
      </c>
    </row>
    <row r="898">
      <c r="A898" t="inlineStr">
        <is>
          <t>VILLAGES-B2-001</t>
        </is>
      </c>
      <c r="B898" t="inlineStr">
        <is>
          <t>The Villages, FL</t>
        </is>
      </c>
      <c r="C898" t="inlineStr">
        <is>
          <t>West Main Street</t>
        </is>
      </c>
      <c r="D898" t="inlineStr">
        <is>
          <t>Butler Street</t>
        </is>
      </c>
      <c r="E898" t="inlineStr">
        <is>
          <t>County Road 468</t>
        </is>
      </c>
      <c r="F898" t="inlineStr"/>
      <c r="G898" t="inlineStr"/>
      <c r="H898" t="inlineStr">
        <is>
          <t>inferred</t>
        </is>
      </c>
      <c r="I898" t="inlineStr">
        <is>
          <t>no</t>
        </is>
      </c>
      <c r="J898" t="inlineStr">
        <is>
          <t>https://www.google.com/maps/@?api=1&amp;map_action=pano&amp;viewpoint=28.812870,-81.910175&amp;heading=266</t>
        </is>
      </c>
      <c r="K898" t="inlineStr">
        <is>
          <t>https://www.google.com/maps/search/?api=1&amp;query=28.812870,-81.910175</t>
        </is>
      </c>
      <c r="L898" t="inlineStr"/>
      <c r="M898" t="inlineStr"/>
      <c r="N898" t="inlineStr"/>
      <c r="O898" t="inlineStr"/>
      <c r="P898" t="inlineStr">
        <is>
          <t>pending</t>
        </is>
      </c>
      <c r="Q898" t="inlineStr"/>
      <c r="R898" t="inlineStr"/>
      <c r="S898" t="inlineStr"/>
      <c r="T898" t="inlineStr"/>
      <c r="U898" t="inlineStr"/>
      <c r="V898">
        <f>IF(OR(L898="",S898=""),"",IF(VALUE(L898)=VALUE(S898),"Y","N"))</f>
        <v/>
      </c>
      <c r="W898">
        <f>IF(V898="Y",S898,"")</f>
        <v/>
      </c>
      <c r="X898" t="inlineStr">
        <is>
          <t>unverified: map has no limit (guessed from road type); main road: what is posted? 35 or lower opens it to LSVs</t>
        </is>
      </c>
      <c r="Y898" t="inlineStr"/>
      <c r="Z898" t="n">
        <v>2265</v>
      </c>
      <c r="AA898" t="inlineStr">
        <is>
          <t>villages</t>
        </is>
      </c>
      <c r="AB898" t="inlineStr">
        <is>
          <t>villages|28.81287,-81.91018</t>
        </is>
      </c>
    </row>
    <row r="899">
      <c r="A899" t="inlineStr">
        <is>
          <t>VILLAGES-B2-002</t>
        </is>
      </c>
      <c r="B899" t="inlineStr">
        <is>
          <t>The Villages, FL</t>
        </is>
      </c>
      <c r="C899" t="inlineStr">
        <is>
          <t>Miller Boulevard</t>
        </is>
      </c>
      <c r="D899" t="inlineStr">
        <is>
          <t>West Miller Street</t>
        </is>
      </c>
      <c r="E899" t="inlineStr">
        <is>
          <t>County Road 466A</t>
        </is>
      </c>
      <c r="F899" t="inlineStr"/>
      <c r="G899" t="inlineStr"/>
      <c r="H899" t="inlineStr">
        <is>
          <t>inferred</t>
        </is>
      </c>
      <c r="I899" t="inlineStr">
        <is>
          <t>no</t>
        </is>
      </c>
      <c r="J899" t="inlineStr">
        <is>
          <t>https://www.google.com/maps/@?api=1&amp;map_action=pano&amp;viewpoint=28.861585,-81.939915&amp;heading=90</t>
        </is>
      </c>
      <c r="K899" t="inlineStr">
        <is>
          <t>https://www.google.com/maps/search/?api=1&amp;query=28.861585,-81.939915</t>
        </is>
      </c>
      <c r="L899" t="inlineStr"/>
      <c r="M899" t="inlineStr"/>
      <c r="N899" t="inlineStr"/>
      <c r="O899" t="inlineStr"/>
      <c r="P899" t="inlineStr">
        <is>
          <t>pending</t>
        </is>
      </c>
      <c r="Q899" t="inlineStr"/>
      <c r="R899" t="inlineStr"/>
      <c r="S899" t="inlineStr"/>
      <c r="T899" t="inlineStr"/>
      <c r="U899" t="inlineStr"/>
      <c r="V899">
        <f>IF(OR(L899="",S899=""),"",IF(VALUE(L899)=VALUE(S899),"Y","N"))</f>
        <v/>
      </c>
      <c r="W899">
        <f>IF(V899="Y",S899,"")</f>
        <v/>
      </c>
      <c r="X899" t="inlineStr">
        <is>
          <t>unverified: map has no limit (guessed from road type); main road: what is posted? 35 or lower opens it to LSVs</t>
        </is>
      </c>
      <c r="Y899" t="inlineStr"/>
      <c r="Z899" t="n">
        <v>3660</v>
      </c>
      <c r="AA899" t="inlineStr">
        <is>
          <t>villages</t>
        </is>
      </c>
      <c r="AB899" t="inlineStr">
        <is>
          <t>villages|28.86158,-81.93991</t>
        </is>
      </c>
    </row>
    <row r="900">
      <c r="A900" t="inlineStr">
        <is>
          <t>VILLAGES-B2-003</t>
        </is>
      </c>
      <c r="B900" t="inlineStr">
        <is>
          <t>The Villages, FL</t>
        </is>
      </c>
      <c r="C900" t="inlineStr">
        <is>
          <t>West Miller Street</t>
        </is>
      </c>
      <c r="D900" t="inlineStr">
        <is>
          <t>Poinsettia Avenue</t>
        </is>
      </c>
      <c r="E900" t="inlineStr">
        <is>
          <t>Century Avenue</t>
        </is>
      </c>
      <c r="F900" t="inlineStr"/>
      <c r="G900" t="inlineStr"/>
      <c r="H900" t="inlineStr">
        <is>
          <t>inferred</t>
        </is>
      </c>
      <c r="I900" t="inlineStr">
        <is>
          <t>no</t>
        </is>
      </c>
      <c r="J900" t="inlineStr">
        <is>
          <t>https://www.google.com/maps/@?api=1&amp;map_action=pano&amp;viewpoint=28.861490,-81.913270&amp;heading=91</t>
        </is>
      </c>
      <c r="K900" t="inlineStr">
        <is>
          <t>https://www.google.com/maps/search/?api=1&amp;query=28.861490,-81.913270</t>
        </is>
      </c>
      <c r="L900" t="inlineStr"/>
      <c r="M900" t="inlineStr"/>
      <c r="N900" t="inlineStr"/>
      <c r="O900" t="inlineStr"/>
      <c r="P900" t="inlineStr">
        <is>
          <t>pending</t>
        </is>
      </c>
      <c r="Q900" t="inlineStr"/>
      <c r="R900" t="inlineStr"/>
      <c r="S900" t="inlineStr"/>
      <c r="T900" t="inlineStr"/>
      <c r="U900" t="inlineStr"/>
      <c r="V900">
        <f>IF(OR(L900="",S900=""),"",IF(VALUE(L900)=VALUE(S900),"Y","N"))</f>
        <v/>
      </c>
      <c r="W900">
        <f>IF(V900="Y",S900,"")</f>
        <v/>
      </c>
      <c r="X900" t="inlineStr">
        <is>
          <t>unverified: map has no limit (guessed from road type); main road: what is posted? 35 or lower opens it to LSVs</t>
        </is>
      </c>
      <c r="Y900" t="inlineStr"/>
      <c r="Z900" t="n">
        <v>1587</v>
      </c>
      <c r="AA900" t="inlineStr">
        <is>
          <t>villages</t>
        </is>
      </c>
      <c r="AB900" t="inlineStr">
        <is>
          <t>villages|28.86149,-81.91327</t>
        </is>
      </c>
    </row>
    <row r="901">
      <c r="A901" t="inlineStr">
        <is>
          <t>VILLAGES-B2-004</t>
        </is>
      </c>
      <c r="B901" t="inlineStr">
        <is>
          <t>The Villages, FL</t>
        </is>
      </c>
      <c r="C901" t="inlineStr">
        <is>
          <t>CR 466</t>
        </is>
      </c>
      <c r="D901" t="inlineStr">
        <is>
          <t>Rolling Acres Road</t>
        </is>
      </c>
      <c r="E901" t="inlineStr">
        <is>
          <t>Spring Arbor Lane</t>
        </is>
      </c>
      <c r="F901" t="inlineStr"/>
      <c r="G901" t="inlineStr"/>
      <c r="H901" t="inlineStr">
        <is>
          <t>inferred</t>
        </is>
      </c>
      <c r="I901" t="inlineStr">
        <is>
          <t>no</t>
        </is>
      </c>
      <c r="J901" t="inlineStr">
        <is>
          <t>https://www.google.com/maps/@?api=1&amp;map_action=pano&amp;viewpoint=28.916610,-81.925780&amp;heading=84</t>
        </is>
      </c>
      <c r="K901" t="inlineStr">
        <is>
          <t>https://www.google.com/maps/search/?api=1&amp;query=28.916610,-81.925780</t>
        </is>
      </c>
      <c r="L901" t="inlineStr"/>
      <c r="M901" t="inlineStr"/>
      <c r="N901" t="inlineStr"/>
      <c r="O901" t="inlineStr"/>
      <c r="P901" t="inlineStr">
        <is>
          <t>pending</t>
        </is>
      </c>
      <c r="Q901" t="inlineStr"/>
      <c r="R901" t="inlineStr"/>
      <c r="S901" t="inlineStr"/>
      <c r="T901" t="inlineStr"/>
      <c r="U901" t="inlineStr"/>
      <c r="V901">
        <f>IF(OR(L901="",S901=""),"",IF(VALUE(L901)=VALUE(S901),"Y","N"))</f>
        <v/>
      </c>
      <c r="W901">
        <f>IF(V901="Y",S901,"")</f>
        <v/>
      </c>
      <c r="X901" t="inlineStr">
        <is>
          <t>unverified: map has no limit (guessed from road type); main road: what is posted? 35 or lower opens it to LSVs</t>
        </is>
      </c>
      <c r="Y901" t="inlineStr"/>
      <c r="Z901" t="n">
        <v>6118</v>
      </c>
      <c r="AA901" t="inlineStr">
        <is>
          <t>villages</t>
        </is>
      </c>
      <c r="AB901" t="inlineStr">
        <is>
          <t>villages|28.91661,-81.92578</t>
        </is>
      </c>
    </row>
    <row r="902">
      <c r="A902" t="inlineStr">
        <is>
          <t>VILLAGES-B2-005</t>
        </is>
      </c>
      <c r="B902" t="inlineStr">
        <is>
          <t>The Villages, FL</t>
        </is>
      </c>
      <c r="C902" t="inlineStr">
        <is>
          <t>Southeast County Road 42</t>
        </is>
      </c>
      <c r="D902" t="inlineStr">
        <is>
          <t>Southeast 92nd Terrace</t>
        </is>
      </c>
      <c r="E902" t="inlineStr">
        <is>
          <t>Nathan Mayo Highway</t>
        </is>
      </c>
      <c r="F902" t="inlineStr"/>
      <c r="G902" t="inlineStr"/>
      <c r="H902" t="inlineStr">
        <is>
          <t>inferred</t>
        </is>
      </c>
      <c r="I902" t="inlineStr">
        <is>
          <t>no</t>
        </is>
      </c>
      <c r="J902" t="inlineStr">
        <is>
          <t>https://www.google.com/maps/@?api=1&amp;map_action=pano&amp;viewpoint=28.981930,-81.996960&amp;heading=90</t>
        </is>
      </c>
      <c r="K902" t="inlineStr">
        <is>
          <t>https://www.google.com/maps/search/?api=1&amp;query=28.981930,-81.996960</t>
        </is>
      </c>
      <c r="L902" t="inlineStr"/>
      <c r="M902" t="inlineStr"/>
      <c r="N902" t="inlineStr"/>
      <c r="O902" t="inlineStr"/>
      <c r="P902" t="inlineStr">
        <is>
          <t>pending</t>
        </is>
      </c>
      <c r="Q902" t="inlineStr"/>
      <c r="R902" t="inlineStr"/>
      <c r="S902" t="inlineStr"/>
      <c r="T902" t="inlineStr"/>
      <c r="U902" t="inlineStr"/>
      <c r="V902">
        <f>IF(OR(L902="",S902=""),"",IF(VALUE(L902)=VALUE(S902),"Y","N"))</f>
        <v/>
      </c>
      <c r="W902">
        <f>IF(V902="Y",S902,"")</f>
        <v/>
      </c>
      <c r="X902" t="inlineStr">
        <is>
          <t>unverified: map has no limit (guessed from road type); main road: what is posted? 35 or lower opens it to LSVs</t>
        </is>
      </c>
      <c r="Y902" t="inlineStr"/>
      <c r="Z902" t="n">
        <v>5445</v>
      </c>
      <c r="AA902" t="inlineStr">
        <is>
          <t>villages</t>
        </is>
      </c>
      <c r="AB902" t="inlineStr">
        <is>
          <t>villages|28.98193,-81.99696</t>
        </is>
      </c>
    </row>
    <row r="903">
      <c r="A903" t="inlineStr">
        <is>
          <t>VILLAGES-B2-006</t>
        </is>
      </c>
      <c r="B903" t="inlineStr">
        <is>
          <t>The Villages, FL</t>
        </is>
      </c>
      <c r="C903" t="inlineStr">
        <is>
          <t>County Road 462</t>
        </is>
      </c>
      <c r="D903" t="inlineStr">
        <is>
          <t>Inspiration Drive</t>
        </is>
      </c>
      <c r="E903" t="inlineStr">
        <is>
          <t>County Road 466A</t>
        </is>
      </c>
      <c r="F903" t="inlineStr"/>
      <c r="G903" t="inlineStr"/>
      <c r="H903" t="inlineStr">
        <is>
          <t>inferred</t>
        </is>
      </c>
      <c r="I903" t="inlineStr">
        <is>
          <t>no</t>
        </is>
      </c>
      <c r="J903" t="inlineStr">
        <is>
          <t>https://www.google.com/maps/@?api=1&amp;map_action=pano&amp;viewpoint=28.883630,-82.022370&amp;heading=294</t>
        </is>
      </c>
      <c r="K903" t="inlineStr">
        <is>
          <t>https://www.google.com/maps/search/?api=1&amp;query=28.883630,-82.022370</t>
        </is>
      </c>
      <c r="L903" t="inlineStr"/>
      <c r="M903" t="inlineStr"/>
      <c r="N903" t="inlineStr"/>
      <c r="O903" t="inlineStr"/>
      <c r="P903" t="inlineStr">
        <is>
          <t>pending</t>
        </is>
      </c>
      <c r="Q903" t="inlineStr"/>
      <c r="R903" t="inlineStr"/>
      <c r="S903" t="inlineStr"/>
      <c r="T903" t="inlineStr"/>
      <c r="U903" t="inlineStr"/>
      <c r="V903">
        <f>IF(OR(L903="",S903=""),"",IF(VALUE(L903)=VALUE(S903),"Y","N"))</f>
        <v/>
      </c>
      <c r="W903">
        <f>IF(V903="Y",S903,"")</f>
        <v/>
      </c>
      <c r="X903" t="inlineStr">
        <is>
          <t>unverified: map has no limit (guessed from road type); main road: what is posted? 35 or lower opens it to LSVs</t>
        </is>
      </c>
      <c r="Y903" t="inlineStr"/>
      <c r="Z903" t="n">
        <v>3755</v>
      </c>
      <c r="AA903" t="inlineStr">
        <is>
          <t>villages</t>
        </is>
      </c>
      <c r="AB903" t="inlineStr">
        <is>
          <t>villages|28.88363,-82.02237</t>
        </is>
      </c>
    </row>
    <row r="904">
      <c r="A904" t="inlineStr">
        <is>
          <t>VILLAGES-B2-007</t>
        </is>
      </c>
      <c r="B904" t="inlineStr">
        <is>
          <t>The Villages, FL</t>
        </is>
      </c>
      <c r="C904" t="inlineStr">
        <is>
          <t>County Road 466A</t>
        </is>
      </c>
      <c r="D904" t="inlineStr">
        <is>
          <t>County Road 462</t>
        </is>
      </c>
      <c r="E904" t="inlineStr">
        <is>
          <t>Seven Mile Drive</t>
        </is>
      </c>
      <c r="F904" t="inlineStr"/>
      <c r="G904" t="inlineStr"/>
      <c r="H904" t="inlineStr">
        <is>
          <t>inferred</t>
        </is>
      </c>
      <c r="I904" t="inlineStr">
        <is>
          <t>no</t>
        </is>
      </c>
      <c r="J904" t="inlineStr">
        <is>
          <t>https://www.google.com/maps/@?api=1&amp;map_action=pano&amp;viewpoint=28.865460,-82.016165&amp;heading=270</t>
        </is>
      </c>
      <c r="K904" t="inlineStr">
        <is>
          <t>https://www.google.com/maps/search/?api=1&amp;query=28.865460,-82.016165</t>
        </is>
      </c>
      <c r="L904" t="inlineStr"/>
      <c r="M904" t="inlineStr"/>
      <c r="N904" t="inlineStr"/>
      <c r="O904" t="inlineStr"/>
      <c r="P904" t="inlineStr">
        <is>
          <t>pending</t>
        </is>
      </c>
      <c r="Q904" t="inlineStr"/>
      <c r="R904" t="inlineStr"/>
      <c r="S904" t="inlineStr"/>
      <c r="T904" t="inlineStr"/>
      <c r="U904" t="inlineStr"/>
      <c r="V904">
        <f>IF(OR(L904="",S904=""),"",IF(VALUE(L904)=VALUE(S904),"Y","N"))</f>
        <v/>
      </c>
      <c r="W904">
        <f>IF(V904="Y",S904,"")</f>
        <v/>
      </c>
      <c r="X904" t="inlineStr">
        <is>
          <t>unverified: map has no limit (guessed from road type); main road: what is posted? 35 or lower opens it to LSVs</t>
        </is>
      </c>
      <c r="Y904" t="inlineStr"/>
      <c r="Z904" t="n">
        <v>3131</v>
      </c>
      <c r="AA904" t="inlineStr">
        <is>
          <t>villages</t>
        </is>
      </c>
      <c r="AB904" t="inlineStr">
        <is>
          <t>villages|28.86546,-82.01617</t>
        </is>
      </c>
    </row>
    <row r="905">
      <c r="A905" t="inlineStr">
        <is>
          <t>VILLAGES-B2-008</t>
        </is>
      </c>
      <c r="B905" t="inlineStr">
        <is>
          <t>The Villages, FL</t>
        </is>
      </c>
      <c r="C905" t="inlineStr">
        <is>
          <t>Powell Road</t>
        </is>
      </c>
      <c r="D905" t="inlineStr">
        <is>
          <t>County Road 462</t>
        </is>
      </c>
      <c r="E905" t="inlineStr">
        <is>
          <t>Kiessel Road</t>
        </is>
      </c>
      <c r="F905" t="inlineStr"/>
      <c r="G905" t="inlineStr"/>
      <c r="H905" t="inlineStr">
        <is>
          <t>inferred</t>
        </is>
      </c>
      <c r="I905" t="inlineStr">
        <is>
          <t>no</t>
        </is>
      </c>
      <c r="J905" t="inlineStr">
        <is>
          <t>https://www.google.com/maps/@?api=1&amp;map_action=pano&amp;viewpoint=28.855680,-82.020670&amp;heading=180</t>
        </is>
      </c>
      <c r="K905" t="inlineStr">
        <is>
          <t>https://www.google.com/maps/search/?api=1&amp;query=28.855680,-82.020670</t>
        </is>
      </c>
      <c r="L905" t="inlineStr"/>
      <c r="M905" t="inlineStr"/>
      <c r="N905" t="inlineStr"/>
      <c r="O905" t="inlineStr"/>
      <c r="P905" t="inlineStr">
        <is>
          <t>pending</t>
        </is>
      </c>
      <c r="Q905" t="inlineStr"/>
      <c r="R905" t="inlineStr"/>
      <c r="S905" t="inlineStr"/>
      <c r="T905" t="inlineStr"/>
      <c r="U905" t="inlineStr"/>
      <c r="V905">
        <f>IF(OR(L905="",S905=""),"",IF(VALUE(L905)=VALUE(S905),"Y","N"))</f>
        <v/>
      </c>
      <c r="W905">
        <f>IF(V905="Y",S905,"")</f>
        <v/>
      </c>
      <c r="X905" t="inlineStr">
        <is>
          <t>unverified: map has no limit (guessed from road type); main road: what is posted? 35 or lower opens it to LSVs</t>
        </is>
      </c>
      <c r="Y905" t="inlineStr"/>
      <c r="Z905" t="n">
        <v>2310</v>
      </c>
      <c r="AA905" t="inlineStr">
        <is>
          <t>villages</t>
        </is>
      </c>
      <c r="AB905" t="inlineStr">
        <is>
          <t>villages|28.85568,-82.02067</t>
        </is>
      </c>
    </row>
    <row r="906">
      <c r="A906" t="inlineStr">
        <is>
          <t>VILLAGES-B2-009</t>
        </is>
      </c>
      <c r="B906" t="inlineStr">
        <is>
          <t>The Villages, FL</t>
        </is>
      </c>
      <c r="C906" t="inlineStr">
        <is>
          <t>Powell Road</t>
        </is>
      </c>
      <c r="D906" t="inlineStr">
        <is>
          <t>(see map link)</t>
        </is>
      </c>
      <c r="E906" t="inlineStr">
        <is>
          <t>County Road 462</t>
        </is>
      </c>
      <c r="F906" t="inlineStr"/>
      <c r="G906" t="inlineStr"/>
      <c r="H906" t="inlineStr">
        <is>
          <t>inferred</t>
        </is>
      </c>
      <c r="I906" t="inlineStr">
        <is>
          <t>no</t>
        </is>
      </c>
      <c r="J906" t="inlineStr">
        <is>
          <t>https://www.google.com/maps/@?api=1&amp;map_action=pano&amp;viewpoint=28.855440,-82.020540&amp;heading=11</t>
        </is>
      </c>
      <c r="K906" t="inlineStr">
        <is>
          <t>https://www.google.com/maps/search/?api=1&amp;query=28.855440,-82.020540</t>
        </is>
      </c>
      <c r="L906" t="inlineStr"/>
      <c r="M906" t="inlineStr"/>
      <c r="N906" t="inlineStr"/>
      <c r="O906" t="inlineStr"/>
      <c r="P906" t="inlineStr">
        <is>
          <t>pending</t>
        </is>
      </c>
      <c r="Q906" t="inlineStr"/>
      <c r="R906" t="inlineStr"/>
      <c r="S906" t="inlineStr"/>
      <c r="T906" t="inlineStr"/>
      <c r="U906" t="inlineStr"/>
      <c r="V906">
        <f>IF(OR(L906="",S906=""),"",IF(VALUE(L906)=VALUE(S906),"Y","N"))</f>
        <v/>
      </c>
      <c r="W906">
        <f>IF(V906="Y",S906,"")</f>
        <v/>
      </c>
      <c r="X906" t="inlineStr">
        <is>
          <t>unverified: map has no limit (guessed from road type); main road: what is posted? 35 or lower opens it to LSVs</t>
        </is>
      </c>
      <c r="Y906" t="inlineStr"/>
      <c r="Z906" t="n">
        <v>2314</v>
      </c>
      <c r="AA906" t="inlineStr">
        <is>
          <t>villages</t>
        </is>
      </c>
      <c r="AB906" t="inlineStr">
        <is>
          <t>villages|28.85544,-82.02054</t>
        </is>
      </c>
    </row>
    <row r="907">
      <c r="A907" t="inlineStr">
        <is>
          <t>VILLAGES-B2-010</t>
        </is>
      </c>
      <c r="B907" t="inlineStr">
        <is>
          <t>The Villages, FL</t>
        </is>
      </c>
      <c r="C907" t="inlineStr">
        <is>
          <t>Griffin Avenue</t>
        </is>
      </c>
      <c r="D907" t="inlineStr">
        <is>
          <t>(see map link)</t>
        </is>
      </c>
      <c r="E907" t="inlineStr">
        <is>
          <t>Avenida Central</t>
        </is>
      </c>
      <c r="F907" t="inlineStr"/>
      <c r="G907" t="n">
        <v>25</v>
      </c>
      <c r="H907" t="inlineStr">
        <is>
          <t>inferred</t>
        </is>
      </c>
      <c r="I907" t="inlineStr">
        <is>
          <t>cart+LSV</t>
        </is>
      </c>
      <c r="J907" t="inlineStr">
        <is>
          <t>https://www.google.com/maps/@?api=1&amp;map_action=pano&amp;viewpoint=28.939840,-81.895850&amp;heading=62</t>
        </is>
      </c>
      <c r="K907" t="inlineStr">
        <is>
          <t>https://www.google.com/maps/search/?api=1&amp;query=28.939840,-81.895850</t>
        </is>
      </c>
      <c r="L907" t="inlineStr"/>
      <c r="M907" t="inlineStr"/>
      <c r="N907" t="inlineStr"/>
      <c r="O907" t="inlineStr"/>
      <c r="P907" t="inlineStr">
        <is>
          <t>pending</t>
        </is>
      </c>
      <c r="Q907" t="inlineStr"/>
      <c r="R907" t="inlineStr"/>
      <c r="S907" t="inlineStr"/>
      <c r="T907" t="inlineStr"/>
      <c r="U907" t="inlineStr"/>
      <c r="V907">
        <f>IF(OR(L907="",S907=""),"",IF(VALUE(L907)=VALUE(S907),"Y","N"))</f>
        <v/>
      </c>
      <c r="W907">
        <f>IF(V907="Y",S907,"")</f>
        <v/>
      </c>
      <c r="X907" t="inlineStr">
        <is>
          <t>unverified: map has 25 mph (guessed from road type); is it 25 (carts OK) or 30+?</t>
        </is>
      </c>
      <c r="Y907" t="inlineStr"/>
      <c r="Z907" t="n">
        <v>5129</v>
      </c>
      <c r="AA907" t="inlineStr">
        <is>
          <t>villages</t>
        </is>
      </c>
      <c r="AB907" t="inlineStr">
        <is>
          <t>villages|28.93984,-81.89585</t>
        </is>
      </c>
    </row>
    <row r="908">
      <c r="A908" t="inlineStr">
        <is>
          <t>VILLAGES-B2-011</t>
        </is>
      </c>
      <c r="B908" t="inlineStr">
        <is>
          <t>The Villages, FL</t>
        </is>
      </c>
      <c r="C908" t="inlineStr">
        <is>
          <t>Lake Griffin Road</t>
        </is>
      </c>
      <c r="D908" t="inlineStr">
        <is>
          <t>(see map link)</t>
        </is>
      </c>
      <c r="E908" t="inlineStr">
        <is>
          <t>East McClendon Street</t>
        </is>
      </c>
      <c r="F908" t="inlineStr"/>
      <c r="G908" t="n">
        <v>25</v>
      </c>
      <c r="H908" t="inlineStr">
        <is>
          <t>inferred</t>
        </is>
      </c>
      <c r="I908" t="inlineStr">
        <is>
          <t>cart+LSV</t>
        </is>
      </c>
      <c r="J908" t="inlineStr">
        <is>
          <t>https://www.google.com/maps/@?api=1&amp;map_action=pano&amp;viewpoint=28.927050,-81.899760&amp;heading=251</t>
        </is>
      </c>
      <c r="K908" t="inlineStr">
        <is>
          <t>https://www.google.com/maps/search/?api=1&amp;query=28.927050,-81.899760</t>
        </is>
      </c>
      <c r="L908" t="inlineStr"/>
      <c r="M908" t="inlineStr"/>
      <c r="N908" t="inlineStr"/>
      <c r="O908" t="inlineStr"/>
      <c r="P908" t="inlineStr">
        <is>
          <t>pending</t>
        </is>
      </c>
      <c r="Q908" t="inlineStr"/>
      <c r="R908" t="inlineStr"/>
      <c r="S908" t="inlineStr"/>
      <c r="T908" t="inlineStr"/>
      <c r="U908" t="inlineStr"/>
      <c r="V908">
        <f>IF(OR(L908="",S908=""),"",IF(VALUE(L908)=VALUE(S908),"Y","N"))</f>
        <v/>
      </c>
      <c r="W908">
        <f>IF(V908="Y",S908,"")</f>
        <v/>
      </c>
      <c r="X908" t="inlineStr">
        <is>
          <t>unverified: map has 25 mph (guessed from road type); is it 25 (carts OK) or 30+?</t>
        </is>
      </c>
      <c r="Y908" t="inlineStr"/>
      <c r="Z908" t="n">
        <v>3859</v>
      </c>
      <c r="AA908" t="inlineStr">
        <is>
          <t>villages</t>
        </is>
      </c>
      <c r="AB908" t="inlineStr">
        <is>
          <t>villages|28.92705,-81.89976</t>
        </is>
      </c>
    </row>
    <row r="909">
      <c r="A909" t="inlineStr">
        <is>
          <t>VILLAGES-B2-012</t>
        </is>
      </c>
      <c r="B909" t="inlineStr">
        <is>
          <t>The Villages, FL</t>
        </is>
      </c>
      <c r="C909" t="inlineStr">
        <is>
          <t>Griffinview Drive</t>
        </is>
      </c>
      <c r="D909" t="inlineStr">
        <is>
          <t>(see map link)</t>
        </is>
      </c>
      <c r="E909" t="inlineStr">
        <is>
          <t>Cierra Oaks Circle</t>
        </is>
      </c>
      <c r="F909" t="inlineStr"/>
      <c r="G909" t="n">
        <v>25</v>
      </c>
      <c r="H909" t="inlineStr">
        <is>
          <t>inferred</t>
        </is>
      </c>
      <c r="I909" t="inlineStr">
        <is>
          <t>cart+LSV</t>
        </is>
      </c>
      <c r="J909" t="inlineStr">
        <is>
          <t>https://www.google.com/maps/@?api=1&amp;map_action=pano&amp;viewpoint=28.908960,-81.895625&amp;heading=270</t>
        </is>
      </c>
      <c r="K909" t="inlineStr">
        <is>
          <t>https://www.google.com/maps/search/?api=1&amp;query=28.908960,-81.895625</t>
        </is>
      </c>
      <c r="L909" t="inlineStr"/>
      <c r="M909" t="inlineStr"/>
      <c r="N909" t="inlineStr"/>
      <c r="O909" t="inlineStr"/>
      <c r="P909" t="inlineStr">
        <is>
          <t>pending</t>
        </is>
      </c>
      <c r="Q909" t="inlineStr"/>
      <c r="R909" t="inlineStr"/>
      <c r="S909" t="inlineStr"/>
      <c r="T909" t="inlineStr"/>
      <c r="U909" t="inlineStr"/>
      <c r="V909">
        <f>IF(OR(L909="",S909=""),"",IF(VALUE(L909)=VALUE(S909),"Y","N"))</f>
        <v/>
      </c>
      <c r="W909">
        <f>IF(V909="Y",S909,"")</f>
        <v/>
      </c>
      <c r="X909" t="inlineStr">
        <is>
          <t>unverified: map has 25 mph (guessed from road type); is it 25 (carts OK) or 30+?</t>
        </is>
      </c>
      <c r="Y909" t="inlineStr"/>
      <c r="Z909" t="n">
        <v>3141</v>
      </c>
      <c r="AA909" t="inlineStr">
        <is>
          <t>villages</t>
        </is>
      </c>
      <c r="AB909" t="inlineStr">
        <is>
          <t>villages|28.90896,-81.89562</t>
        </is>
      </c>
    </row>
    <row r="910">
      <c r="A910" t="inlineStr">
        <is>
          <t>VILLAGES-B2-013</t>
        </is>
      </c>
      <c r="B910" t="inlineStr">
        <is>
          <t>The Villages, FL</t>
        </is>
      </c>
      <c r="C910" t="inlineStr">
        <is>
          <t>South Dixie Avenue</t>
        </is>
      </c>
      <c r="D910" t="inlineStr">
        <is>
          <t>(see map link)</t>
        </is>
      </c>
      <c r="E910" t="inlineStr">
        <is>
          <t>East Berckman Street</t>
        </is>
      </c>
      <c r="F910" t="inlineStr"/>
      <c r="G910" t="n">
        <v>25</v>
      </c>
      <c r="H910" t="inlineStr">
        <is>
          <t>inferred</t>
        </is>
      </c>
      <c r="I910" t="inlineStr">
        <is>
          <t>cart+LSV</t>
        </is>
      </c>
      <c r="J910" t="inlineStr">
        <is>
          <t>https://www.google.com/maps/@?api=1&amp;map_action=pano&amp;viewpoint=28.848970,-81.905590&amp;heading=330</t>
        </is>
      </c>
      <c r="K910" t="inlineStr">
        <is>
          <t>https://www.google.com/maps/search/?api=1&amp;query=28.848970,-81.905590</t>
        </is>
      </c>
      <c r="L910" t="inlineStr"/>
      <c r="M910" t="inlineStr"/>
      <c r="N910" t="inlineStr"/>
      <c r="O910" t="inlineStr"/>
      <c r="P910" t="inlineStr">
        <is>
          <t>pending</t>
        </is>
      </c>
      <c r="Q910" t="inlineStr"/>
      <c r="R910" t="inlineStr"/>
      <c r="S910" t="inlineStr"/>
      <c r="T910" t="inlineStr"/>
      <c r="U910" t="inlineStr"/>
      <c r="V910">
        <f>IF(OR(L910="",S910=""),"",IF(VALUE(L910)=VALUE(S910),"Y","N"))</f>
        <v/>
      </c>
      <c r="W910">
        <f>IF(V910="Y",S910,"")</f>
        <v/>
      </c>
      <c r="X910" t="inlineStr">
        <is>
          <t>unverified: map has 25 mph (guessed from road type); is it 25 (carts OK) or 30+?</t>
        </is>
      </c>
      <c r="Y910" t="inlineStr"/>
      <c r="Z910" t="n">
        <v>1988</v>
      </c>
      <c r="AA910" t="inlineStr">
        <is>
          <t>villages</t>
        </is>
      </c>
      <c r="AB910" t="inlineStr">
        <is>
          <t>villages|28.84897,-81.90559</t>
        </is>
      </c>
    </row>
    <row r="911">
      <c r="A911" t="inlineStr">
        <is>
          <t>VILLAGES-B2-014</t>
        </is>
      </c>
      <c r="B911" t="inlineStr">
        <is>
          <t>The Villages, FL</t>
        </is>
      </c>
      <c r="C911" t="inlineStr">
        <is>
          <t>Lake Ella Road</t>
        </is>
      </c>
      <c r="D911" t="inlineStr">
        <is>
          <t>(see map link)</t>
        </is>
      </c>
      <c r="E911" t="inlineStr">
        <is>
          <t>Citrus Boulevard</t>
        </is>
      </c>
      <c r="F911" t="inlineStr"/>
      <c r="G911" t="n">
        <v>25</v>
      </c>
      <c r="H911" t="inlineStr">
        <is>
          <t>inferred</t>
        </is>
      </c>
      <c r="I911" t="inlineStr">
        <is>
          <t>cart+LSV</t>
        </is>
      </c>
      <c r="J911" t="inlineStr">
        <is>
          <t>https://www.google.com/maps/@?api=1&amp;map_action=pano&amp;viewpoint=28.887025,-81.939355&amp;heading=270</t>
        </is>
      </c>
      <c r="K911" t="inlineStr">
        <is>
          <t>https://www.google.com/maps/search/?api=1&amp;query=28.887025,-81.939355</t>
        </is>
      </c>
      <c r="L911" t="inlineStr"/>
      <c r="M911" t="inlineStr"/>
      <c r="N911" t="inlineStr"/>
      <c r="O911" t="inlineStr"/>
      <c r="P911" t="inlineStr">
        <is>
          <t>pending</t>
        </is>
      </c>
      <c r="Q911" t="inlineStr"/>
      <c r="R911" t="inlineStr"/>
      <c r="S911" t="inlineStr"/>
      <c r="T911" t="inlineStr"/>
      <c r="U911" t="inlineStr"/>
      <c r="V911">
        <f>IF(OR(L911="",S911=""),"",IF(VALUE(L911)=VALUE(S911),"Y","N"))</f>
        <v/>
      </c>
      <c r="W911">
        <f>IF(V911="Y",S911,"")</f>
        <v/>
      </c>
      <c r="X911" t="inlineStr">
        <is>
          <t>unverified: map has 25 mph (guessed from road type); is it 25 (carts OK) or 30+?</t>
        </is>
      </c>
      <c r="Y911" t="inlineStr"/>
      <c r="Z911" t="n">
        <v>4745</v>
      </c>
      <c r="AA911" t="inlineStr">
        <is>
          <t>villages</t>
        </is>
      </c>
      <c r="AB911" t="inlineStr">
        <is>
          <t>villages|28.88703,-81.93936</t>
        </is>
      </c>
    </row>
    <row r="912">
      <c r="A912" t="inlineStr">
        <is>
          <t>VILLAGES-B2-015</t>
        </is>
      </c>
      <c r="B912" t="inlineStr">
        <is>
          <t>The Villages, FL</t>
        </is>
      </c>
      <c r="C912" t="inlineStr">
        <is>
          <t>Countryside Boulevard</t>
        </is>
      </c>
      <c r="D912" t="inlineStr">
        <is>
          <t>Oak Park Drive</t>
        </is>
      </c>
      <c r="E912" t="inlineStr">
        <is>
          <t>Pennbrooke Parkway</t>
        </is>
      </c>
      <c r="F912" t="inlineStr"/>
      <c r="G912" t="n">
        <v>25</v>
      </c>
      <c r="H912" t="inlineStr">
        <is>
          <t>inferred</t>
        </is>
      </c>
      <c r="I912" t="inlineStr">
        <is>
          <t>cart+LSV</t>
        </is>
      </c>
      <c r="J912" t="inlineStr">
        <is>
          <t>https://www.google.com/maps/@?api=1&amp;map_action=pano&amp;viewpoint=28.822850,-81.945520&amp;heading=341</t>
        </is>
      </c>
      <c r="K912" t="inlineStr">
        <is>
          <t>https://www.google.com/maps/search/?api=1&amp;query=28.822850,-81.945520</t>
        </is>
      </c>
      <c r="L912" t="inlineStr"/>
      <c r="M912" t="inlineStr"/>
      <c r="N912" t="inlineStr"/>
      <c r="O912" t="inlineStr"/>
      <c r="P912" t="inlineStr">
        <is>
          <t>pending</t>
        </is>
      </c>
      <c r="Q912" t="inlineStr"/>
      <c r="R912" t="inlineStr"/>
      <c r="S912" t="inlineStr"/>
      <c r="T912" t="inlineStr"/>
      <c r="U912" t="inlineStr"/>
      <c r="V912">
        <f>IF(OR(L912="",S912=""),"",IF(VALUE(L912)=VALUE(S912),"Y","N"))</f>
        <v/>
      </c>
      <c r="W912">
        <f>IF(V912="Y",S912,"")</f>
        <v/>
      </c>
      <c r="X912" t="inlineStr">
        <is>
          <t>unverified: map has 25 mph (guessed from road type); is it 25 (carts OK) or 30+?</t>
        </is>
      </c>
      <c r="Y912" t="inlineStr"/>
      <c r="Z912" t="n">
        <v>2388</v>
      </c>
      <c r="AA912" t="inlineStr">
        <is>
          <t>villages</t>
        </is>
      </c>
      <c r="AB912" t="inlineStr">
        <is>
          <t>villages|28.82285,-81.94552</t>
        </is>
      </c>
    </row>
    <row r="913">
      <c r="A913" t="inlineStr">
        <is>
          <t>VILLAGES-B2-016</t>
        </is>
      </c>
      <c r="B913" t="inlineStr">
        <is>
          <t>The Villages, FL</t>
        </is>
      </c>
      <c r="C913" t="inlineStr">
        <is>
          <t>South Grays Airport Road</t>
        </is>
      </c>
      <c r="D913" t="inlineStr">
        <is>
          <t>Citrus Boulevard</t>
        </is>
      </c>
      <c r="E913" t="inlineStr">
        <is>
          <t>Eagles Nest Road</t>
        </is>
      </c>
      <c r="F913" t="inlineStr"/>
      <c r="G913" t="n">
        <v>25</v>
      </c>
      <c r="H913" t="inlineStr">
        <is>
          <t>inferred</t>
        </is>
      </c>
      <c r="I913" t="inlineStr">
        <is>
          <t>cart+LSV</t>
        </is>
      </c>
      <c r="J913" t="inlineStr">
        <is>
          <t>https://www.google.com/maps/@?api=1&amp;map_action=pano&amp;viewpoint=28.879900,-81.891180&amp;heading=35</t>
        </is>
      </c>
      <c r="K913" t="inlineStr">
        <is>
          <t>https://www.google.com/maps/search/?api=1&amp;query=28.879900,-81.891180</t>
        </is>
      </c>
      <c r="L913" t="inlineStr"/>
      <c r="M913" t="inlineStr"/>
      <c r="N913" t="inlineStr"/>
      <c r="O913" t="inlineStr"/>
      <c r="P913" t="inlineStr">
        <is>
          <t>pending</t>
        </is>
      </c>
      <c r="Q913" t="inlineStr"/>
      <c r="R913" t="inlineStr"/>
      <c r="S913" t="inlineStr"/>
      <c r="T913" t="inlineStr"/>
      <c r="U913" t="inlineStr"/>
      <c r="V913">
        <f>IF(OR(L913="",S913=""),"",IF(VALUE(L913)=VALUE(S913),"Y","N"))</f>
        <v/>
      </c>
      <c r="W913">
        <f>IF(V913="Y",S913,"")</f>
        <v/>
      </c>
      <c r="X913" t="inlineStr">
        <is>
          <t>unverified: map has 25 mph (guessed from road type); is it 25 (carts OK) or 30+?</t>
        </is>
      </c>
      <c r="Y913" t="inlineStr"/>
      <c r="Z913" t="n">
        <v>2302</v>
      </c>
      <c r="AA913" t="inlineStr">
        <is>
          <t>villages</t>
        </is>
      </c>
      <c r="AB913" t="inlineStr">
        <is>
          <t>villages|28.87990,-81.89118</t>
        </is>
      </c>
    </row>
    <row r="914">
      <c r="A914" t="inlineStr">
        <is>
          <t>VILLAGES-B2-017</t>
        </is>
      </c>
      <c r="B914" t="inlineStr">
        <is>
          <t>The Villages, FL</t>
        </is>
      </c>
      <c r="C914" t="inlineStr">
        <is>
          <t>Griffin Road</t>
        </is>
      </c>
      <c r="D914" t="inlineStr">
        <is>
          <t>Thomas Avenue</t>
        </is>
      </c>
      <c r="E914" t="inlineStr">
        <is>
          <t>County Road 468</t>
        </is>
      </c>
      <c r="F914" t="inlineStr"/>
      <c r="G914" t="n">
        <v>25</v>
      </c>
      <c r="H914" t="inlineStr">
        <is>
          <t>inferred</t>
        </is>
      </c>
      <c r="I914" t="inlineStr">
        <is>
          <t>cart+LSV</t>
        </is>
      </c>
      <c r="J914" t="inlineStr">
        <is>
          <t>https://www.google.com/maps/@?api=1&amp;map_action=pano&amp;viewpoint=28.828630,-81.895475&amp;heading=90</t>
        </is>
      </c>
      <c r="K914" t="inlineStr">
        <is>
          <t>https://www.google.com/maps/search/?api=1&amp;query=28.828630,-81.895475</t>
        </is>
      </c>
      <c r="L914" t="inlineStr"/>
      <c r="M914" t="inlineStr"/>
      <c r="N914" t="inlineStr"/>
      <c r="O914" t="inlineStr"/>
      <c r="P914" t="inlineStr">
        <is>
          <t>pending</t>
        </is>
      </c>
      <c r="Q914" t="inlineStr"/>
      <c r="R914" t="inlineStr"/>
      <c r="S914" t="inlineStr"/>
      <c r="T914" t="inlineStr"/>
      <c r="U914" t="inlineStr"/>
      <c r="V914">
        <f>IF(OR(L914="",S914=""),"",IF(VALUE(L914)=VALUE(S914),"Y","N"))</f>
        <v/>
      </c>
      <c r="W914">
        <f>IF(V914="Y",S914,"")</f>
        <v/>
      </c>
      <c r="X914" t="inlineStr">
        <is>
          <t>unverified: map has 25 mph (guessed from road type); is it 25 (carts OK) or 30+?</t>
        </is>
      </c>
      <c r="Y914" t="inlineStr"/>
      <c r="Z914" t="n">
        <v>2506</v>
      </c>
      <c r="AA914" t="inlineStr">
        <is>
          <t>villages</t>
        </is>
      </c>
      <c r="AB914" t="inlineStr">
        <is>
          <t>villages|28.82863,-81.89548</t>
        </is>
      </c>
    </row>
    <row r="915">
      <c r="A915" t="inlineStr">
        <is>
          <t>VILLAGES-B2-018</t>
        </is>
      </c>
      <c r="B915" t="inlineStr">
        <is>
          <t>The Villages, FL</t>
        </is>
      </c>
      <c r="C915" t="inlineStr">
        <is>
          <t>Thomas Avenue</t>
        </is>
      </c>
      <c r="D915" t="inlineStr">
        <is>
          <t>West Main Street</t>
        </is>
      </c>
      <c r="E915" t="inlineStr">
        <is>
          <t>South Dixie Avenue</t>
        </is>
      </c>
      <c r="F915" t="inlineStr"/>
      <c r="G915" t="n">
        <v>25</v>
      </c>
      <c r="H915" t="inlineStr">
        <is>
          <t>inferred</t>
        </is>
      </c>
      <c r="I915" t="inlineStr">
        <is>
          <t>cart+LSV</t>
        </is>
      </c>
      <c r="J915" t="inlineStr">
        <is>
          <t>https://www.google.com/maps/@?api=1&amp;map_action=pano&amp;viewpoint=28.835380,-81.903840&amp;heading=18</t>
        </is>
      </c>
      <c r="K915" t="inlineStr">
        <is>
          <t>https://www.google.com/maps/search/?api=1&amp;query=28.835380,-81.903840</t>
        </is>
      </c>
      <c r="L915" t="inlineStr"/>
      <c r="M915" t="inlineStr"/>
      <c r="N915" t="inlineStr"/>
      <c r="O915" t="inlineStr"/>
      <c r="P915" t="inlineStr">
        <is>
          <t>pending</t>
        </is>
      </c>
      <c r="Q915" t="inlineStr"/>
      <c r="R915" t="inlineStr"/>
      <c r="S915" t="inlineStr"/>
      <c r="T915" t="inlineStr"/>
      <c r="U915" t="inlineStr"/>
      <c r="V915">
        <f>IF(OR(L915="",S915=""),"",IF(VALUE(L915)=VALUE(S915),"Y","N"))</f>
        <v/>
      </c>
      <c r="W915">
        <f>IF(V915="Y",S915,"")</f>
        <v/>
      </c>
      <c r="X915" t="inlineStr">
        <is>
          <t>unverified: map has 25 mph (guessed from road type); is it 25 (carts OK) or 30+?</t>
        </is>
      </c>
      <c r="Y915" t="inlineStr"/>
      <c r="Z915" t="n">
        <v>3708</v>
      </c>
      <c r="AA915" t="inlineStr">
        <is>
          <t>villages</t>
        </is>
      </c>
      <c r="AB915" t="inlineStr">
        <is>
          <t>villages|28.83538,-81.90384</t>
        </is>
      </c>
    </row>
    <row r="916">
      <c r="A916" t="inlineStr">
        <is>
          <t>VILLAGES-B2-019</t>
        </is>
      </c>
      <c r="B916" t="inlineStr">
        <is>
          <t>The Villages, FL</t>
        </is>
      </c>
      <c r="C916" t="inlineStr">
        <is>
          <t>County Road 143</t>
        </is>
      </c>
      <c r="D916" t="inlineStr">
        <is>
          <t>SR 44</t>
        </is>
      </c>
      <c r="E916" t="inlineStr">
        <is>
          <t>County 44A</t>
        </is>
      </c>
      <c r="F916" t="inlineStr"/>
      <c r="G916" t="n">
        <v>25</v>
      </c>
      <c r="H916" t="inlineStr">
        <is>
          <t>inferred</t>
        </is>
      </c>
      <c r="I916" t="inlineStr">
        <is>
          <t>cart+LSV</t>
        </is>
      </c>
      <c r="J916" t="inlineStr">
        <is>
          <t>https://www.google.com/maps/@?api=1&amp;map_action=pano&amp;viewpoint=28.826400,-81.988510&amp;heading=299</t>
        </is>
      </c>
      <c r="K916" t="inlineStr">
        <is>
          <t>https://www.google.com/maps/search/?api=1&amp;query=28.826400,-81.988510</t>
        </is>
      </c>
      <c r="L916" t="inlineStr"/>
      <c r="M916" t="inlineStr"/>
      <c r="N916" t="inlineStr"/>
      <c r="O916" t="inlineStr"/>
      <c r="P916" t="inlineStr">
        <is>
          <t>pending</t>
        </is>
      </c>
      <c r="Q916" t="inlineStr"/>
      <c r="R916" t="inlineStr"/>
      <c r="S916" t="inlineStr"/>
      <c r="T916" t="inlineStr"/>
      <c r="U916" t="inlineStr"/>
      <c r="V916">
        <f>IF(OR(L916="",S916=""),"",IF(VALUE(L916)=VALUE(S916),"Y","N"))</f>
        <v/>
      </c>
      <c r="W916">
        <f>IF(V916="Y",S916,"")</f>
        <v/>
      </c>
      <c r="X916" t="inlineStr">
        <is>
          <t>unverified: map has 25 mph (guessed from road type); is it 25 (carts OK) or 30+?</t>
        </is>
      </c>
      <c r="Y916" t="inlineStr"/>
      <c r="Z916" t="n">
        <v>2297</v>
      </c>
      <c r="AA916" t="inlineStr">
        <is>
          <t>villages</t>
        </is>
      </c>
      <c r="AB916" t="inlineStr">
        <is>
          <t>villages|28.82640,-81.98851</t>
        </is>
      </c>
    </row>
    <row r="917">
      <c r="A917" t="inlineStr">
        <is>
          <t>VILLAGES-B2-020</t>
        </is>
      </c>
      <c r="B917" t="inlineStr">
        <is>
          <t>The Villages, FL</t>
        </is>
      </c>
      <c r="C917" t="inlineStr">
        <is>
          <t>County Road 44A</t>
        </is>
      </c>
      <c r="D917" t="inlineStr">
        <is>
          <t>County Road 143</t>
        </is>
      </c>
      <c r="E917" t="inlineStr">
        <is>
          <t>Northeast 60th Avenue</t>
        </is>
      </c>
      <c r="F917" t="inlineStr"/>
      <c r="G917" t="n">
        <v>25</v>
      </c>
      <c r="H917" t="inlineStr">
        <is>
          <t>inferred</t>
        </is>
      </c>
      <c r="I917" t="inlineStr">
        <is>
          <t>cart+LSV</t>
        </is>
      </c>
      <c r="J917" t="inlineStr">
        <is>
          <t>https://www.google.com/maps/@?api=1&amp;map_action=pano&amp;viewpoint=28.840340,-82.007950&amp;heading=308</t>
        </is>
      </c>
      <c r="K917" t="inlineStr">
        <is>
          <t>https://www.google.com/maps/search/?api=1&amp;query=28.840340,-82.007950</t>
        </is>
      </c>
      <c r="L917" t="inlineStr"/>
      <c r="M917" t="inlineStr"/>
      <c r="N917" t="inlineStr"/>
      <c r="O917" t="inlineStr"/>
      <c r="P917" t="inlineStr">
        <is>
          <t>pending</t>
        </is>
      </c>
      <c r="Q917" t="inlineStr"/>
      <c r="R917" t="inlineStr"/>
      <c r="S917" t="inlineStr"/>
      <c r="T917" t="inlineStr"/>
      <c r="U917" t="inlineStr"/>
      <c r="V917">
        <f>IF(OR(L917="",S917=""),"",IF(VALUE(L917)=VALUE(S917),"Y","N"))</f>
        <v/>
      </c>
      <c r="W917">
        <f>IF(V917="Y",S917,"")</f>
        <v/>
      </c>
      <c r="X917" t="inlineStr">
        <is>
          <t>unverified: map has 25 mph (guessed from road type); is it 25 (carts OK) or 30+?</t>
        </is>
      </c>
      <c r="Y917" t="inlineStr"/>
      <c r="Z917" t="n">
        <v>2298</v>
      </c>
      <c r="AA917" t="inlineStr">
        <is>
          <t>villages</t>
        </is>
      </c>
      <c r="AB917" t="inlineStr">
        <is>
          <t>villages|28.84034,-82.00795</t>
        </is>
      </c>
    </row>
    <row r="918">
      <c r="A918" t="inlineStr">
        <is>
          <t>VILLAGES-B2-021</t>
        </is>
      </c>
      <c r="B918" t="inlineStr">
        <is>
          <t>The Villages, FL</t>
        </is>
      </c>
      <c r="C918" t="inlineStr">
        <is>
          <t>Deskin Lane</t>
        </is>
      </c>
      <c r="D918" t="inlineStr">
        <is>
          <t>(see map link)</t>
        </is>
      </c>
      <c r="E918" t="inlineStr">
        <is>
          <t>Cart path</t>
        </is>
      </c>
      <c r="F918" t="inlineStr"/>
      <c r="G918" t="n">
        <v>25</v>
      </c>
      <c r="H918" t="inlineStr">
        <is>
          <t>inferred</t>
        </is>
      </c>
      <c r="I918" t="inlineStr">
        <is>
          <t>cart+LSV</t>
        </is>
      </c>
      <c r="J918" t="inlineStr">
        <is>
          <t>https://www.google.com/maps/@?api=1&amp;map_action=pano&amp;viewpoint=28.831250,-81.958670&amp;heading=201</t>
        </is>
      </c>
      <c r="K918" t="inlineStr">
        <is>
          <t>https://www.google.com/maps/search/?api=1&amp;query=28.831250,-81.958670</t>
        </is>
      </c>
      <c r="L918" t="inlineStr"/>
      <c r="M918" t="inlineStr"/>
      <c r="N918" t="inlineStr"/>
      <c r="O918" t="inlineStr"/>
      <c r="P918" t="inlineStr">
        <is>
          <t>pending</t>
        </is>
      </c>
      <c r="Q918" t="inlineStr"/>
      <c r="R918" t="inlineStr"/>
      <c r="S918" t="inlineStr"/>
      <c r="T918" t="inlineStr"/>
      <c r="U918" t="inlineStr"/>
      <c r="V918">
        <f>IF(OR(L918="",S918=""),"",IF(VALUE(L918)=VALUE(S918),"Y","N"))</f>
        <v/>
      </c>
      <c r="W918">
        <f>IF(V918="Y",S918,"")</f>
        <v/>
      </c>
      <c r="X918" t="inlineStr">
        <is>
          <t>unverified: map has 25 mph (guessed from road type); is it 25 (carts OK) or 30+?</t>
        </is>
      </c>
      <c r="Y918" t="inlineStr"/>
      <c r="Z918" t="n">
        <v>2226</v>
      </c>
      <c r="AA918" t="inlineStr">
        <is>
          <t>villages</t>
        </is>
      </c>
      <c r="AB918" t="inlineStr">
        <is>
          <t>villages|28.83125,-81.95867</t>
        </is>
      </c>
    </row>
    <row r="919">
      <c r="A919" t="inlineStr">
        <is>
          <t>VILLAGES-B2-022</t>
        </is>
      </c>
      <c r="B919" t="inlineStr">
        <is>
          <t>The Villages, FL</t>
        </is>
      </c>
      <c r="C919" t="inlineStr">
        <is>
          <t>Southeast 176th Street</t>
        </is>
      </c>
      <c r="D919" t="inlineStr">
        <is>
          <t>Southeast 95th Circle</t>
        </is>
      </c>
      <c r="E919" t="inlineStr">
        <is>
          <t>Cart path</t>
        </is>
      </c>
      <c r="F919" t="inlineStr"/>
      <c r="G919" t="n">
        <v>25</v>
      </c>
      <c r="H919" t="inlineStr">
        <is>
          <t>inferred</t>
        </is>
      </c>
      <c r="I919" t="inlineStr">
        <is>
          <t>cart+LSV</t>
        </is>
      </c>
      <c r="J919" t="inlineStr">
        <is>
          <t>https://www.google.com/maps/@?api=1&amp;map_action=pano&amp;viewpoint=28.964620,-81.984510&amp;heading=113</t>
        </is>
      </c>
      <c r="K919" t="inlineStr">
        <is>
          <t>https://www.google.com/maps/search/?api=1&amp;query=28.964620,-81.984510</t>
        </is>
      </c>
      <c r="L919" t="inlineStr"/>
      <c r="M919" t="inlineStr"/>
      <c r="N919" t="inlineStr"/>
      <c r="O919" t="inlineStr"/>
      <c r="P919" t="inlineStr">
        <is>
          <t>pending</t>
        </is>
      </c>
      <c r="Q919" t="inlineStr"/>
      <c r="R919" t="inlineStr"/>
      <c r="S919" t="inlineStr"/>
      <c r="T919" t="inlineStr"/>
      <c r="U919" t="inlineStr"/>
      <c r="V919">
        <f>IF(OR(L919="",S919=""),"",IF(VALUE(L919)=VALUE(S919),"Y","N"))</f>
        <v/>
      </c>
      <c r="W919">
        <f>IF(V919="Y",S919,"")</f>
        <v/>
      </c>
      <c r="X919" t="inlineStr">
        <is>
          <t>unverified: map has 25 mph (guessed from road type); is it 25 (carts OK) or 30+?</t>
        </is>
      </c>
      <c r="Y919" t="inlineStr"/>
      <c r="Z919" t="n">
        <v>4894</v>
      </c>
      <c r="AA919" t="inlineStr">
        <is>
          <t>villages</t>
        </is>
      </c>
      <c r="AB919" t="inlineStr">
        <is>
          <t>villages|28.96462,-81.98451</t>
        </is>
      </c>
    </row>
    <row r="920">
      <c r="A920" t="inlineStr">
        <is>
          <t>VILLAGES-B2-023</t>
        </is>
      </c>
      <c r="B920" t="inlineStr">
        <is>
          <t>The Villages, FL</t>
        </is>
      </c>
      <c r="C920" t="inlineStr">
        <is>
          <t>Southeast Sunset Harbor Road</t>
        </is>
      </c>
      <c r="D920" t="inlineStr">
        <is>
          <t>Southeast 105th Avenue</t>
        </is>
      </c>
      <c r="E920" t="inlineStr">
        <is>
          <t>Southeast 150th Avenue</t>
        </is>
      </c>
      <c r="F920" t="inlineStr"/>
      <c r="G920" t="n">
        <v>25</v>
      </c>
      <c r="H920" t="inlineStr">
        <is>
          <t>inferred</t>
        </is>
      </c>
      <c r="I920" t="inlineStr">
        <is>
          <t>cart+LSV</t>
        </is>
      </c>
      <c r="J920" t="inlineStr">
        <is>
          <t>https://www.google.com/maps/@?api=1&amp;map_action=pano&amp;viewpoint=28.985530,-81.963380&amp;heading=90</t>
        </is>
      </c>
      <c r="K920" t="inlineStr">
        <is>
          <t>https://www.google.com/maps/search/?api=1&amp;query=28.985530,-81.963380</t>
        </is>
      </c>
      <c r="L920" t="inlineStr"/>
      <c r="M920" t="inlineStr"/>
      <c r="N920" t="inlineStr"/>
      <c r="O920" t="inlineStr"/>
      <c r="P920" t="inlineStr">
        <is>
          <t>pending</t>
        </is>
      </c>
      <c r="Q920" t="inlineStr"/>
      <c r="R920" t="inlineStr"/>
      <c r="S920" t="inlineStr"/>
      <c r="T920" t="inlineStr"/>
      <c r="U920" t="inlineStr"/>
      <c r="V920">
        <f>IF(OR(L920="",S920=""),"",IF(VALUE(L920)=VALUE(S920),"Y","N"))</f>
        <v/>
      </c>
      <c r="W920">
        <f>IF(V920="Y",S920,"")</f>
        <v/>
      </c>
      <c r="X920" t="inlineStr">
        <is>
          <t>unverified: map has 25 mph (guessed from road type); is it 25 (carts OK) or 30+?</t>
        </is>
      </c>
      <c r="Y920" t="inlineStr"/>
      <c r="Z920" t="n">
        <v>7539</v>
      </c>
      <c r="AA920" t="inlineStr">
        <is>
          <t>villages</t>
        </is>
      </c>
      <c r="AB920" t="inlineStr">
        <is>
          <t>villages|28.98553,-81.96338</t>
        </is>
      </c>
    </row>
    <row r="921">
      <c r="A921" t="inlineStr">
        <is>
          <t>VILLAGES-B2-024</t>
        </is>
      </c>
      <c r="B921" t="inlineStr">
        <is>
          <t>The Villages, FL</t>
        </is>
      </c>
      <c r="C921" t="inlineStr">
        <is>
          <t>Southeast 176th Place Road</t>
        </is>
      </c>
      <c r="D921" t="inlineStr">
        <is>
          <t>US 27;US 441</t>
        </is>
      </c>
      <c r="E921" t="inlineStr">
        <is>
          <t>Southeast 109th Terrace Road</t>
        </is>
      </c>
      <c r="F921" t="inlineStr"/>
      <c r="G921" t="n">
        <v>25</v>
      </c>
      <c r="H921" t="inlineStr">
        <is>
          <t>inferred</t>
        </is>
      </c>
      <c r="I921" t="inlineStr">
        <is>
          <t>cart+LSV</t>
        </is>
      </c>
      <c r="J921" t="inlineStr">
        <is>
          <t>https://www.google.com/maps/@?api=1&amp;map_action=pano&amp;viewpoint=28.965530,-81.966710&amp;heading=107</t>
        </is>
      </c>
      <c r="K921" t="inlineStr">
        <is>
          <t>https://www.google.com/maps/search/?api=1&amp;query=28.965530,-81.966710</t>
        </is>
      </c>
      <c r="L921" t="inlineStr"/>
      <c r="M921" t="inlineStr"/>
      <c r="N921" t="inlineStr"/>
      <c r="O921" t="inlineStr"/>
      <c r="P921" t="inlineStr">
        <is>
          <t>pending</t>
        </is>
      </c>
      <c r="Q921" t="inlineStr"/>
      <c r="R921" t="inlineStr"/>
      <c r="S921" t="inlineStr"/>
      <c r="T921" t="inlineStr"/>
      <c r="U921" t="inlineStr"/>
      <c r="V921">
        <f>IF(OR(L921="",S921=""),"",IF(VALUE(L921)=VALUE(S921),"Y","N"))</f>
        <v/>
      </c>
      <c r="W921">
        <f>IF(V921="Y",S921,"")</f>
        <v/>
      </c>
      <c r="X921" t="inlineStr">
        <is>
          <t>unverified: map has 25 mph (guessed from road type); is it 25 (carts OK) or 30+?</t>
        </is>
      </c>
      <c r="Y921" t="inlineStr"/>
      <c r="Z921" t="n">
        <v>3302</v>
      </c>
      <c r="AA921" t="inlineStr">
        <is>
          <t>villages</t>
        </is>
      </c>
      <c r="AB921" t="inlineStr">
        <is>
          <t>villages|28.96553,-81.96671</t>
        </is>
      </c>
    </row>
    <row r="922">
      <c r="A922" t="inlineStr">
        <is>
          <t>VILLAGES-B2-025</t>
        </is>
      </c>
      <c r="B922" t="inlineStr">
        <is>
          <t>The Villages, FL</t>
        </is>
      </c>
      <c r="C922" t="inlineStr">
        <is>
          <t>Marion County Road</t>
        </is>
      </c>
      <c r="D922" t="inlineStr">
        <is>
          <t>Kendra Lane</t>
        </is>
      </c>
      <c r="E922" t="inlineStr">
        <is>
          <t>Gibralter Road</t>
        </is>
      </c>
      <c r="F922" t="inlineStr"/>
      <c r="G922" t="n">
        <v>25</v>
      </c>
      <c r="H922" t="inlineStr">
        <is>
          <t>inferred</t>
        </is>
      </c>
      <c r="I922" t="inlineStr">
        <is>
          <t>cart+LSV</t>
        </is>
      </c>
      <c r="J922" t="inlineStr">
        <is>
          <t>https://www.google.com/maps/@?api=1&amp;map_action=pano&amp;viewpoint=28.952725,-81.894235&amp;heading=90</t>
        </is>
      </c>
      <c r="K922" t="inlineStr">
        <is>
          <t>https://www.google.com/maps/search/?api=1&amp;query=28.952725,-81.894235</t>
        </is>
      </c>
      <c r="L922" t="inlineStr"/>
      <c r="M922" t="inlineStr"/>
      <c r="N922" t="inlineStr"/>
      <c r="O922" t="inlineStr"/>
      <c r="P922" t="inlineStr">
        <is>
          <t>pending</t>
        </is>
      </c>
      <c r="Q922" t="inlineStr"/>
      <c r="R922" t="inlineStr"/>
      <c r="S922" t="inlineStr"/>
      <c r="T922" t="inlineStr"/>
      <c r="U922" t="inlineStr"/>
      <c r="V922">
        <f>IF(OR(L922="",S922=""),"",IF(VALUE(L922)=VALUE(S922),"Y","N"))</f>
        <v/>
      </c>
      <c r="W922">
        <f>IF(V922="Y",S922,"")</f>
        <v/>
      </c>
      <c r="X922" t="inlineStr">
        <is>
          <t>unverified: map has 25 mph (guessed from road type); is it 25 (carts OK) or 30+?</t>
        </is>
      </c>
      <c r="Y922" t="inlineStr"/>
      <c r="Z922" t="n">
        <v>2426</v>
      </c>
      <c r="AA922" t="inlineStr">
        <is>
          <t>villages</t>
        </is>
      </c>
      <c r="AB922" t="inlineStr">
        <is>
          <t>villages|28.95273,-81.89424</t>
        </is>
      </c>
    </row>
    <row r="923">
      <c r="A923" t="inlineStr">
        <is>
          <t>VILLAGES-B2-026</t>
        </is>
      </c>
      <c r="B923" t="inlineStr">
        <is>
          <t>The Villages, FL</t>
        </is>
      </c>
      <c r="C923" t="inlineStr">
        <is>
          <t>Southeast 147th Place</t>
        </is>
      </c>
      <c r="D923" t="inlineStr">
        <is>
          <t>Southeast 105th Avenue</t>
        </is>
      </c>
      <c r="E923" t="inlineStr">
        <is>
          <t>Southeast 147th Street</t>
        </is>
      </c>
      <c r="F923" t="inlineStr"/>
      <c r="G923" t="n">
        <v>25</v>
      </c>
      <c r="H923" t="inlineStr">
        <is>
          <t>inferred</t>
        </is>
      </c>
      <c r="I923" t="inlineStr">
        <is>
          <t>cart+LSV</t>
        </is>
      </c>
      <c r="J923" t="inlineStr">
        <is>
          <t>https://www.google.com/maps/@?api=1&amp;map_action=pano&amp;viewpoint=29.007570,-82.016425&amp;heading=270</t>
        </is>
      </c>
      <c r="K923" t="inlineStr">
        <is>
          <t>https://www.google.com/maps/search/?api=1&amp;query=29.007570,-82.016425</t>
        </is>
      </c>
      <c r="L923" t="inlineStr"/>
      <c r="M923" t="inlineStr"/>
      <c r="N923" t="inlineStr"/>
      <c r="O923" t="inlineStr"/>
      <c r="P923" t="inlineStr">
        <is>
          <t>pending</t>
        </is>
      </c>
      <c r="Q923" t="inlineStr"/>
      <c r="R923" t="inlineStr"/>
      <c r="S923" t="inlineStr"/>
      <c r="T923" t="inlineStr"/>
      <c r="U923" t="inlineStr"/>
      <c r="V923">
        <f>IF(OR(L923="",S923=""),"",IF(VALUE(L923)=VALUE(S923),"Y","N"))</f>
        <v/>
      </c>
      <c r="W923">
        <f>IF(V923="Y",S923,"")</f>
        <v/>
      </c>
      <c r="X923" t="inlineStr">
        <is>
          <t>unverified: map has 25 mph (guessed from road type); is it 25 (carts OK) or 30+?</t>
        </is>
      </c>
      <c r="Y923" t="inlineStr"/>
      <c r="Z923" t="n">
        <v>7252</v>
      </c>
      <c r="AA923" t="inlineStr">
        <is>
          <t>villages</t>
        </is>
      </c>
      <c r="AB923" t="inlineStr">
        <is>
          <t>villages|29.00757,-82.01642</t>
        </is>
      </c>
    </row>
    <row r="924">
      <c r="A924" t="inlineStr">
        <is>
          <t>VILLAGES-B2-027</t>
        </is>
      </c>
      <c r="B924" t="inlineStr">
        <is>
          <t>The Villages, FL</t>
        </is>
      </c>
      <c r="C924" t="inlineStr">
        <is>
          <t>Southeast 100th Avenue</t>
        </is>
      </c>
      <c r="D924" t="inlineStr">
        <is>
          <t>Southeast 147th Place</t>
        </is>
      </c>
      <c r="E924" t="inlineStr">
        <is>
          <t>Southeast 139th Place</t>
        </is>
      </c>
      <c r="F924" t="inlineStr"/>
      <c r="G924" t="n">
        <v>25</v>
      </c>
      <c r="H924" t="inlineStr">
        <is>
          <t>inferred</t>
        </is>
      </c>
      <c r="I924" t="inlineStr">
        <is>
          <t>cart+LSV</t>
        </is>
      </c>
      <c r="J924" t="inlineStr">
        <is>
          <t>https://www.google.com/maps/@?api=1&amp;map_action=pano&amp;viewpoint=29.031750,-81.986870&amp;heading=356</t>
        </is>
      </c>
      <c r="K924" t="inlineStr">
        <is>
          <t>https://www.google.com/maps/search/?api=1&amp;query=29.031750,-81.986870</t>
        </is>
      </c>
      <c r="L924" t="inlineStr"/>
      <c r="M924" t="inlineStr"/>
      <c r="N924" t="inlineStr"/>
      <c r="O924" t="inlineStr"/>
      <c r="P924" t="inlineStr">
        <is>
          <t>pending</t>
        </is>
      </c>
      <c r="Q924" t="inlineStr"/>
      <c r="R924" t="inlineStr"/>
      <c r="S924" t="inlineStr"/>
      <c r="T924" t="inlineStr"/>
      <c r="U924" t="inlineStr"/>
      <c r="V924">
        <f>IF(OR(L924="",S924=""),"",IF(VALUE(L924)=VALUE(S924),"Y","N"))</f>
        <v/>
      </c>
      <c r="W924">
        <f>IF(V924="Y",S924,"")</f>
        <v/>
      </c>
      <c r="X924" t="inlineStr">
        <is>
          <t>unverified: map has 25 mph (guessed from road type); is it 25 (carts OK) or 30+?</t>
        </is>
      </c>
      <c r="Y924" t="inlineStr"/>
      <c r="Z924" t="n">
        <v>4500</v>
      </c>
      <c r="AA924" t="inlineStr">
        <is>
          <t>villages</t>
        </is>
      </c>
      <c r="AB924" t="inlineStr">
        <is>
          <t>villages|29.03175,-81.98687</t>
        </is>
      </c>
    </row>
    <row r="925">
      <c r="A925" t="inlineStr">
        <is>
          <t>VILLAGES-B2-028</t>
        </is>
      </c>
      <c r="B925" t="inlineStr">
        <is>
          <t>The Villages, FL</t>
        </is>
      </c>
      <c r="C925" t="inlineStr">
        <is>
          <t>CR 44A</t>
        </is>
      </c>
      <c r="D925" t="inlineStr">
        <is>
          <t>Kilgore Street</t>
        </is>
      </c>
      <c r="E925" t="inlineStr">
        <is>
          <t>SR 44</t>
        </is>
      </c>
      <c r="F925" t="inlineStr"/>
      <c r="G925" t="n">
        <v>25</v>
      </c>
      <c r="H925" t="inlineStr">
        <is>
          <t>inferred</t>
        </is>
      </c>
      <c r="I925" t="inlineStr">
        <is>
          <t>cart+LSV</t>
        </is>
      </c>
      <c r="J925" t="inlineStr">
        <is>
          <t>https://www.google.com/maps/@?api=1&amp;map_action=pano&amp;viewpoint=28.865680,-82.077940&amp;heading=285</t>
        </is>
      </c>
      <c r="K925" t="inlineStr">
        <is>
          <t>https://www.google.com/maps/search/?api=1&amp;query=28.865680,-82.077940</t>
        </is>
      </c>
      <c r="L925" t="inlineStr"/>
      <c r="M925" t="inlineStr"/>
      <c r="N925" t="inlineStr"/>
      <c r="O925" t="inlineStr"/>
      <c r="P925" t="inlineStr">
        <is>
          <t>pending</t>
        </is>
      </c>
      <c r="Q925" t="inlineStr"/>
      <c r="R925" t="inlineStr"/>
      <c r="S925" t="inlineStr"/>
      <c r="T925" t="inlineStr"/>
      <c r="U925" t="inlineStr"/>
      <c r="V925">
        <f>IF(OR(L925="",S925=""),"",IF(VALUE(L925)=VALUE(S925),"Y","N"))</f>
        <v/>
      </c>
      <c r="W925">
        <f>IF(V925="Y",S925,"")</f>
        <v/>
      </c>
      <c r="X925" t="inlineStr">
        <is>
          <t>unverified: map has 25 mph (guessed from road type); is it 25 (carts OK) or 30+?</t>
        </is>
      </c>
      <c r="Y925" t="inlineStr"/>
      <c r="Z925" t="n">
        <v>2899</v>
      </c>
      <c r="AA925" t="inlineStr">
        <is>
          <t>villages</t>
        </is>
      </c>
      <c r="AB925" t="inlineStr">
        <is>
          <t>villages|28.86568,-82.07794</t>
        </is>
      </c>
    </row>
    <row r="926">
      <c r="A926" t="inlineStr">
        <is>
          <t>VILLAGES-B2-029</t>
        </is>
      </c>
      <c r="B926" t="inlineStr">
        <is>
          <t>The Villages, FL</t>
        </is>
      </c>
      <c r="C926" t="inlineStr">
        <is>
          <t>CR 462</t>
        </is>
      </c>
      <c r="D926" t="inlineStr">
        <is>
          <t>Northeast 15th Street</t>
        </is>
      </c>
      <c r="E926" t="inlineStr">
        <is>
          <t>Northeast 2nd Drive</t>
        </is>
      </c>
      <c r="F926" t="inlineStr"/>
      <c r="G926" t="n">
        <v>25</v>
      </c>
      <c r="H926" t="inlineStr">
        <is>
          <t>inferred</t>
        </is>
      </c>
      <c r="I926" t="inlineStr">
        <is>
          <t>cart+LSV</t>
        </is>
      </c>
      <c r="J926" t="inlineStr">
        <is>
          <t>https://www.google.com/maps/@?api=1&amp;map_action=pano&amp;viewpoint=28.887310,-82.061535&amp;heading=90</t>
        </is>
      </c>
      <c r="K926" t="inlineStr">
        <is>
          <t>https://www.google.com/maps/search/?api=1&amp;query=28.887310,-82.061535</t>
        </is>
      </c>
      <c r="L926" t="inlineStr"/>
      <c r="M926" t="inlineStr"/>
      <c r="N926" t="inlineStr"/>
      <c r="O926" t="inlineStr"/>
      <c r="P926" t="inlineStr">
        <is>
          <t>pending</t>
        </is>
      </c>
      <c r="Q926" t="inlineStr"/>
      <c r="R926" t="inlineStr"/>
      <c r="S926" t="inlineStr"/>
      <c r="T926" t="inlineStr"/>
      <c r="U926" t="inlineStr"/>
      <c r="V926">
        <f>IF(OR(L926="",S926=""),"",IF(VALUE(L926)=VALUE(S926),"Y","N"))</f>
        <v/>
      </c>
      <c r="W926">
        <f>IF(V926="Y",S926,"")</f>
        <v/>
      </c>
      <c r="X926" t="inlineStr">
        <is>
          <t>unverified: map has 25 mph (guessed from road type); is it 25 (carts OK) or 30+?</t>
        </is>
      </c>
      <c r="Y926" t="inlineStr"/>
      <c r="Z926" t="n">
        <v>7018</v>
      </c>
      <c r="AA926" t="inlineStr">
        <is>
          <t>villages</t>
        </is>
      </c>
      <c r="AB926" t="inlineStr">
        <is>
          <t>villages|28.88731,-82.06153</t>
        </is>
      </c>
    </row>
    <row r="927">
      <c r="A927" t="inlineStr">
        <is>
          <t>VILLAGES-B2-030</t>
        </is>
      </c>
      <c r="B927" t="inlineStr">
        <is>
          <t>The Villages, FL</t>
        </is>
      </c>
      <c r="C927" t="inlineStr">
        <is>
          <t>County Road 44A</t>
        </is>
      </c>
      <c r="D927" t="inlineStr">
        <is>
          <t>(see map link)</t>
        </is>
      </c>
      <c r="E927" t="inlineStr">
        <is>
          <t>CR 44A</t>
        </is>
      </c>
      <c r="F927" t="inlineStr"/>
      <c r="G927" t="n">
        <v>25</v>
      </c>
      <c r="H927" t="inlineStr">
        <is>
          <t>inferred</t>
        </is>
      </c>
      <c r="I927" t="inlineStr">
        <is>
          <t>cart+LSV</t>
        </is>
      </c>
      <c r="J927" t="inlineStr">
        <is>
          <t>https://www.google.com/maps/@?api=1&amp;map_action=pano&amp;viewpoint=28.846580,-82.017170&amp;heading=306</t>
        </is>
      </c>
      <c r="K927" t="inlineStr">
        <is>
          <t>https://www.google.com/maps/search/?api=1&amp;query=28.846580,-82.017170</t>
        </is>
      </c>
      <c r="L927" t="inlineStr"/>
      <c r="M927" t="inlineStr"/>
      <c r="N927" t="inlineStr"/>
      <c r="O927" t="inlineStr"/>
      <c r="P927" t="inlineStr">
        <is>
          <t>pending</t>
        </is>
      </c>
      <c r="Q927" t="inlineStr"/>
      <c r="R927" t="inlineStr"/>
      <c r="S927" t="inlineStr"/>
      <c r="T927" t="inlineStr"/>
      <c r="U927" t="inlineStr"/>
      <c r="V927">
        <f>IF(OR(L927="",S927=""),"",IF(VALUE(L927)=VALUE(S927),"Y","N"))</f>
        <v/>
      </c>
      <c r="W927">
        <f>IF(V927="Y",S927,"")</f>
        <v/>
      </c>
      <c r="X927" t="inlineStr">
        <is>
          <t>unverified: map has 25 mph (guessed from road type); is it 25 (carts OK) or 30+?</t>
        </is>
      </c>
      <c r="Y927" t="inlineStr"/>
      <c r="Z927" t="n">
        <v>3818</v>
      </c>
      <c r="AA927" t="inlineStr">
        <is>
          <t>villages</t>
        </is>
      </c>
      <c r="AB927" t="inlineStr">
        <is>
          <t>villages|28.84658,-82.01717</t>
        </is>
      </c>
    </row>
    <row r="928">
      <c r="A928" t="inlineStr">
        <is>
          <t>VILLAGES-B2-031</t>
        </is>
      </c>
      <c r="B928" t="inlineStr">
        <is>
          <t>The Villages, FL</t>
        </is>
      </c>
      <c r="C928" t="inlineStr">
        <is>
          <t>Southeast 36th Avenue</t>
        </is>
      </c>
      <c r="D928" t="inlineStr">
        <is>
          <t>Southeast County Road 42</t>
        </is>
      </c>
      <c r="E928" t="inlineStr">
        <is>
          <t>Southeast 139th Street</t>
        </is>
      </c>
      <c r="F928" t="inlineStr"/>
      <c r="G928" t="n">
        <v>25</v>
      </c>
      <c r="H928" t="inlineStr">
        <is>
          <t>inferred</t>
        </is>
      </c>
      <c r="I928" t="inlineStr">
        <is>
          <t>cart+LSV</t>
        </is>
      </c>
      <c r="J928" t="inlineStr">
        <is>
          <t>https://www.google.com/maps/@?api=1&amp;map_action=pano&amp;viewpoint=29.048680,-82.086500&amp;heading=8</t>
        </is>
      </c>
      <c r="K928" t="inlineStr">
        <is>
          <t>https://www.google.com/maps/search/?api=1&amp;query=29.048680,-82.086500</t>
        </is>
      </c>
      <c r="L928" t="inlineStr"/>
      <c r="M928" t="inlineStr"/>
      <c r="N928" t="inlineStr"/>
      <c r="O928" t="inlineStr"/>
      <c r="P928" t="inlineStr">
        <is>
          <t>pending</t>
        </is>
      </c>
      <c r="Q928" t="inlineStr"/>
      <c r="R928" t="inlineStr"/>
      <c r="S928" t="inlineStr"/>
      <c r="T928" t="inlineStr"/>
      <c r="U928" t="inlineStr"/>
      <c r="V928">
        <f>IF(OR(L928="",S928=""),"",IF(VALUE(L928)=VALUE(S928),"Y","N"))</f>
        <v/>
      </c>
      <c r="W928">
        <f>IF(V928="Y",S928,"")</f>
        <v/>
      </c>
      <c r="X928" t="inlineStr">
        <is>
          <t>unverified: map has 25 mph (guessed from road type); is it 25 (carts OK) or 30+?</t>
        </is>
      </c>
      <c r="Y928" t="inlineStr"/>
      <c r="Z928" t="n">
        <v>10512</v>
      </c>
      <c r="AA928" t="inlineStr">
        <is>
          <t>villages</t>
        </is>
      </c>
      <c r="AB928" t="inlineStr">
        <is>
          <t>villages|29.04868,-82.08650</t>
        </is>
      </c>
    </row>
    <row r="929">
      <c r="A929" t="inlineStr">
        <is>
          <t>VILLAGES-B2-032</t>
        </is>
      </c>
      <c r="B929" t="inlineStr">
        <is>
          <t>The Villages, FL</t>
        </is>
      </c>
      <c r="C929" t="inlineStr">
        <is>
          <t>County Line Road</t>
        </is>
      </c>
      <c r="D929" t="inlineStr">
        <is>
          <t>County Road 101</t>
        </is>
      </c>
      <c r="E929" t="inlineStr">
        <is>
          <t>Nathan Mayo Highway</t>
        </is>
      </c>
      <c r="F929" t="inlineStr"/>
      <c r="G929" t="n">
        <v>25</v>
      </c>
      <c r="H929" t="inlineStr">
        <is>
          <t>inferred</t>
        </is>
      </c>
      <c r="I929" t="inlineStr">
        <is>
          <t>cart+LSV</t>
        </is>
      </c>
      <c r="J929" t="inlineStr">
        <is>
          <t>https://www.google.com/maps/@?api=1&amp;map_action=pano&amp;viewpoint=28.960135,-82.024420&amp;heading=270</t>
        </is>
      </c>
      <c r="K929" t="inlineStr">
        <is>
          <t>https://www.google.com/maps/search/?api=1&amp;query=28.960135,-82.024420</t>
        </is>
      </c>
      <c r="L929" t="inlineStr"/>
      <c r="M929" t="inlineStr"/>
      <c r="N929" t="inlineStr"/>
      <c r="O929" t="inlineStr"/>
      <c r="P929" t="inlineStr">
        <is>
          <t>pending</t>
        </is>
      </c>
      <c r="Q929" t="inlineStr"/>
      <c r="R929" t="inlineStr"/>
      <c r="S929" t="inlineStr"/>
      <c r="T929" t="inlineStr"/>
      <c r="U929" t="inlineStr"/>
      <c r="V929">
        <f>IF(OR(L929="",S929=""),"",IF(VALUE(L929)=VALUE(S929),"Y","N"))</f>
        <v/>
      </c>
      <c r="W929">
        <f>IF(V929="Y",S929,"")</f>
        <v/>
      </c>
      <c r="X929" t="inlineStr">
        <is>
          <t>unverified: map has 25 mph (guessed from road type); is it 25 (carts OK) or 30+?</t>
        </is>
      </c>
      <c r="Y929" t="inlineStr"/>
      <c r="Z929" t="n">
        <v>2371</v>
      </c>
      <c r="AA929" t="inlineStr">
        <is>
          <t>villages</t>
        </is>
      </c>
      <c r="AB929" t="inlineStr">
        <is>
          <t>villages|28.96014,-82.02442</t>
        </is>
      </c>
    </row>
    <row r="930">
      <c r="A930" t="inlineStr">
        <is>
          <t>VILLAGES-B2-033</t>
        </is>
      </c>
      <c r="B930" t="inlineStr">
        <is>
          <t>The Villages, FL</t>
        </is>
      </c>
      <c r="C930" t="inlineStr">
        <is>
          <t>CR 466</t>
        </is>
      </c>
      <c r="D930" t="inlineStr">
        <is>
          <t>County Road 237</t>
        </is>
      </c>
      <c r="E930" t="inlineStr">
        <is>
          <t>County Road 233A</t>
        </is>
      </c>
      <c r="F930" t="inlineStr"/>
      <c r="G930" t="n">
        <v>25</v>
      </c>
      <c r="H930" t="inlineStr">
        <is>
          <t>inferred</t>
        </is>
      </c>
      <c r="I930" t="inlineStr">
        <is>
          <t>cart+LSV</t>
        </is>
      </c>
      <c r="J930" t="inlineStr">
        <is>
          <t>https://www.google.com/maps/@?api=1&amp;map_action=pano&amp;viewpoint=28.927370,-82.105920&amp;heading=125</t>
        </is>
      </c>
      <c r="K930" t="inlineStr">
        <is>
          <t>https://www.google.com/maps/search/?api=1&amp;query=28.927370,-82.105920</t>
        </is>
      </c>
      <c r="L930" t="inlineStr"/>
      <c r="M930" t="inlineStr"/>
      <c r="N930" t="inlineStr"/>
      <c r="O930" t="inlineStr"/>
      <c r="P930" t="inlineStr">
        <is>
          <t>pending</t>
        </is>
      </c>
      <c r="Q930" t="inlineStr"/>
      <c r="R930" t="inlineStr"/>
      <c r="S930" t="inlineStr"/>
      <c r="T930" t="inlineStr"/>
      <c r="U930" t="inlineStr"/>
      <c r="V930">
        <f>IF(OR(L930="",S930=""),"",IF(VALUE(L930)=VALUE(S930),"Y","N"))</f>
        <v/>
      </c>
      <c r="W930">
        <f>IF(V930="Y",S930,"")</f>
        <v/>
      </c>
      <c r="X930" t="inlineStr">
        <is>
          <t>unverified: map has 25 mph (guessed from road type); is it 25 (carts OK) or 30+?</t>
        </is>
      </c>
      <c r="Y930" t="inlineStr"/>
      <c r="Z930" t="n">
        <v>5490</v>
      </c>
      <c r="AA930" t="inlineStr">
        <is>
          <t>villages</t>
        </is>
      </c>
      <c r="AB930" t="inlineStr">
        <is>
          <t>villages|28.92737,-82.10592</t>
        </is>
      </c>
    </row>
    <row r="931">
      <c r="A931" t="inlineStr">
        <is>
          <t>VILLAGES-B2-034</t>
        </is>
      </c>
      <c r="B931" t="inlineStr">
        <is>
          <t>The Villages, FL</t>
        </is>
      </c>
      <c r="C931" t="inlineStr">
        <is>
          <t>CR 103</t>
        </is>
      </c>
      <c r="D931" t="inlineStr">
        <is>
          <t>County Road 103</t>
        </is>
      </c>
      <c r="E931" t="inlineStr">
        <is>
          <t>County Line Road</t>
        </is>
      </c>
      <c r="F931" t="inlineStr"/>
      <c r="G931" t="n">
        <v>25</v>
      </c>
      <c r="H931" t="inlineStr">
        <is>
          <t>inferred</t>
        </is>
      </c>
      <c r="I931" t="inlineStr">
        <is>
          <t>cart+LSV</t>
        </is>
      </c>
      <c r="J931" t="inlineStr">
        <is>
          <t>https://www.google.com/maps/@?api=1&amp;map_action=pano&amp;viewpoint=28.941360,-82.028780&amp;heading=0</t>
        </is>
      </c>
      <c r="K931" t="inlineStr">
        <is>
          <t>https://www.google.com/maps/search/?api=1&amp;query=28.941360,-82.028780</t>
        </is>
      </c>
      <c r="L931" t="inlineStr"/>
      <c r="M931" t="inlineStr"/>
      <c r="N931" t="inlineStr"/>
      <c r="O931" t="inlineStr"/>
      <c r="P931" t="inlineStr">
        <is>
          <t>pending</t>
        </is>
      </c>
      <c r="Q931" t="inlineStr"/>
      <c r="R931" t="inlineStr"/>
      <c r="S931" t="inlineStr"/>
      <c r="T931" t="inlineStr"/>
      <c r="U931" t="inlineStr"/>
      <c r="V931">
        <f>IF(OR(L931="",S931=""),"",IF(VALUE(L931)=VALUE(S931),"Y","N"))</f>
        <v/>
      </c>
      <c r="W931">
        <f>IF(V931="Y",S931,"")</f>
        <v/>
      </c>
      <c r="X931" t="inlineStr">
        <is>
          <t>unverified: map has 25 mph (guessed from road type); is it 25 (carts OK) or 30+?</t>
        </is>
      </c>
      <c r="Y931" t="inlineStr"/>
      <c r="Z931" t="n">
        <v>3226</v>
      </c>
      <c r="AA931" t="inlineStr">
        <is>
          <t>villages</t>
        </is>
      </c>
      <c r="AB931" t="inlineStr">
        <is>
          <t>villages|28.94136,-82.02878</t>
        </is>
      </c>
    </row>
    <row r="932">
      <c r="A932" t="inlineStr">
        <is>
          <t>VILLAGES-B2-035</t>
        </is>
      </c>
      <c r="B932" t="inlineStr">
        <is>
          <t>The Villages, FL</t>
        </is>
      </c>
      <c r="C932" t="inlineStr">
        <is>
          <t>County Road 101</t>
        </is>
      </c>
      <c r="D932" t="inlineStr">
        <is>
          <t>County Line Road</t>
        </is>
      </c>
      <c r="E932" t="inlineStr">
        <is>
          <t>County Road 466</t>
        </is>
      </c>
      <c r="F932" t="inlineStr"/>
      <c r="G932" t="n">
        <v>25</v>
      </c>
      <c r="H932" t="inlineStr">
        <is>
          <t>inferred</t>
        </is>
      </c>
      <c r="I932" t="inlineStr">
        <is>
          <t>cart+LSV</t>
        </is>
      </c>
      <c r="J932" t="inlineStr">
        <is>
          <t>https://www.google.com/maps/@?api=1&amp;map_action=pano&amp;viewpoint=28.949535,-82.016340&amp;heading=180</t>
        </is>
      </c>
      <c r="K932" t="inlineStr">
        <is>
          <t>https://www.google.com/maps/search/?api=1&amp;query=28.949535,-82.016340</t>
        </is>
      </c>
      <c r="L932" t="inlineStr"/>
      <c r="M932" t="inlineStr"/>
      <c r="N932" t="inlineStr"/>
      <c r="O932" t="inlineStr"/>
      <c r="P932" t="inlineStr">
        <is>
          <t>pending</t>
        </is>
      </c>
      <c r="Q932" t="inlineStr"/>
      <c r="R932" t="inlineStr"/>
      <c r="S932" t="inlineStr"/>
      <c r="T932" t="inlineStr"/>
      <c r="U932" t="inlineStr"/>
      <c r="V932">
        <f>IF(OR(L932="",S932=""),"",IF(VALUE(L932)=VALUE(S932),"Y","N"))</f>
        <v/>
      </c>
      <c r="W932">
        <f>IF(V932="Y",S932,"")</f>
        <v/>
      </c>
      <c r="X932" t="inlineStr">
        <is>
          <t>unverified: map has 25 mph (guessed from road type); is it 25 (carts OK) or 30+?</t>
        </is>
      </c>
      <c r="Y932" t="inlineStr"/>
      <c r="Z932" t="n">
        <v>3991</v>
      </c>
      <c r="AA932" t="inlineStr">
        <is>
          <t>villages</t>
        </is>
      </c>
      <c r="AB932" t="inlineStr">
        <is>
          <t>villages|28.94953,-82.01634</t>
        </is>
      </c>
    </row>
    <row r="933">
      <c r="A933" t="inlineStr">
        <is>
          <t>VILLAGES-B2-036</t>
        </is>
      </c>
      <c r="B933" t="inlineStr">
        <is>
          <t>The Villages, FL</t>
        </is>
      </c>
      <c r="C933" t="inlineStr">
        <is>
          <t>Eagles Nest Road</t>
        </is>
      </c>
      <c r="D933" t="inlineStr">
        <is>
          <t>Citrus Boulevard</t>
        </is>
      </c>
      <c r="E933" t="inlineStr">
        <is>
          <t>South Grays Airport Road</t>
        </is>
      </c>
      <c r="F933" t="inlineStr"/>
      <c r="G933" t="n">
        <v>25</v>
      </c>
      <c r="H933" t="inlineStr">
        <is>
          <t>inferred</t>
        </is>
      </c>
      <c r="I933" t="inlineStr">
        <is>
          <t>cart+LSV</t>
        </is>
      </c>
      <c r="J933" t="inlineStr">
        <is>
          <t>https://www.google.com/maps/@?api=1&amp;map_action=pano&amp;viewpoint=28.887070,-81.896475&amp;heading=90</t>
        </is>
      </c>
      <c r="K933" t="inlineStr">
        <is>
          <t>https://www.google.com/maps/search/?api=1&amp;query=28.887070,-81.896475</t>
        </is>
      </c>
      <c r="L933" t="inlineStr"/>
      <c r="M933" t="inlineStr"/>
      <c r="N933" t="inlineStr"/>
      <c r="O933" t="inlineStr"/>
      <c r="P933" t="inlineStr">
        <is>
          <t>pending</t>
        </is>
      </c>
      <c r="Q933" t="inlineStr"/>
      <c r="R933" t="inlineStr"/>
      <c r="S933" t="inlineStr"/>
      <c r="T933" t="inlineStr"/>
      <c r="U933" t="inlineStr"/>
      <c r="V933">
        <f>IF(OR(L933="",S933=""),"",IF(VALUE(L933)=VALUE(S933),"Y","N"))</f>
        <v/>
      </c>
      <c r="W933">
        <f>IF(V933="Y",S933,"")</f>
        <v/>
      </c>
      <c r="X933" t="inlineStr">
        <is>
          <t>unverified: map has 25 mph (guessed from road type); is it 25 (carts OK) or 30+?</t>
        </is>
      </c>
      <c r="Y933" t="inlineStr"/>
      <c r="Z933" t="n">
        <v>1485</v>
      </c>
      <c r="AA933" t="inlineStr">
        <is>
          <t>villages</t>
        </is>
      </c>
      <c r="AB933" t="inlineStr">
        <is>
          <t>villages|28.88707,-81.89647</t>
        </is>
      </c>
    </row>
    <row r="934">
      <c r="A934" t="inlineStr">
        <is>
          <t>VILLAGES-B2-037</t>
        </is>
      </c>
      <c r="B934" t="inlineStr">
        <is>
          <t>The Villages, FL</t>
        </is>
      </c>
      <c r="C934" t="inlineStr">
        <is>
          <t>Warm Springs Avenue</t>
        </is>
      </c>
      <c r="D934" t="inlineStr">
        <is>
          <t>Meggison Road</t>
        </is>
      </c>
      <c r="E934" t="inlineStr">
        <is>
          <t>County Road 501</t>
        </is>
      </c>
      <c r="F934" t="inlineStr"/>
      <c r="G934" t="n">
        <v>45</v>
      </c>
      <c r="H934" t="inlineStr">
        <is>
          <t>tag</t>
        </is>
      </c>
      <c r="I934" t="inlineStr">
        <is>
          <t>no</t>
        </is>
      </c>
      <c r="J934" t="inlineStr">
        <is>
          <t>https://www.google.com/maps/@?api=1&amp;map_action=pano&amp;viewpoint=28.800380,-81.989730&amp;heading=69</t>
        </is>
      </c>
      <c r="K934" t="inlineStr">
        <is>
          <t>https://www.google.com/maps/search/?api=1&amp;query=28.800380,-81.989730</t>
        </is>
      </c>
      <c r="L934" t="inlineStr"/>
      <c r="M934" t="inlineStr"/>
      <c r="N934" t="inlineStr"/>
      <c r="O934" t="inlineStr"/>
      <c r="P934" t="inlineStr">
        <is>
          <t>pending</t>
        </is>
      </c>
      <c r="Q934" t="inlineStr"/>
      <c r="R934" t="inlineStr"/>
      <c r="S934" t="inlineStr"/>
      <c r="T934" t="inlineStr"/>
      <c r="U934" t="inlineStr"/>
      <c r="V934">
        <f>IF(OR(L934="",S934=""),"",IF(VALUE(L934)=VALUE(S934),"Y","N"))</f>
        <v/>
      </c>
      <c r="W934">
        <f>IF(V934="Y",S934,"")</f>
        <v/>
      </c>
      <c r="X934" t="inlineStr">
        <is>
          <t>unverified: map has 45 mph (OSM tag only); main road: what is posted? 35 or lower opens it to LSVs</t>
        </is>
      </c>
      <c r="Y934" t="inlineStr"/>
      <c r="Z934" t="n">
        <v>2943</v>
      </c>
      <c r="AA934" t="inlineStr">
        <is>
          <t>villages</t>
        </is>
      </c>
      <c r="AB934" t="inlineStr">
        <is>
          <t>villages|28.80038,-81.98973</t>
        </is>
      </c>
    </row>
    <row r="935">
      <c r="A935" t="inlineStr">
        <is>
          <t>VILLAGES-B2-038</t>
        </is>
      </c>
      <c r="B935" t="inlineStr">
        <is>
          <t>The Villages, FL</t>
        </is>
      </c>
      <c r="C935" t="inlineStr">
        <is>
          <t>Warm Springs Avenue</t>
        </is>
      </c>
      <c r="D935" t="inlineStr">
        <is>
          <t>Marsh Bend Trail</t>
        </is>
      </c>
      <c r="E935" t="inlineStr">
        <is>
          <t>Morse Boulevard</t>
        </is>
      </c>
      <c r="F935" t="inlineStr"/>
      <c r="G935" t="n">
        <v>45</v>
      </c>
      <c r="H935" t="inlineStr">
        <is>
          <t>tag</t>
        </is>
      </c>
      <c r="I935" t="inlineStr">
        <is>
          <t>no</t>
        </is>
      </c>
      <c r="J935" t="inlineStr">
        <is>
          <t>https://www.google.com/maps/@?api=1&amp;map_action=pano&amp;viewpoint=28.800680,-81.989350&amp;heading=243</t>
        </is>
      </c>
      <c r="K935" t="inlineStr">
        <is>
          <t>https://www.google.com/maps/search/?api=1&amp;query=28.800680,-81.989350</t>
        </is>
      </c>
      <c r="L935" t="inlineStr"/>
      <c r="M935" t="inlineStr"/>
      <c r="N935" t="inlineStr"/>
      <c r="O935" t="inlineStr"/>
      <c r="P935" t="inlineStr">
        <is>
          <t>pending</t>
        </is>
      </c>
      <c r="Q935" t="inlineStr"/>
      <c r="R935" t="inlineStr"/>
      <c r="S935" t="inlineStr"/>
      <c r="T935" t="inlineStr"/>
      <c r="U935" t="inlineStr"/>
      <c r="V935">
        <f>IF(OR(L935="",S935=""),"",IF(VALUE(L935)=VALUE(S935),"Y","N"))</f>
        <v/>
      </c>
      <c r="W935">
        <f>IF(V935="Y",S935,"")</f>
        <v/>
      </c>
      <c r="X935" t="inlineStr">
        <is>
          <t>unverified: map has 45 mph (OSM tag only); main road: what is posted? 35 or lower opens it to LSVs</t>
        </is>
      </c>
      <c r="Y935" t="inlineStr"/>
      <c r="Z935" t="n">
        <v>2931</v>
      </c>
      <c r="AA935" t="inlineStr">
        <is>
          <t>villages</t>
        </is>
      </c>
      <c r="AB935" t="inlineStr">
        <is>
          <t>villages|28.80068,-81.98935</t>
        </is>
      </c>
    </row>
    <row r="936">
      <c r="A936" t="inlineStr">
        <is>
          <t>VILLAGES-B2-039</t>
        </is>
      </c>
      <c r="B936" t="inlineStr">
        <is>
          <t>The Villages, FL</t>
        </is>
      </c>
      <c r="C936" t="inlineStr">
        <is>
          <t>Morse Boulevard</t>
        </is>
      </c>
      <c r="D936" t="inlineStr">
        <is>
          <t>(see map link)</t>
        </is>
      </c>
      <c r="E936" t="inlineStr">
        <is>
          <t>South Morse Boulevard</t>
        </is>
      </c>
      <c r="F936" t="inlineStr"/>
      <c r="G936" t="n">
        <v>35</v>
      </c>
      <c r="H936" t="inlineStr">
        <is>
          <t>tag</t>
        </is>
      </c>
      <c r="I936" t="inlineStr">
        <is>
          <t>LSV</t>
        </is>
      </c>
      <c r="J936" t="inlineStr">
        <is>
          <t>https://www.google.com/maps/@?api=1&amp;map_action=pano&amp;viewpoint=28.885960,-81.968910&amp;heading=325</t>
        </is>
      </c>
      <c r="K936" t="inlineStr">
        <is>
          <t>https://www.google.com/maps/search/?api=1&amp;query=28.885960,-81.968910</t>
        </is>
      </c>
      <c r="L936" t="inlineStr"/>
      <c r="M936" t="inlineStr"/>
      <c r="N936" t="inlineStr"/>
      <c r="O936" t="inlineStr"/>
      <c r="P936" t="inlineStr">
        <is>
          <t>pending</t>
        </is>
      </c>
      <c r="Q936" t="inlineStr"/>
      <c r="R936" t="inlineStr"/>
      <c r="S936" t="inlineStr"/>
      <c r="T936" t="inlineStr"/>
      <c r="U936" t="inlineStr"/>
      <c r="V936">
        <f>IF(OR(L936="",S936=""),"",IF(VALUE(L936)=VALUE(S936),"Y","N"))</f>
        <v/>
      </c>
      <c r="W936">
        <f>IF(V936="Y",S936,"")</f>
        <v/>
      </c>
      <c r="X936" t="inlineStr">
        <is>
          <t>unverified: map has 35 mph (OSM tag only); is it 35 (LSV OK) or 40+?</t>
        </is>
      </c>
      <c r="Y936" t="inlineStr"/>
      <c r="Z936" t="n">
        <v>1732</v>
      </c>
      <c r="AA936" t="inlineStr">
        <is>
          <t>villages</t>
        </is>
      </c>
      <c r="AB936" t="inlineStr">
        <is>
          <t>villages|28.88596,-81.96891</t>
        </is>
      </c>
    </row>
    <row r="937">
      <c r="A937" t="inlineStr">
        <is>
          <t>VILLAGES-B2-040</t>
        </is>
      </c>
      <c r="B937" t="inlineStr">
        <is>
          <t>The Villages, FL</t>
        </is>
      </c>
      <c r="C937" t="inlineStr">
        <is>
          <t>Morse Boulevard</t>
        </is>
      </c>
      <c r="D937" t="inlineStr">
        <is>
          <t>South Morse Boulevard</t>
        </is>
      </c>
      <c r="E937" t="inlineStr">
        <is>
          <t>(see map link)</t>
        </is>
      </c>
      <c r="F937" t="inlineStr"/>
      <c r="G937" t="n">
        <v>35</v>
      </c>
      <c r="H937" t="inlineStr">
        <is>
          <t>tag</t>
        </is>
      </c>
      <c r="I937" t="inlineStr">
        <is>
          <t>LSV</t>
        </is>
      </c>
      <c r="J937" t="inlineStr">
        <is>
          <t>https://www.google.com/maps/@?api=1&amp;map_action=pano&amp;viewpoint=28.885740,-81.968920&amp;heading=152</t>
        </is>
      </c>
      <c r="K937" t="inlineStr">
        <is>
          <t>https://www.google.com/maps/search/?api=1&amp;query=28.885740,-81.968920</t>
        </is>
      </c>
      <c r="L937" t="inlineStr"/>
      <c r="M937" t="inlineStr"/>
      <c r="N937" t="inlineStr"/>
      <c r="O937" t="inlineStr"/>
      <c r="P937" t="inlineStr">
        <is>
          <t>pending</t>
        </is>
      </c>
      <c r="Q937" t="inlineStr"/>
      <c r="R937" t="inlineStr"/>
      <c r="S937" t="inlineStr"/>
      <c r="T937" t="inlineStr"/>
      <c r="U937" t="inlineStr"/>
      <c r="V937">
        <f>IF(OR(L937="",S937=""),"",IF(VALUE(L937)=VALUE(S937),"Y","N"))</f>
        <v/>
      </c>
      <c r="W937">
        <f>IF(V937="Y",S937,"")</f>
        <v/>
      </c>
      <c r="X937" t="inlineStr">
        <is>
          <t>unverified: map has 35 mph (OSM tag only); is it 35 (LSV OK) or 40+?</t>
        </is>
      </c>
      <c r="Y937" t="inlineStr"/>
      <c r="Z937" t="n">
        <v>1719</v>
      </c>
      <c r="AA937" t="inlineStr">
        <is>
          <t>villages</t>
        </is>
      </c>
      <c r="AB937" t="inlineStr">
        <is>
          <t>villages|28.88574,-81.96892</t>
        </is>
      </c>
    </row>
    <row r="938">
      <c r="A938" t="inlineStr">
        <is>
          <t>VILLAGES-B2-041</t>
        </is>
      </c>
      <c r="B938" t="inlineStr">
        <is>
          <t>The Villages, FL</t>
        </is>
      </c>
      <c r="C938" t="inlineStr">
        <is>
          <t>Buena Vista Boulevard</t>
        </is>
      </c>
      <c r="D938" t="inlineStr">
        <is>
          <t>(see map link)</t>
        </is>
      </c>
      <c r="E938" t="inlineStr">
        <is>
          <t>Tunnel (cart tunnel)</t>
        </is>
      </c>
      <c r="F938" t="inlineStr"/>
      <c r="G938" t="n">
        <v>35</v>
      </c>
      <c r="H938" t="inlineStr">
        <is>
          <t>tag</t>
        </is>
      </c>
      <c r="I938" t="inlineStr">
        <is>
          <t>LSV</t>
        </is>
      </c>
      <c r="J938" t="inlineStr">
        <is>
          <t>https://www.google.com/maps/@?api=1&amp;map_action=pano&amp;viewpoint=28.908970,-81.990620&amp;heading=91</t>
        </is>
      </c>
      <c r="K938" t="inlineStr">
        <is>
          <t>https://www.google.com/maps/search/?api=1&amp;query=28.908970,-81.990620</t>
        </is>
      </c>
      <c r="L938" t="inlineStr"/>
      <c r="M938" t="inlineStr"/>
      <c r="N938" t="inlineStr"/>
      <c r="O938" t="inlineStr"/>
      <c r="P938" t="inlineStr">
        <is>
          <t>pending</t>
        </is>
      </c>
      <c r="Q938" t="inlineStr"/>
      <c r="R938" t="inlineStr"/>
      <c r="S938" t="inlineStr"/>
      <c r="T938" t="inlineStr"/>
      <c r="U938" t="inlineStr"/>
      <c r="V938">
        <f>IF(OR(L938="",S938=""),"",IF(VALUE(L938)=VALUE(S938),"Y","N"))</f>
        <v/>
      </c>
      <c r="W938">
        <f>IF(V938="Y",S938,"")</f>
        <v/>
      </c>
      <c r="X938" t="inlineStr">
        <is>
          <t>unverified: map has 35 mph (OSM tag only); is it 35 (LSV OK) or 40+?</t>
        </is>
      </c>
      <c r="Y938" t="inlineStr"/>
      <c r="Z938" t="n">
        <v>3366</v>
      </c>
      <c r="AA938" t="inlineStr">
        <is>
          <t>villages</t>
        </is>
      </c>
      <c r="AB938" t="inlineStr">
        <is>
          <t>villages|28.90897,-81.99062</t>
        </is>
      </c>
    </row>
    <row r="939">
      <c r="A939" t="inlineStr">
        <is>
          <t>VILLAGES-B2-042</t>
        </is>
      </c>
      <c r="B939" t="inlineStr">
        <is>
          <t>The Villages, FL</t>
        </is>
      </c>
      <c r="C939" t="inlineStr">
        <is>
          <t>Morse Boulevard</t>
        </is>
      </c>
      <c r="D939" t="inlineStr">
        <is>
          <t>(see map link)</t>
        </is>
      </c>
      <c r="E939" t="inlineStr">
        <is>
          <t>Charlene Place</t>
        </is>
      </c>
      <c r="F939" t="inlineStr"/>
      <c r="G939" t="n">
        <v>45</v>
      </c>
      <c r="H939" t="inlineStr">
        <is>
          <t>tag</t>
        </is>
      </c>
      <c r="I939" t="inlineStr">
        <is>
          <t>no</t>
        </is>
      </c>
      <c r="J939" t="inlineStr">
        <is>
          <t>https://www.google.com/maps/@?api=1&amp;map_action=pano&amp;viewpoint=28.809760,-81.980555&amp;heading=10</t>
        </is>
      </c>
      <c r="K939" t="inlineStr">
        <is>
          <t>https://www.google.com/maps/search/?api=1&amp;query=28.809760,-81.980555</t>
        </is>
      </c>
      <c r="L939" t="inlineStr"/>
      <c r="M939" t="inlineStr"/>
      <c r="N939" t="inlineStr"/>
      <c r="O939" t="inlineStr"/>
      <c r="P939" t="inlineStr">
        <is>
          <t>pending</t>
        </is>
      </c>
      <c r="Q939" t="inlineStr"/>
      <c r="R939" t="inlineStr"/>
      <c r="S939" t="inlineStr"/>
      <c r="T939" t="inlineStr"/>
      <c r="U939" t="inlineStr"/>
      <c r="V939">
        <f>IF(OR(L939="",S939=""),"",IF(VALUE(L939)=VALUE(S939),"Y","N"))</f>
        <v/>
      </c>
      <c r="W939">
        <f>IF(V939="Y",S939,"")</f>
        <v/>
      </c>
      <c r="X939" t="inlineStr">
        <is>
          <t>unverified: map has 45 mph (OSM tag only); main road: what is posted? 35 or lower opens it to LSVs</t>
        </is>
      </c>
      <c r="Y939" t="inlineStr"/>
      <c r="Z939" t="n">
        <v>2289</v>
      </c>
      <c r="AA939" t="inlineStr">
        <is>
          <t>villages</t>
        </is>
      </c>
      <c r="AB939" t="inlineStr">
        <is>
          <t>villages|28.80976,-81.98056</t>
        </is>
      </c>
    </row>
    <row r="940">
      <c r="A940" t="inlineStr">
        <is>
          <t>VILLAGES-B2-043</t>
        </is>
      </c>
      <c r="B940" t="inlineStr">
        <is>
          <t>The Villages, FL</t>
        </is>
      </c>
      <c r="C940" t="inlineStr">
        <is>
          <t>County Road 466A</t>
        </is>
      </c>
      <c r="D940" t="inlineStr">
        <is>
          <t>South Buena Vista Boulevard</t>
        </is>
      </c>
      <c r="E940" t="inlineStr">
        <is>
          <t>Trailwinds Boulevard</t>
        </is>
      </c>
      <c r="F940" t="inlineStr"/>
      <c r="G940" t="n">
        <v>45</v>
      </c>
      <c r="H940" t="inlineStr">
        <is>
          <t>tag</t>
        </is>
      </c>
      <c r="I940" t="inlineStr">
        <is>
          <t>no</t>
        </is>
      </c>
      <c r="J940" t="inlineStr">
        <is>
          <t>https://www.google.com/maps/@?api=1&amp;map_action=pano&amp;viewpoint=28.865300,-81.985205&amp;heading=90</t>
        </is>
      </c>
      <c r="K940" t="inlineStr">
        <is>
          <t>https://www.google.com/maps/search/?api=1&amp;query=28.865300,-81.985205</t>
        </is>
      </c>
      <c r="L940" t="inlineStr"/>
      <c r="M940" t="inlineStr"/>
      <c r="N940" t="inlineStr"/>
      <c r="O940" t="inlineStr"/>
      <c r="P940" t="inlineStr">
        <is>
          <t>pending</t>
        </is>
      </c>
      <c r="Q940" t="inlineStr"/>
      <c r="R940" t="inlineStr"/>
      <c r="S940" t="inlineStr"/>
      <c r="T940" t="inlineStr"/>
      <c r="U940" t="inlineStr"/>
      <c r="V940">
        <f>IF(OR(L940="",S940=""),"",IF(VALUE(L940)=VALUE(S940),"Y","N"))</f>
        <v/>
      </c>
      <c r="W940">
        <f>IF(V940="Y",S940,"")</f>
        <v/>
      </c>
      <c r="X940" t="inlineStr">
        <is>
          <t>unverified: map has 45 mph (OSM tag only); main road: what is posted? 35 or lower opens it to LSVs</t>
        </is>
      </c>
      <c r="Y940" t="inlineStr"/>
      <c r="Z940" t="n">
        <v>5639</v>
      </c>
      <c r="AA940" t="inlineStr">
        <is>
          <t>villages</t>
        </is>
      </c>
      <c r="AB940" t="inlineStr">
        <is>
          <t>villages|28.86530,-81.98521</t>
        </is>
      </c>
    </row>
    <row r="941">
      <c r="A941" t="inlineStr">
        <is>
          <t>VILLAGES-B2-044</t>
        </is>
      </c>
      <c r="B941" t="inlineStr">
        <is>
          <t>The Villages, FL</t>
        </is>
      </c>
      <c r="C941" t="inlineStr">
        <is>
          <t>Morse Boulevard</t>
        </is>
      </c>
      <c r="D941" t="inlineStr">
        <is>
          <t>(see map link)</t>
        </is>
      </c>
      <c r="E941" t="inlineStr">
        <is>
          <t>(see map link)</t>
        </is>
      </c>
      <c r="F941" t="inlineStr"/>
      <c r="G941" t="n">
        <v>35</v>
      </c>
      <c r="H941" t="inlineStr">
        <is>
          <t>tag</t>
        </is>
      </c>
      <c r="I941" t="inlineStr">
        <is>
          <t>LSV</t>
        </is>
      </c>
      <c r="J941" t="inlineStr">
        <is>
          <t>https://www.google.com/maps/@?api=1&amp;map_action=pano&amp;viewpoint=28.854520,-81.960060&amp;heading=16</t>
        </is>
      </c>
      <c r="K941" t="inlineStr">
        <is>
          <t>https://www.google.com/maps/search/?api=1&amp;query=28.854520,-81.960060</t>
        </is>
      </c>
      <c r="L941" t="inlineStr"/>
      <c r="M941" t="inlineStr"/>
      <c r="N941" t="inlineStr"/>
      <c r="O941" t="inlineStr"/>
      <c r="P941" t="inlineStr">
        <is>
          <t>pending</t>
        </is>
      </c>
      <c r="Q941" t="inlineStr"/>
      <c r="R941" t="inlineStr"/>
      <c r="S941" t="inlineStr"/>
      <c r="T941" t="inlineStr"/>
      <c r="U941" t="inlineStr"/>
      <c r="V941">
        <f>IF(OR(L941="",S941=""),"",IF(VALUE(L941)=VALUE(S941),"Y","N"))</f>
        <v/>
      </c>
      <c r="W941">
        <f>IF(V941="Y",S941,"")</f>
        <v/>
      </c>
      <c r="X941" t="inlineStr">
        <is>
          <t>unverified: map has 35 mph (OSM tag only); is it 35 (LSV OK) or 40+?</t>
        </is>
      </c>
      <c r="Y941" t="inlineStr"/>
      <c r="Z941" t="n">
        <v>1540</v>
      </c>
      <c r="AA941" t="inlineStr">
        <is>
          <t>villages</t>
        </is>
      </c>
      <c r="AB941" t="inlineStr">
        <is>
          <t>villages|28.85452,-81.96006</t>
        </is>
      </c>
    </row>
    <row r="942">
      <c r="A942" t="inlineStr">
        <is>
          <t>VILLAGES-B2-045</t>
        </is>
      </c>
      <c r="B942" t="inlineStr">
        <is>
          <t>The Villages, FL</t>
        </is>
      </c>
      <c r="C942" t="inlineStr">
        <is>
          <t>Morse Boulevard</t>
        </is>
      </c>
      <c r="D942" t="inlineStr">
        <is>
          <t>(see map link)</t>
        </is>
      </c>
      <c r="E942" t="inlineStr">
        <is>
          <t>(see map link)</t>
        </is>
      </c>
      <c r="F942" t="inlineStr"/>
      <c r="G942" t="n">
        <v>35</v>
      </c>
      <c r="H942" t="inlineStr">
        <is>
          <t>tag</t>
        </is>
      </c>
      <c r="I942" t="inlineStr">
        <is>
          <t>LSV</t>
        </is>
      </c>
      <c r="J942" t="inlineStr">
        <is>
          <t>https://www.google.com/maps/@?api=1&amp;map_action=pano&amp;viewpoint=28.854570,-81.960190&amp;heading=189</t>
        </is>
      </c>
      <c r="K942" t="inlineStr">
        <is>
          <t>https://www.google.com/maps/search/?api=1&amp;query=28.854570,-81.960190</t>
        </is>
      </c>
      <c r="L942" t="inlineStr"/>
      <c r="M942" t="inlineStr"/>
      <c r="N942" t="inlineStr"/>
      <c r="O942" t="inlineStr"/>
      <c r="P942" t="inlineStr">
        <is>
          <t>pending</t>
        </is>
      </c>
      <c r="Q942" t="inlineStr"/>
      <c r="R942" t="inlineStr"/>
      <c r="S942" t="inlineStr"/>
      <c r="T942" t="inlineStr"/>
      <c r="U942" t="inlineStr"/>
      <c r="V942">
        <f>IF(OR(L942="",S942=""),"",IF(VALUE(L942)=VALUE(S942),"Y","N"))</f>
        <v/>
      </c>
      <c r="W942">
        <f>IF(V942="Y",S942,"")</f>
        <v/>
      </c>
      <c r="X942" t="inlineStr">
        <is>
          <t>unverified: map has 35 mph (OSM tag only); is it 35 (LSV OK) or 40+?</t>
        </is>
      </c>
      <c r="Y942" t="inlineStr"/>
      <c r="Z942" t="n">
        <v>1533</v>
      </c>
      <c r="AA942" t="inlineStr">
        <is>
          <t>villages</t>
        </is>
      </c>
      <c r="AB942" t="inlineStr">
        <is>
          <t>villages|28.85457,-81.96019</t>
        </is>
      </c>
    </row>
    <row r="943">
      <c r="A943" t="inlineStr">
        <is>
          <t>VILLAGES-B2-046</t>
        </is>
      </c>
      <c r="B943" t="inlineStr">
        <is>
          <t>The Villages, FL</t>
        </is>
      </c>
      <c r="C943" t="inlineStr">
        <is>
          <t>Buena Vista Boulevard</t>
        </is>
      </c>
      <c r="D943" t="inlineStr">
        <is>
          <t>(see map link)</t>
        </is>
      </c>
      <c r="E943" t="inlineStr">
        <is>
          <t>(see map link)</t>
        </is>
      </c>
      <c r="F943" t="inlineStr"/>
      <c r="G943" t="n">
        <v>35</v>
      </c>
      <c r="H943" t="inlineStr">
        <is>
          <t>tag</t>
        </is>
      </c>
      <c r="I943" t="inlineStr">
        <is>
          <t>LSV</t>
        </is>
      </c>
      <c r="J943" t="inlineStr">
        <is>
          <t>https://www.google.com/maps/@?api=1&amp;map_action=pano&amp;viewpoint=28.851210,-82.000680&amp;heading=217</t>
        </is>
      </c>
      <c r="K943" t="inlineStr">
        <is>
          <t>https://www.google.com/maps/search/?api=1&amp;query=28.851210,-82.000680</t>
        </is>
      </c>
      <c r="L943" t="inlineStr"/>
      <c r="M943" t="inlineStr"/>
      <c r="N943" t="inlineStr"/>
      <c r="O943" t="inlineStr"/>
      <c r="P943" t="inlineStr">
        <is>
          <t>pending</t>
        </is>
      </c>
      <c r="Q943" t="inlineStr"/>
      <c r="R943" t="inlineStr"/>
      <c r="S943" t="inlineStr"/>
      <c r="T943" t="inlineStr"/>
      <c r="U943" t="inlineStr"/>
      <c r="V943">
        <f>IF(OR(L943="",S943=""),"",IF(VALUE(L943)=VALUE(S943),"Y","N"))</f>
        <v/>
      </c>
      <c r="W943">
        <f>IF(V943="Y",S943,"")</f>
        <v/>
      </c>
      <c r="X943" t="inlineStr">
        <is>
          <t>unverified: map has 35 mph (OSM tag only); is it 35 (LSV OK) or 40+?</t>
        </is>
      </c>
      <c r="Y943" t="inlineStr"/>
      <c r="Z943" t="n">
        <v>1643</v>
      </c>
      <c r="AA943" t="inlineStr">
        <is>
          <t>villages</t>
        </is>
      </c>
      <c r="AB943" t="inlineStr">
        <is>
          <t>villages|28.85121,-82.00068</t>
        </is>
      </c>
    </row>
    <row r="944">
      <c r="A944" t="inlineStr">
        <is>
          <t>VILLAGES-B2-047</t>
        </is>
      </c>
      <c r="B944" t="inlineStr">
        <is>
          <t>The Villages, FL</t>
        </is>
      </c>
      <c r="C944" t="inlineStr">
        <is>
          <t>County Road 466A</t>
        </is>
      </c>
      <c r="D944" t="inlineStr">
        <is>
          <t>Farner Place</t>
        </is>
      </c>
      <c r="E944" t="inlineStr">
        <is>
          <t>Seven Mile Drive</t>
        </is>
      </c>
      <c r="F944" t="inlineStr"/>
      <c r="G944" t="n">
        <v>45</v>
      </c>
      <c r="H944" t="inlineStr">
        <is>
          <t>tag</t>
        </is>
      </c>
      <c r="I944" t="inlineStr">
        <is>
          <t>no</t>
        </is>
      </c>
      <c r="J944" t="inlineStr">
        <is>
          <t>https://www.google.com/maps/@?api=1&amp;map_action=pano&amp;viewpoint=28.865435,-81.976265&amp;heading=270</t>
        </is>
      </c>
      <c r="K944" t="inlineStr">
        <is>
          <t>https://www.google.com/maps/search/?api=1&amp;query=28.865435,-81.976265</t>
        </is>
      </c>
      <c r="L944" t="inlineStr"/>
      <c r="M944" t="inlineStr"/>
      <c r="N944" t="inlineStr"/>
      <c r="O944" t="inlineStr"/>
      <c r="P944" t="inlineStr">
        <is>
          <t>pending</t>
        </is>
      </c>
      <c r="Q944" t="inlineStr"/>
      <c r="R944" t="inlineStr"/>
      <c r="S944" t="inlineStr"/>
      <c r="T944" t="inlineStr"/>
      <c r="U944" t="inlineStr"/>
      <c r="V944">
        <f>IF(OR(L944="",S944=""),"",IF(VALUE(L944)=VALUE(S944),"Y","N"))</f>
        <v/>
      </c>
      <c r="W944">
        <f>IF(V944="Y",S944,"")</f>
        <v/>
      </c>
      <c r="X944" t="inlineStr">
        <is>
          <t>unverified: map has 45 mph (OSM tag only); main road: what is posted? 35 or lower opens it to LSVs</t>
        </is>
      </c>
      <c r="Y944" t="inlineStr"/>
      <c r="Z944" t="n">
        <v>5585</v>
      </c>
      <c r="AA944" t="inlineStr">
        <is>
          <t>villages</t>
        </is>
      </c>
      <c r="AB944" t="inlineStr">
        <is>
          <t>villages|28.86543,-81.97626</t>
        </is>
      </c>
    </row>
    <row r="945">
      <c r="A945" t="inlineStr">
        <is>
          <t>VILLAGES-B2-048</t>
        </is>
      </c>
      <c r="B945" t="inlineStr">
        <is>
          <t>The Villages, FL</t>
        </is>
      </c>
      <c r="C945" t="inlineStr">
        <is>
          <t>Morse Boulevard</t>
        </is>
      </c>
      <c r="D945" t="inlineStr">
        <is>
          <t>SR 44</t>
        </is>
      </c>
      <c r="E945" t="inlineStr">
        <is>
          <t>Warm Springs Avenue</t>
        </is>
      </c>
      <c r="F945" t="inlineStr"/>
      <c r="G945" t="n">
        <v>45</v>
      </c>
      <c r="H945" t="inlineStr">
        <is>
          <t>tag</t>
        </is>
      </c>
      <c r="I945" t="inlineStr">
        <is>
          <t>no</t>
        </is>
      </c>
      <c r="J945" t="inlineStr">
        <is>
          <t>https://www.google.com/maps/@?api=1&amp;map_action=pano&amp;viewpoint=28.818410,-81.977910&amp;heading=204</t>
        </is>
      </c>
      <c r="K945" t="inlineStr">
        <is>
          <t>https://www.google.com/maps/search/?api=1&amp;query=28.818410,-81.977910</t>
        </is>
      </c>
      <c r="L945" t="inlineStr"/>
      <c r="M945" t="inlineStr"/>
      <c r="N945" t="inlineStr"/>
      <c r="O945" t="inlineStr"/>
      <c r="P945" t="inlineStr">
        <is>
          <t>pending</t>
        </is>
      </c>
      <c r="Q945" t="inlineStr"/>
      <c r="R945" t="inlineStr"/>
      <c r="S945" t="inlineStr"/>
      <c r="T945" t="inlineStr"/>
      <c r="U945" t="inlineStr"/>
      <c r="V945">
        <f>IF(OR(L945="",S945=""),"",IF(VALUE(L945)=VALUE(S945),"Y","N"))</f>
        <v/>
      </c>
      <c r="W945">
        <f>IF(V945="Y",S945,"")</f>
        <v/>
      </c>
      <c r="X945" t="inlineStr">
        <is>
          <t>unverified: map has 45 mph (OSM tag only); main road: what is posted? 35 or lower opens it to LSVs</t>
        </is>
      </c>
      <c r="Y945" t="inlineStr"/>
      <c r="Z945" t="n">
        <v>2397</v>
      </c>
      <c r="AA945" t="inlineStr">
        <is>
          <t>villages</t>
        </is>
      </c>
      <c r="AB945" t="inlineStr">
        <is>
          <t>villages|28.81841,-81.97791</t>
        </is>
      </c>
    </row>
    <row r="946">
      <c r="A946" t="inlineStr">
        <is>
          <t>VILLAGES-B2-049</t>
        </is>
      </c>
      <c r="B946" t="inlineStr">
        <is>
          <t>The Villages, FL</t>
        </is>
      </c>
      <c r="C946" t="inlineStr">
        <is>
          <t>El Camino Real</t>
        </is>
      </c>
      <c r="D946" t="inlineStr">
        <is>
          <t>(see map link)</t>
        </is>
      </c>
      <c r="E946" t="inlineStr">
        <is>
          <t>Tunnel (cart tunnel)</t>
        </is>
      </c>
      <c r="F946" t="inlineStr"/>
      <c r="G946" t="n">
        <v>35</v>
      </c>
      <c r="H946" t="inlineStr">
        <is>
          <t>tag</t>
        </is>
      </c>
      <c r="I946" t="inlineStr">
        <is>
          <t>LSV</t>
        </is>
      </c>
      <c r="J946" t="inlineStr">
        <is>
          <t>https://www.google.com/maps/@?api=1&amp;map_action=pano&amp;viewpoint=28.951010,-81.986960&amp;heading=232</t>
        </is>
      </c>
      <c r="K946" t="inlineStr">
        <is>
          <t>https://www.google.com/maps/search/?api=1&amp;query=28.951010,-81.986960</t>
        </is>
      </c>
      <c r="L946" t="inlineStr"/>
      <c r="M946" t="inlineStr"/>
      <c r="N946" t="inlineStr"/>
      <c r="O946" t="inlineStr"/>
      <c r="P946" t="inlineStr">
        <is>
          <t>pending</t>
        </is>
      </c>
      <c r="Q946" t="inlineStr"/>
      <c r="R946" t="inlineStr"/>
      <c r="S946" t="inlineStr"/>
      <c r="T946" t="inlineStr"/>
      <c r="U946" t="inlineStr"/>
      <c r="V946">
        <f>IF(OR(L946="",S946=""),"",IF(VALUE(L946)=VALUE(S946),"Y","N"))</f>
        <v/>
      </c>
      <c r="W946">
        <f>IF(V946="Y",S946,"")</f>
        <v/>
      </c>
      <c r="X946" t="inlineStr">
        <is>
          <t>unverified: map has 35 mph (OSM tag only); is it 35 (LSV OK) or 40+?</t>
        </is>
      </c>
      <c r="Y946" t="inlineStr"/>
      <c r="Z946" t="n">
        <v>4698</v>
      </c>
      <c r="AA946" t="inlineStr">
        <is>
          <t>villages</t>
        </is>
      </c>
      <c r="AB946" t="inlineStr">
        <is>
          <t>villages|28.95101,-81.98696</t>
        </is>
      </c>
    </row>
    <row r="947">
      <c r="A947" t="inlineStr">
        <is>
          <t>VILLAGES-B2-050</t>
        </is>
      </c>
      <c r="B947" t="inlineStr">
        <is>
          <t>The Villages, FL</t>
        </is>
      </c>
      <c r="C947" t="inlineStr">
        <is>
          <t>El Camino Real</t>
        </is>
      </c>
      <c r="D947" t="inlineStr">
        <is>
          <t>(see map link)</t>
        </is>
      </c>
      <c r="E947" t="inlineStr">
        <is>
          <t>Cart path</t>
        </is>
      </c>
      <c r="F947" t="inlineStr"/>
      <c r="G947" t="n">
        <v>35</v>
      </c>
      <c r="H947" t="inlineStr">
        <is>
          <t>tag</t>
        </is>
      </c>
      <c r="I947" t="inlineStr">
        <is>
          <t>LSV</t>
        </is>
      </c>
      <c r="J947" t="inlineStr">
        <is>
          <t>https://www.google.com/maps/@?api=1&amp;map_action=pano&amp;viewpoint=28.950900,-81.986900&amp;heading=62</t>
        </is>
      </c>
      <c r="K947" t="inlineStr">
        <is>
          <t>https://www.google.com/maps/search/?api=1&amp;query=28.950900,-81.986900</t>
        </is>
      </c>
      <c r="L947" t="inlineStr"/>
      <c r="M947" t="inlineStr"/>
      <c r="N947" t="inlineStr"/>
      <c r="O947" t="inlineStr"/>
      <c r="P947" t="inlineStr">
        <is>
          <t>pending</t>
        </is>
      </c>
      <c r="Q947" t="inlineStr"/>
      <c r="R947" t="inlineStr"/>
      <c r="S947" t="inlineStr"/>
      <c r="T947" t="inlineStr"/>
      <c r="U947" t="inlineStr"/>
      <c r="V947">
        <f>IF(OR(L947="",S947=""),"",IF(VALUE(L947)=VALUE(S947),"Y","N"))</f>
        <v/>
      </c>
      <c r="W947">
        <f>IF(V947="Y",S947,"")</f>
        <v/>
      </c>
      <c r="X947" t="inlineStr">
        <is>
          <t>unverified: map has 35 mph (OSM tag only); is it 35 (LSV OK) or 40+?</t>
        </is>
      </c>
      <c r="Y947" t="inlineStr"/>
      <c r="Z947" t="n">
        <v>4687</v>
      </c>
      <c r="AA947" t="inlineStr">
        <is>
          <t>villages</t>
        </is>
      </c>
      <c r="AB947" t="inlineStr">
        <is>
          <t>villages|28.95090,-81.98690</t>
        </is>
      </c>
    </row>
    <row r="948">
      <c r="A948" t="inlineStr">
        <is>
          <t>VILLAGES-B2-051</t>
        </is>
      </c>
      <c r="B948" t="inlineStr">
        <is>
          <t>The Villages, FL</t>
        </is>
      </c>
      <c r="C948" t="inlineStr">
        <is>
          <t>County Road 466</t>
        </is>
      </c>
      <c r="D948" t="inlineStr">
        <is>
          <t>CR 466</t>
        </is>
      </c>
      <c r="E948" t="inlineStr">
        <is>
          <t>Morse Boulevard</t>
        </is>
      </c>
      <c r="F948" t="inlineStr"/>
      <c r="G948" t="n">
        <v>45</v>
      </c>
      <c r="H948" t="inlineStr">
        <is>
          <t>tag</t>
        </is>
      </c>
      <c r="I948" t="inlineStr">
        <is>
          <t>no</t>
        </is>
      </c>
      <c r="J948" t="inlineStr">
        <is>
          <t>https://www.google.com/maps/@?api=1&amp;map_action=pano&amp;viewpoint=28.920100,-81.980000&amp;heading=270</t>
        </is>
      </c>
      <c r="K948" t="inlineStr">
        <is>
          <t>https://www.google.com/maps/search/?api=1&amp;query=28.920100,-81.980000</t>
        </is>
      </c>
      <c r="L948" t="inlineStr"/>
      <c r="M948" t="inlineStr"/>
      <c r="N948" t="inlineStr"/>
      <c r="O948" t="inlineStr"/>
      <c r="P948" t="inlineStr">
        <is>
          <t>pending</t>
        </is>
      </c>
      <c r="Q948" t="inlineStr"/>
      <c r="R948" t="inlineStr"/>
      <c r="S948" t="inlineStr"/>
      <c r="T948" t="inlineStr"/>
      <c r="U948" t="inlineStr"/>
      <c r="V948">
        <f>IF(OR(L948="",S948=""),"",IF(VALUE(L948)=VALUE(S948),"Y","N"))</f>
        <v/>
      </c>
      <c r="W948">
        <f>IF(V948="Y",S948,"")</f>
        <v/>
      </c>
      <c r="X948" t="inlineStr">
        <is>
          <t>unverified: map has 45 mph (OSM tag only); main road: what is posted? 35 or lower opens it to LSVs</t>
        </is>
      </c>
      <c r="Y948" t="inlineStr"/>
      <c r="Z948" t="n">
        <v>7532</v>
      </c>
      <c r="AA948" t="inlineStr">
        <is>
          <t>villages</t>
        </is>
      </c>
      <c r="AB948" t="inlineStr">
        <is>
          <t>villages|28.92010,-81.98000</t>
        </is>
      </c>
    </row>
    <row r="949">
      <c r="A949" t="inlineStr">
        <is>
          <t>VILLAGES-B2-052</t>
        </is>
      </c>
      <c r="B949" t="inlineStr">
        <is>
          <t>The Villages, FL</t>
        </is>
      </c>
      <c r="C949" t="inlineStr">
        <is>
          <t>County Road 466</t>
        </is>
      </c>
      <c r="D949" t="inlineStr">
        <is>
          <t>Laurel Manor Drive</t>
        </is>
      </c>
      <c r="E949" t="inlineStr">
        <is>
          <t>US 301</t>
        </is>
      </c>
      <c r="F949" t="inlineStr"/>
      <c r="G949" t="n">
        <v>45</v>
      </c>
      <c r="H949" t="inlineStr">
        <is>
          <t>tag</t>
        </is>
      </c>
      <c r="I949" t="inlineStr">
        <is>
          <t>no</t>
        </is>
      </c>
      <c r="J949" t="inlineStr">
        <is>
          <t>https://www.google.com/maps/@?api=1&amp;map_action=pano&amp;viewpoint=28.919970,-81.980000&amp;heading=90</t>
        </is>
      </c>
      <c r="K949" t="inlineStr">
        <is>
          <t>https://www.google.com/maps/search/?api=1&amp;query=28.919970,-81.980000</t>
        </is>
      </c>
      <c r="L949" t="inlineStr"/>
      <c r="M949" t="inlineStr"/>
      <c r="N949" t="inlineStr"/>
      <c r="O949" t="inlineStr"/>
      <c r="P949" t="inlineStr">
        <is>
          <t>pending</t>
        </is>
      </c>
      <c r="Q949" t="inlineStr"/>
      <c r="R949" t="inlineStr"/>
      <c r="S949" t="inlineStr"/>
      <c r="T949" t="inlineStr"/>
      <c r="U949" t="inlineStr"/>
      <c r="V949">
        <f>IF(OR(L949="",S949=""),"",IF(VALUE(L949)=VALUE(S949),"Y","N"))</f>
        <v/>
      </c>
      <c r="W949">
        <f>IF(V949="Y",S949,"")</f>
        <v/>
      </c>
      <c r="X949" t="inlineStr">
        <is>
          <t>unverified: map has 45 mph (OSM tag only); main road: what is posted? 35 or lower opens it to LSVs</t>
        </is>
      </c>
      <c r="Y949" t="inlineStr"/>
      <c r="Z949" t="n">
        <v>8549</v>
      </c>
      <c r="AA949" t="inlineStr">
        <is>
          <t>villages</t>
        </is>
      </c>
      <c r="AB949" t="inlineStr">
        <is>
          <t>villages|28.91997,-81.98000</t>
        </is>
      </c>
    </row>
    <row r="950">
      <c r="A950" t="inlineStr">
        <is>
          <t>VILLAGES-B2-053</t>
        </is>
      </c>
      <c r="B950" t="inlineStr">
        <is>
          <t>The Villages, FL</t>
        </is>
      </c>
      <c r="C950" t="inlineStr">
        <is>
          <t>Warm Springs Avenue</t>
        </is>
      </c>
      <c r="D950" t="inlineStr">
        <is>
          <t>County Road 507</t>
        </is>
      </c>
      <c r="E950" t="inlineStr">
        <is>
          <t>County Road 503</t>
        </is>
      </c>
      <c r="F950" t="inlineStr"/>
      <c r="G950" t="n">
        <v>45</v>
      </c>
      <c r="H950" t="inlineStr">
        <is>
          <t>tag</t>
        </is>
      </c>
      <c r="I950" t="inlineStr">
        <is>
          <t>no</t>
        </is>
      </c>
      <c r="J950" t="inlineStr">
        <is>
          <t>https://www.google.com/maps/@?api=1&amp;map_action=pano&amp;viewpoint=28.799800,-82.044570&amp;heading=271</t>
        </is>
      </c>
      <c r="K950" t="inlineStr">
        <is>
          <t>https://www.google.com/maps/search/?api=1&amp;query=28.799800,-82.044570</t>
        </is>
      </c>
      <c r="L950" t="inlineStr"/>
      <c r="M950" t="inlineStr"/>
      <c r="N950" t="inlineStr"/>
      <c r="O950" t="inlineStr"/>
      <c r="P950" t="inlineStr">
        <is>
          <t>pending</t>
        </is>
      </c>
      <c r="Q950" t="inlineStr"/>
      <c r="R950" t="inlineStr"/>
      <c r="S950" t="inlineStr"/>
      <c r="T950" t="inlineStr"/>
      <c r="U950" t="inlineStr"/>
      <c r="V950">
        <f>IF(OR(L950="",S950=""),"",IF(VALUE(L950)=VALUE(S950),"Y","N"))</f>
        <v/>
      </c>
      <c r="W950">
        <f>IF(V950="Y",S950,"")</f>
        <v/>
      </c>
      <c r="X950" t="inlineStr">
        <is>
          <t>unverified: map has 45 mph (OSM tag only); main road: what is posted? 35 or lower opens it to LSVs</t>
        </is>
      </c>
      <c r="Y950" t="inlineStr"/>
      <c r="Z950" t="n">
        <v>3542</v>
      </c>
      <c r="AA950" t="inlineStr">
        <is>
          <t>villages</t>
        </is>
      </c>
      <c r="AB950" t="inlineStr">
        <is>
          <t>villages|28.79980,-82.04457</t>
        </is>
      </c>
    </row>
    <row r="951">
      <c r="A951" t="inlineStr">
        <is>
          <t>VILLAGES-B2-054</t>
        </is>
      </c>
      <c r="B951" t="inlineStr">
        <is>
          <t>The Villages, FL</t>
        </is>
      </c>
      <c r="C951" t="inlineStr">
        <is>
          <t>Warm Springs Avenue</t>
        </is>
      </c>
      <c r="D951" t="inlineStr">
        <is>
          <t>(see map link)</t>
        </is>
      </c>
      <c r="E951" t="inlineStr">
        <is>
          <t>US 301</t>
        </is>
      </c>
      <c r="F951" t="inlineStr"/>
      <c r="G951" t="n">
        <v>45</v>
      </c>
      <c r="H951" t="inlineStr">
        <is>
          <t>tag</t>
        </is>
      </c>
      <c r="I951" t="inlineStr">
        <is>
          <t>no</t>
        </is>
      </c>
      <c r="J951" t="inlineStr">
        <is>
          <t>https://www.google.com/maps/@?api=1&amp;map_action=pano&amp;viewpoint=28.799660,-82.015540&amp;heading=90</t>
        </is>
      </c>
      <c r="K951" t="inlineStr">
        <is>
          <t>https://www.google.com/maps/search/?api=1&amp;query=28.799660,-82.015540</t>
        </is>
      </c>
      <c r="L951" t="inlineStr"/>
      <c r="M951" t="inlineStr"/>
      <c r="N951" t="inlineStr"/>
      <c r="O951" t="inlineStr"/>
      <c r="P951" t="inlineStr">
        <is>
          <t>pending</t>
        </is>
      </c>
      <c r="Q951" t="inlineStr"/>
      <c r="R951" t="inlineStr"/>
      <c r="S951" t="inlineStr"/>
      <c r="T951" t="inlineStr"/>
      <c r="U951" t="inlineStr"/>
      <c r="V951">
        <f>IF(OR(L951="",S951=""),"",IF(VALUE(L951)=VALUE(S951),"Y","N"))</f>
        <v/>
      </c>
      <c r="W951">
        <f>IF(V951="Y",S951,"")</f>
        <v/>
      </c>
      <c r="X951" t="inlineStr">
        <is>
          <t>unverified: map has 45 mph (OSM tag only); main road: what is posted? 35 or lower opens it to LSVs</t>
        </is>
      </c>
      <c r="Y951" t="inlineStr"/>
      <c r="Z951" t="n">
        <v>3549</v>
      </c>
      <c r="AA951" t="inlineStr">
        <is>
          <t>villages</t>
        </is>
      </c>
      <c r="AB951" t="inlineStr">
        <is>
          <t>villages|28.79966,-82.01554</t>
        </is>
      </c>
    </row>
    <row r="952">
      <c r="A952" t="inlineStr">
        <is>
          <t>VILLAGES-B2-055</t>
        </is>
      </c>
      <c r="B952" t="inlineStr">
        <is>
          <t>The Villages, FL</t>
        </is>
      </c>
      <c r="C952" t="inlineStr">
        <is>
          <t>Buena Vista Boulevard</t>
        </is>
      </c>
      <c r="D952" t="inlineStr">
        <is>
          <t>(see map link)</t>
        </is>
      </c>
      <c r="E952" t="inlineStr">
        <is>
          <t>Tunnel (cart tunnel)</t>
        </is>
      </c>
      <c r="F952" t="inlineStr"/>
      <c r="G952" t="n">
        <v>35</v>
      </c>
      <c r="H952" t="inlineStr">
        <is>
          <t>tag</t>
        </is>
      </c>
      <c r="I952" t="inlineStr">
        <is>
          <t>LSV</t>
        </is>
      </c>
      <c r="J952" t="inlineStr">
        <is>
          <t>https://www.google.com/maps/@?api=1&amp;map_action=pano&amp;viewpoint=28.943910,-82.000190&amp;heading=356</t>
        </is>
      </c>
      <c r="K952" t="inlineStr">
        <is>
          <t>https://www.google.com/maps/search/?api=1&amp;query=28.943910,-82.000190</t>
        </is>
      </c>
      <c r="L952" t="inlineStr"/>
      <c r="M952" t="inlineStr"/>
      <c r="N952" t="inlineStr"/>
      <c r="O952" t="inlineStr"/>
      <c r="P952" t="inlineStr">
        <is>
          <t>pending</t>
        </is>
      </c>
      <c r="Q952" t="inlineStr"/>
      <c r="R952" t="inlineStr"/>
      <c r="S952" t="inlineStr"/>
      <c r="T952" t="inlineStr"/>
      <c r="U952" t="inlineStr"/>
      <c r="V952">
        <f>IF(OR(L952="",S952=""),"",IF(VALUE(L952)=VALUE(S952),"Y","N"))</f>
        <v/>
      </c>
      <c r="W952">
        <f>IF(V952="Y",S952,"")</f>
        <v/>
      </c>
      <c r="X952" t="inlineStr">
        <is>
          <t>unverified: map has 35 mph (OSM tag only); is it 35 (LSV OK) or 40+?</t>
        </is>
      </c>
      <c r="Y952" t="inlineStr"/>
      <c r="Z952" t="n">
        <v>3526</v>
      </c>
      <c r="AA952" t="inlineStr">
        <is>
          <t>villages</t>
        </is>
      </c>
      <c r="AB952" t="inlineStr">
        <is>
          <t>villages|28.94391,-82.00019</t>
        </is>
      </c>
    </row>
    <row r="953">
      <c r="A953" t="inlineStr">
        <is>
          <t>VILLAGES-B2-056</t>
        </is>
      </c>
      <c r="B953" t="inlineStr">
        <is>
          <t>The Villages, FL</t>
        </is>
      </c>
      <c r="C953" t="inlineStr">
        <is>
          <t>Buena Vista Boulevard</t>
        </is>
      </c>
      <c r="D953" t="inlineStr">
        <is>
          <t>(see map link)</t>
        </is>
      </c>
      <c r="E953" t="inlineStr">
        <is>
          <t>Tunnel (cart tunnel)</t>
        </is>
      </c>
      <c r="F953" t="inlineStr"/>
      <c r="G953" t="n">
        <v>35</v>
      </c>
      <c r="H953" t="inlineStr">
        <is>
          <t>tag</t>
        </is>
      </c>
      <c r="I953" t="inlineStr">
        <is>
          <t>LSV</t>
        </is>
      </c>
      <c r="J953" t="inlineStr">
        <is>
          <t>https://www.google.com/maps/@?api=1&amp;map_action=pano&amp;viewpoint=28.943120,-82.000250&amp;heading=174</t>
        </is>
      </c>
      <c r="K953" t="inlineStr">
        <is>
          <t>https://www.google.com/maps/search/?api=1&amp;query=28.943120,-82.000250</t>
        </is>
      </c>
      <c r="L953" t="inlineStr"/>
      <c r="M953" t="inlineStr"/>
      <c r="N953" t="inlineStr"/>
      <c r="O953" t="inlineStr"/>
      <c r="P953" t="inlineStr">
        <is>
          <t>pending</t>
        </is>
      </c>
      <c r="Q953" t="inlineStr"/>
      <c r="R953" t="inlineStr"/>
      <c r="S953" t="inlineStr"/>
      <c r="T953" t="inlineStr"/>
      <c r="U953" t="inlineStr"/>
      <c r="V953">
        <f>IF(OR(L953="",S953=""),"",IF(VALUE(L953)=VALUE(S953),"Y","N"))</f>
        <v/>
      </c>
      <c r="W953">
        <f>IF(V953="Y",S953,"")</f>
        <v/>
      </c>
      <c r="X953" t="inlineStr">
        <is>
          <t>unverified: map has 35 mph (OSM tag only); is it 35 (LSV OK) or 40+?</t>
        </is>
      </c>
      <c r="Y953" t="inlineStr"/>
      <c r="Z953" t="n">
        <v>3539</v>
      </c>
      <c r="AA953" t="inlineStr">
        <is>
          <t>villages</t>
        </is>
      </c>
      <c r="AB953" t="inlineStr">
        <is>
          <t>villages|28.94312,-82.00025</t>
        </is>
      </c>
    </row>
    <row r="954">
      <c r="A954" t="inlineStr">
        <is>
          <t>VILLAGES-B2-057</t>
        </is>
      </c>
      <c r="B954" t="inlineStr">
        <is>
          <t>The Villages, FL</t>
        </is>
      </c>
      <c r="C954" t="inlineStr">
        <is>
          <t>Buena Vista Boulevard</t>
        </is>
      </c>
      <c r="D954" t="inlineStr">
        <is>
          <t>(see map link)</t>
        </is>
      </c>
      <c r="E954" t="inlineStr">
        <is>
          <t>(see map link)</t>
        </is>
      </c>
      <c r="F954" t="inlineStr"/>
      <c r="G954" t="n">
        <v>35</v>
      </c>
      <c r="H954" t="inlineStr">
        <is>
          <t>tag</t>
        </is>
      </c>
      <c r="I954" t="inlineStr">
        <is>
          <t>LSV</t>
        </is>
      </c>
      <c r="J954" t="inlineStr">
        <is>
          <t>https://www.google.com/maps/@?api=1&amp;map_action=pano&amp;viewpoint=28.964640,-82.011890&amp;heading=119</t>
        </is>
      </c>
      <c r="K954" t="inlineStr">
        <is>
          <t>https://www.google.com/maps/search/?api=1&amp;query=28.964640,-82.011890</t>
        </is>
      </c>
      <c r="L954" t="inlineStr"/>
      <c r="M954" t="inlineStr"/>
      <c r="N954" t="inlineStr"/>
      <c r="O954" t="inlineStr"/>
      <c r="P954" t="inlineStr">
        <is>
          <t>pending</t>
        </is>
      </c>
      <c r="Q954" t="inlineStr"/>
      <c r="R954" t="inlineStr"/>
      <c r="S954" t="inlineStr"/>
      <c r="T954" t="inlineStr"/>
      <c r="U954" t="inlineStr"/>
      <c r="V954">
        <f>IF(OR(L954="",S954=""),"",IF(VALUE(L954)=VALUE(S954),"Y","N"))</f>
        <v/>
      </c>
      <c r="W954">
        <f>IF(V954="Y",S954,"")</f>
        <v/>
      </c>
      <c r="X954" t="inlineStr">
        <is>
          <t>unverified: map has 35 mph (OSM tag only); is it 35 (LSV OK) or 40+?</t>
        </is>
      </c>
      <c r="Y954" t="inlineStr"/>
      <c r="Z954" t="n">
        <v>1476</v>
      </c>
      <c r="AA954" t="inlineStr">
        <is>
          <t>villages</t>
        </is>
      </c>
      <c r="AB954" t="inlineStr">
        <is>
          <t>villages|28.96464,-82.01189</t>
        </is>
      </c>
    </row>
    <row r="955">
      <c r="A955" t="inlineStr">
        <is>
          <t>VILLAGES-B2-058</t>
        </is>
      </c>
      <c r="B955" t="inlineStr">
        <is>
          <t>The Villages, FL</t>
        </is>
      </c>
      <c r="C955" t="inlineStr">
        <is>
          <t>Buena Vista Boulevard</t>
        </is>
      </c>
      <c r="D955" t="inlineStr">
        <is>
          <t>(see map link)</t>
        </is>
      </c>
      <c r="E955" t="inlineStr">
        <is>
          <t>(see map link)</t>
        </is>
      </c>
      <c r="F955" t="inlineStr"/>
      <c r="G955" t="n">
        <v>35</v>
      </c>
      <c r="H955" t="inlineStr">
        <is>
          <t>tag</t>
        </is>
      </c>
      <c r="I955" t="inlineStr">
        <is>
          <t>LSV</t>
        </is>
      </c>
      <c r="J955" t="inlineStr">
        <is>
          <t>https://www.google.com/maps/@?api=1&amp;map_action=pano&amp;viewpoint=28.965820,-82.013400&amp;heading=308</t>
        </is>
      </c>
      <c r="K955" t="inlineStr">
        <is>
          <t>https://www.google.com/maps/search/?api=1&amp;query=28.965820,-82.013400</t>
        </is>
      </c>
      <c r="L955" t="inlineStr"/>
      <c r="M955" t="inlineStr"/>
      <c r="N955" t="inlineStr"/>
      <c r="O955" t="inlineStr"/>
      <c r="P955" t="inlineStr">
        <is>
          <t>pending</t>
        </is>
      </c>
      <c r="Q955" t="inlineStr"/>
      <c r="R955" t="inlineStr"/>
      <c r="S955" t="inlineStr"/>
      <c r="T955" t="inlineStr"/>
      <c r="U955" t="inlineStr"/>
      <c r="V955">
        <f>IF(OR(L955="",S955=""),"",IF(VALUE(L955)=VALUE(S955),"Y","N"))</f>
        <v/>
      </c>
      <c r="W955">
        <f>IF(V955="Y",S955,"")</f>
        <v/>
      </c>
      <c r="X955" t="inlineStr">
        <is>
          <t>unverified: map has 35 mph (OSM tag only); is it 35 (LSV OK) or 40+?</t>
        </is>
      </c>
      <c r="Y955" t="inlineStr"/>
      <c r="Z955" t="n">
        <v>1457</v>
      </c>
      <c r="AA955" t="inlineStr">
        <is>
          <t>villages</t>
        </is>
      </c>
      <c r="AB955" t="inlineStr">
        <is>
          <t>villages|28.96582,-82.01340</t>
        </is>
      </c>
    </row>
    <row r="956">
      <c r="A956" t="inlineStr">
        <is>
          <t>VILLAGES-B2-059</t>
        </is>
      </c>
      <c r="B956" t="inlineStr">
        <is>
          <t>The Villages, FL</t>
        </is>
      </c>
      <c r="C956" t="inlineStr">
        <is>
          <t>Buena Vista Boulevard</t>
        </is>
      </c>
      <c r="D956" t="inlineStr">
        <is>
          <t>(see map link)</t>
        </is>
      </c>
      <c r="E956" t="inlineStr">
        <is>
          <t>(see map link)</t>
        </is>
      </c>
      <c r="F956" t="inlineStr"/>
      <c r="G956" t="n">
        <v>35</v>
      </c>
      <c r="H956" t="inlineStr">
        <is>
          <t>tag</t>
        </is>
      </c>
      <c r="I956" t="inlineStr">
        <is>
          <t>LSV</t>
        </is>
      </c>
      <c r="J956" t="inlineStr">
        <is>
          <t>https://www.google.com/maps/@?api=1&amp;map_action=pano&amp;viewpoint=28.886180,-81.979530&amp;heading=10</t>
        </is>
      </c>
      <c r="K956" t="inlineStr">
        <is>
          <t>https://www.google.com/maps/search/?api=1&amp;query=28.886180,-81.979530</t>
        </is>
      </c>
      <c r="L956" t="inlineStr"/>
      <c r="M956" t="inlineStr"/>
      <c r="N956" t="inlineStr"/>
      <c r="O956" t="inlineStr"/>
      <c r="P956" t="inlineStr">
        <is>
          <t>pending</t>
        </is>
      </c>
      <c r="Q956" t="inlineStr"/>
      <c r="R956" t="inlineStr"/>
      <c r="S956" t="inlineStr"/>
      <c r="T956" t="inlineStr"/>
      <c r="U956" t="inlineStr"/>
      <c r="V956">
        <f>IF(OR(L956="",S956=""),"",IF(VALUE(L956)=VALUE(S956),"Y","N"))</f>
        <v/>
      </c>
      <c r="W956">
        <f>IF(V956="Y",S956,"")</f>
        <v/>
      </c>
      <c r="X956" t="inlineStr">
        <is>
          <t>unverified: map has 35 mph (OSM tag only); is it 35 (LSV OK) or 40+?</t>
        </is>
      </c>
      <c r="Y956" t="inlineStr"/>
      <c r="Z956" t="n">
        <v>1451</v>
      </c>
      <c r="AA956" t="inlineStr">
        <is>
          <t>villages</t>
        </is>
      </c>
      <c r="AB956" t="inlineStr">
        <is>
          <t>villages|28.88618,-81.97953</t>
        </is>
      </c>
    </row>
    <row r="957">
      <c r="A957" t="inlineStr">
        <is>
          <t>VILLAGES-B2-060</t>
        </is>
      </c>
      <c r="B957" t="inlineStr">
        <is>
          <t>The Villages, FL</t>
        </is>
      </c>
      <c r="C957" t="inlineStr">
        <is>
          <t>Buena Vista Boulevard</t>
        </is>
      </c>
      <c r="D957" t="inlineStr">
        <is>
          <t>(see map link)</t>
        </is>
      </c>
      <c r="E957" t="inlineStr">
        <is>
          <t>(see map link)</t>
        </is>
      </c>
      <c r="F957" t="inlineStr"/>
      <c r="G957" t="n">
        <v>35</v>
      </c>
      <c r="H957" t="inlineStr">
        <is>
          <t>tag</t>
        </is>
      </c>
      <c r="I957" t="inlineStr">
        <is>
          <t>LSV</t>
        </is>
      </c>
      <c r="J957" t="inlineStr">
        <is>
          <t>https://www.google.com/maps/@?api=1&amp;map_action=pano&amp;viewpoint=28.885730,-81.979770&amp;heading=189</t>
        </is>
      </c>
      <c r="K957" t="inlineStr">
        <is>
          <t>https://www.google.com/maps/search/?api=1&amp;query=28.885730,-81.979770</t>
        </is>
      </c>
      <c r="L957" t="inlineStr"/>
      <c r="M957" t="inlineStr"/>
      <c r="N957" t="inlineStr"/>
      <c r="O957" t="inlineStr"/>
      <c r="P957" t="inlineStr">
        <is>
          <t>pending</t>
        </is>
      </c>
      <c r="Q957" t="inlineStr"/>
      <c r="R957" t="inlineStr"/>
      <c r="S957" t="inlineStr"/>
      <c r="T957" t="inlineStr"/>
      <c r="U957" t="inlineStr"/>
      <c r="V957">
        <f>IF(OR(L957="",S957=""),"",IF(VALUE(L957)=VALUE(S957),"Y","N"))</f>
        <v/>
      </c>
      <c r="W957">
        <f>IF(V957="Y",S957,"")</f>
        <v/>
      </c>
      <c r="X957" t="inlineStr">
        <is>
          <t>unverified: map has 35 mph (OSM tag only); is it 35 (LSV OK) or 40+?</t>
        </is>
      </c>
      <c r="Y957" t="inlineStr"/>
      <c r="Z957" t="n">
        <v>1445</v>
      </c>
      <c r="AA957" t="inlineStr">
        <is>
          <t>villages</t>
        </is>
      </c>
      <c r="AB957" t="inlineStr">
        <is>
          <t>villages|28.88573,-81.97977</t>
        </is>
      </c>
    </row>
    <row r="958">
      <c r="A958" t="inlineStr">
        <is>
          <t>VILLAGES-B2-061</t>
        </is>
      </c>
      <c r="B958" t="inlineStr">
        <is>
          <t>The Villages, FL</t>
        </is>
      </c>
      <c r="C958" t="inlineStr">
        <is>
          <t>SR 44</t>
        </is>
      </c>
      <c r="D958" t="inlineStr">
        <is>
          <t>Executive Boulevard</t>
        </is>
      </c>
      <c r="E958" t="inlineStr">
        <is>
          <t>Whitney Road</t>
        </is>
      </c>
      <c r="F958" t="inlineStr"/>
      <c r="G958" t="n">
        <v>45</v>
      </c>
      <c r="H958" t="inlineStr">
        <is>
          <t>mapillary</t>
        </is>
      </c>
      <c r="I958" t="inlineStr">
        <is>
          <t>no</t>
        </is>
      </c>
      <c r="J958" t="inlineStr">
        <is>
          <t>https://www.google.com/maps/@?api=1&amp;map_action=pano&amp;viewpoint=28.819850,-81.951770&amp;heading=108</t>
        </is>
      </c>
      <c r="K958" t="inlineStr">
        <is>
          <t>https://www.google.com/maps/search/?api=1&amp;query=28.819850,-81.951770</t>
        </is>
      </c>
      <c r="L958" t="inlineStr"/>
      <c r="M958" t="inlineStr"/>
      <c r="N958" t="inlineStr"/>
      <c r="O958" t="inlineStr"/>
      <c r="P958" t="inlineStr">
        <is>
          <t>pending</t>
        </is>
      </c>
      <c r="Q958" t="inlineStr"/>
      <c r="R958" t="inlineStr"/>
      <c r="S958" t="inlineStr"/>
      <c r="T958" t="inlineStr">
        <is>
          <t>Mapillary: 5 posted 45 mph sign(s) detected</t>
        </is>
      </c>
      <c r="U958" t="inlineStr">
        <is>
          <t>https://www.mapillary.com/app/?lat=28.817390&amp;lng=-81.943110&amp;z=19&amp;focus=map&amp;mapFeatureId=334563794689336</t>
        </is>
      </c>
      <c r="V958">
        <f>IF(OR(L958="",S958=""),"",IF(VALUE(L958)=VALUE(S958),"Y","N"))</f>
        <v/>
      </c>
      <c r="W958">
        <f>IF(V958="Y",S958,"")</f>
        <v/>
      </c>
      <c r="X958" t="inlineStr">
        <is>
          <t>unverified: map has 45 mph (one Mapillary sign); main road: what is posted? 35 or lower opens it to LSVs</t>
        </is>
      </c>
      <c r="Y958" t="inlineStr"/>
      <c r="Z958" t="n">
        <v>2469</v>
      </c>
      <c r="AA958" t="inlineStr">
        <is>
          <t>villages</t>
        </is>
      </c>
      <c r="AB958" t="inlineStr">
        <is>
          <t>villages|28.81985,-81.95177</t>
        </is>
      </c>
    </row>
    <row r="959">
      <c r="A959" t="inlineStr">
        <is>
          <t>VILLAGES-B2-062</t>
        </is>
      </c>
      <c r="B959" t="inlineStr">
        <is>
          <t>The Villages, FL</t>
        </is>
      </c>
      <c r="C959" t="inlineStr">
        <is>
          <t>South Street</t>
        </is>
      </c>
      <c r="D959" t="inlineStr">
        <is>
          <t>(see map link)</t>
        </is>
      </c>
      <c r="E959" t="inlineStr">
        <is>
          <t>SR 44</t>
        </is>
      </c>
      <c r="F959" t="inlineStr"/>
      <c r="G959" t="n">
        <v>45</v>
      </c>
      <c r="H959" t="inlineStr">
        <is>
          <t>mapillary</t>
        </is>
      </c>
      <c r="I959" t="inlineStr">
        <is>
          <t>no</t>
        </is>
      </c>
      <c r="J959" t="inlineStr">
        <is>
          <t>https://www.google.com/maps/@?api=1&amp;map_action=pano&amp;viewpoint=28.807460,-81.916495&amp;heading=0</t>
        </is>
      </c>
      <c r="K959" t="inlineStr">
        <is>
          <t>https://www.google.com/maps/search/?api=1&amp;query=28.807460,-81.916495</t>
        </is>
      </c>
      <c r="L959" t="inlineStr"/>
      <c r="M959" t="inlineStr"/>
      <c r="N959" t="inlineStr"/>
      <c r="O959" t="inlineStr"/>
      <c r="P959" t="inlineStr">
        <is>
          <t>pending</t>
        </is>
      </c>
      <c r="Q959" t="inlineStr"/>
      <c r="R959" t="inlineStr"/>
      <c r="S959" t="inlineStr"/>
      <c r="T959" t="inlineStr">
        <is>
          <t>Mapillary: 6 posted 45 mph sign(s) detected</t>
        </is>
      </c>
      <c r="U959" t="inlineStr">
        <is>
          <t>https://www.mapillary.com/app/?lat=28.802917&amp;lng=-81.906580&amp;z=19&amp;focus=map&amp;mapFeatureId=765609747439839</t>
        </is>
      </c>
      <c r="V959">
        <f>IF(OR(L959="",S959=""),"",IF(VALUE(L959)=VALUE(S959),"Y","N"))</f>
        <v/>
      </c>
      <c r="W959">
        <f>IF(V959="Y",S959,"")</f>
        <v/>
      </c>
      <c r="X959" t="inlineStr">
        <is>
          <t>unverified: map has 45 mph (one Mapillary sign); main road: what is posted? 35 or lower opens it to LSVs</t>
        </is>
      </c>
      <c r="Y959" t="inlineStr"/>
      <c r="Z959" t="n">
        <v>2311</v>
      </c>
      <c r="AA959" t="inlineStr">
        <is>
          <t>villages</t>
        </is>
      </c>
      <c r="AB959" t="inlineStr">
        <is>
          <t>villages|28.80746,-81.91649</t>
        </is>
      </c>
    </row>
    <row r="960">
      <c r="A960" t="inlineStr">
        <is>
          <t>VILLAGES-B2-063</t>
        </is>
      </c>
      <c r="B960" t="inlineStr">
        <is>
          <t>The Villages, FL</t>
        </is>
      </c>
      <c r="C960" t="inlineStr">
        <is>
          <t>SR 44</t>
        </is>
      </c>
      <c r="D960" t="inlineStr">
        <is>
          <t>CR 44A</t>
        </is>
      </c>
      <c r="E960" t="inlineStr">
        <is>
          <t>Northeast 25 Street</t>
        </is>
      </c>
      <c r="F960" t="inlineStr"/>
      <c r="G960" t="n">
        <v>45</v>
      </c>
      <c r="H960" t="inlineStr">
        <is>
          <t>mapillary</t>
        </is>
      </c>
      <c r="I960" t="inlineStr">
        <is>
          <t>no</t>
        </is>
      </c>
      <c r="J960" t="inlineStr">
        <is>
          <t>https://www.google.com/maps/@?api=1&amp;map_action=pano&amp;viewpoint=28.850700,-82.065100&amp;heading=131</t>
        </is>
      </c>
      <c r="K960" t="inlineStr">
        <is>
          <t>https://www.google.com/maps/search/?api=1&amp;query=28.850700,-82.065100</t>
        </is>
      </c>
      <c r="L960" t="inlineStr"/>
      <c r="M960" t="inlineStr"/>
      <c r="N960" t="inlineStr"/>
      <c r="O960" t="inlineStr"/>
      <c r="P960" t="inlineStr">
        <is>
          <t>pending</t>
        </is>
      </c>
      <c r="Q960" t="inlineStr"/>
      <c r="R960" t="inlineStr"/>
      <c r="S960" t="inlineStr"/>
      <c r="T960" t="inlineStr">
        <is>
          <t>Mapillary: 6 posted 45 mph sign(s) detected</t>
        </is>
      </c>
      <c r="U960" t="inlineStr">
        <is>
          <t>https://www.mapillary.com/app/?lat=28.848291&amp;lng=-82.060616&amp;z=19&amp;focus=map&amp;mapFeatureId=210957500857352</t>
        </is>
      </c>
      <c r="V960">
        <f>IF(OR(L960="",S960=""),"",IF(VALUE(L960)=VALUE(S960),"Y","N"))</f>
        <v/>
      </c>
      <c r="W960">
        <f>IF(V960="Y",S960,"")</f>
        <v/>
      </c>
      <c r="X960" t="inlineStr">
        <is>
          <t>unverified: map has 45 mph (one Mapillary sign); main road: what is posted? 35 or lower opens it to LSVs</t>
        </is>
      </c>
      <c r="Y960" t="inlineStr"/>
      <c r="Z960" t="n">
        <v>3338</v>
      </c>
      <c r="AA960" t="inlineStr">
        <is>
          <t>villages</t>
        </is>
      </c>
      <c r="AB960" t="inlineStr">
        <is>
          <t>villages|28.85070,-82.06510</t>
        </is>
      </c>
    </row>
    <row r="961">
      <c r="A961" t="inlineStr">
        <is>
          <t>VILLAGES-B2-064</t>
        </is>
      </c>
      <c r="B961" t="inlineStr">
        <is>
          <t>The Villages, FL</t>
        </is>
      </c>
      <c r="C961" t="inlineStr">
        <is>
          <t>US 301</t>
        </is>
      </c>
      <c r="D961" t="inlineStr">
        <is>
          <t>County Line Road</t>
        </is>
      </c>
      <c r="E961" t="inlineStr">
        <is>
          <t>County Road 201</t>
        </is>
      </c>
      <c r="F961" t="inlineStr"/>
      <c r="G961" t="n">
        <v>45</v>
      </c>
      <c r="H961" t="inlineStr">
        <is>
          <t>mapillary</t>
        </is>
      </c>
      <c r="I961" t="inlineStr">
        <is>
          <t>no</t>
        </is>
      </c>
      <c r="J961" t="inlineStr">
        <is>
          <t>https://www.google.com/maps/@?api=1&amp;map_action=pano&amp;viewpoint=28.953955,-82.039665&amp;heading=172</t>
        </is>
      </c>
      <c r="K961" t="inlineStr">
        <is>
          <t>https://www.google.com/maps/search/?api=1&amp;query=28.953955,-82.039665</t>
        </is>
      </c>
      <c r="L961" t="inlineStr"/>
      <c r="M961" t="inlineStr"/>
      <c r="N961" t="inlineStr"/>
      <c r="O961" t="inlineStr"/>
      <c r="P961" t="inlineStr">
        <is>
          <t>pending</t>
        </is>
      </c>
      <c r="Q961" t="inlineStr"/>
      <c r="R961" t="inlineStr"/>
      <c r="S961" t="inlineStr"/>
      <c r="T961" t="inlineStr">
        <is>
          <t>Mapillary: 1 posted 45 mph sign(s) detected</t>
        </is>
      </c>
      <c r="U961" t="inlineStr">
        <is>
          <t>https://www.mapillary.com/app/?lat=28.941217&amp;lng=-82.037674&amp;z=19&amp;focus=map&amp;mapFeatureId=999740470863382</t>
        </is>
      </c>
      <c r="V961">
        <f>IF(OR(L961="",S961=""),"",IF(VALUE(L961)=VALUE(S961),"Y","N"))</f>
        <v/>
      </c>
      <c r="W961">
        <f>IF(V961="Y",S961,"")</f>
        <v/>
      </c>
      <c r="X961" t="inlineStr">
        <is>
          <t>unverified: map has 45 mph (one Mapillary sign); main road: what is posted? 35 or lower opens it to LSVs</t>
        </is>
      </c>
      <c r="Y961" t="inlineStr"/>
      <c r="Z961" t="n">
        <v>3524</v>
      </c>
      <c r="AA961" t="inlineStr">
        <is>
          <t>villages</t>
        </is>
      </c>
      <c r="AB961" t="inlineStr">
        <is>
          <t>villages|28.95396,-82.03966</t>
        </is>
      </c>
    </row>
    <row r="962">
      <c r="A962" t="inlineStr">
        <is>
          <t>VILLAGES-B2-065</t>
        </is>
      </c>
      <c r="B962" t="inlineStr">
        <is>
          <t>The Villages, FL</t>
        </is>
      </c>
      <c r="C962" t="inlineStr">
        <is>
          <t>Buena Vista Boulevard</t>
        </is>
      </c>
      <c r="D962" t="inlineStr">
        <is>
          <t>CR 44A</t>
        </is>
      </c>
      <c r="E962" t="inlineStr">
        <is>
          <t>(see map link)</t>
        </is>
      </c>
      <c r="F962" t="inlineStr"/>
      <c r="G962" t="n">
        <v>35</v>
      </c>
      <c r="H962" t="inlineStr">
        <is>
          <t>tag</t>
        </is>
      </c>
      <c r="I962" t="inlineStr">
        <is>
          <t>LSV</t>
        </is>
      </c>
      <c r="J962" t="inlineStr">
        <is>
          <t>https://www.google.com/maps/@?api=1&amp;map_action=pano&amp;viewpoint=28.847540,-82.006630&amp;heading=70</t>
        </is>
      </c>
      <c r="K962" t="inlineStr">
        <is>
          <t>https://www.google.com/maps/search/?api=1&amp;query=28.847540,-82.006630</t>
        </is>
      </c>
      <c r="L962" t="inlineStr"/>
      <c r="M962" t="inlineStr"/>
      <c r="N962" t="inlineStr"/>
      <c r="O962" t="inlineStr"/>
      <c r="P962" t="inlineStr">
        <is>
          <t>pending</t>
        </is>
      </c>
      <c r="Q962" t="inlineStr"/>
      <c r="R962" t="inlineStr"/>
      <c r="S962" t="inlineStr"/>
      <c r="T962" t="inlineStr"/>
      <c r="U962" t="inlineStr"/>
      <c r="V962">
        <f>IF(OR(L962="",S962=""),"",IF(VALUE(L962)=VALUE(S962),"Y","N"))</f>
        <v/>
      </c>
      <c r="W962">
        <f>IF(V962="Y",S962,"")</f>
        <v/>
      </c>
      <c r="X962" t="inlineStr">
        <is>
          <t>unverified: map has 35 mph (OSM tag only); is it 35 (LSV OK) or 40+?</t>
        </is>
      </c>
      <c r="Y962" t="inlineStr"/>
      <c r="Z962" t="n">
        <v>1423</v>
      </c>
      <c r="AA962" t="inlineStr">
        <is>
          <t>villages</t>
        </is>
      </c>
      <c r="AB962" t="inlineStr">
        <is>
          <t>villages|28.84754,-82.00663</t>
        </is>
      </c>
    </row>
    <row r="963">
      <c r="A963" t="inlineStr">
        <is>
          <t>VILLAGES-B2-066</t>
        </is>
      </c>
      <c r="B963" t="inlineStr">
        <is>
          <t>The Villages, FL</t>
        </is>
      </c>
      <c r="C963" t="inlineStr">
        <is>
          <t>Cleveland Avenue</t>
        </is>
      </c>
      <c r="D963" t="inlineStr">
        <is>
          <t>Main Street</t>
        </is>
      </c>
      <c r="E963" t="inlineStr">
        <is>
          <t>County Road 466A</t>
        </is>
      </c>
      <c r="F963" t="inlineStr"/>
      <c r="G963" t="inlineStr"/>
      <c r="H963" t="inlineStr">
        <is>
          <t>inferred</t>
        </is>
      </c>
      <c r="I963" t="inlineStr">
        <is>
          <t>no</t>
        </is>
      </c>
      <c r="J963" t="inlineStr">
        <is>
          <t>https://www.google.com/maps/@?api=1&amp;map_action=pano&amp;viewpoint=28.865485,-82.032025&amp;heading=89</t>
        </is>
      </c>
      <c r="K963" t="inlineStr">
        <is>
          <t>https://www.google.com/maps/search/?api=1&amp;query=28.865485,-82.032025</t>
        </is>
      </c>
      <c r="L963" t="inlineStr"/>
      <c r="M963" t="inlineStr"/>
      <c r="N963" t="inlineStr"/>
      <c r="O963" t="inlineStr"/>
      <c r="P963" t="inlineStr">
        <is>
          <t>pending</t>
        </is>
      </c>
      <c r="Q963" t="inlineStr"/>
      <c r="R963" t="inlineStr"/>
      <c r="S963" t="inlineStr"/>
      <c r="T963" t="inlineStr"/>
      <c r="U963" t="inlineStr"/>
      <c r="V963">
        <f>IF(OR(L963="",S963=""),"",IF(VALUE(L963)=VALUE(S963),"Y","N"))</f>
        <v/>
      </c>
      <c r="W963">
        <f>IF(V963="Y",S963,"")</f>
        <v/>
      </c>
      <c r="X963" t="inlineStr">
        <is>
          <t>unverified: map has no limit (guessed from road type); main road: what is posted? 35 or lower opens it to LSVs</t>
        </is>
      </c>
      <c r="Y963" t="inlineStr"/>
      <c r="Z963" t="n">
        <v>1086</v>
      </c>
      <c r="AA963" t="inlineStr">
        <is>
          <t>villages</t>
        </is>
      </c>
      <c r="AB963" t="inlineStr">
        <is>
          <t>villages|28.86548,-82.03203</t>
        </is>
      </c>
    </row>
    <row r="964">
      <c r="A964" t="inlineStr">
        <is>
          <t>VILLAGES-B2-067</t>
        </is>
      </c>
      <c r="B964" t="inlineStr">
        <is>
          <t>The Villages, FL</t>
        </is>
      </c>
      <c r="C964" t="inlineStr">
        <is>
          <t>Morse Boulevard</t>
        </is>
      </c>
      <c r="D964" t="inlineStr">
        <is>
          <t>(see map link)</t>
        </is>
      </c>
      <c r="E964" t="inlineStr">
        <is>
          <t>County Road 466A</t>
        </is>
      </c>
      <c r="F964" t="inlineStr"/>
      <c r="G964" t="n">
        <v>35</v>
      </c>
      <c r="H964" t="inlineStr">
        <is>
          <t>tag</t>
        </is>
      </c>
      <c r="I964" t="inlineStr">
        <is>
          <t>LSV</t>
        </is>
      </c>
      <c r="J964" t="inlineStr">
        <is>
          <t>https://www.google.com/maps/@?api=1&amp;map_action=pano&amp;viewpoint=28.869290,-81.963450&amp;heading=153</t>
        </is>
      </c>
      <c r="K964" t="inlineStr">
        <is>
          <t>https://www.google.com/maps/search/?api=1&amp;query=28.869290,-81.963450</t>
        </is>
      </c>
      <c r="L964" t="inlineStr"/>
      <c r="M964" t="inlineStr"/>
      <c r="N964" t="inlineStr"/>
      <c r="O964" t="inlineStr"/>
      <c r="P964" t="inlineStr">
        <is>
          <t>pending</t>
        </is>
      </c>
      <c r="Q964" t="inlineStr"/>
      <c r="R964" t="inlineStr"/>
      <c r="S964" t="inlineStr"/>
      <c r="T964" t="inlineStr"/>
      <c r="U964" t="inlineStr"/>
      <c r="V964">
        <f>IF(OR(L964="",S964=""),"",IF(VALUE(L964)=VALUE(S964),"Y","N"))</f>
        <v/>
      </c>
      <c r="W964">
        <f>IF(V964="Y",S964,"")</f>
        <v/>
      </c>
      <c r="X964" t="inlineStr">
        <is>
          <t>unverified: map has 35 mph (OSM tag only); is it 35 (LSV OK) or 40+?</t>
        </is>
      </c>
      <c r="Y964" t="inlineStr"/>
      <c r="Z964" t="n">
        <v>1397</v>
      </c>
      <c r="AA964" t="inlineStr">
        <is>
          <t>villages</t>
        </is>
      </c>
      <c r="AB964" t="inlineStr">
        <is>
          <t>villages|28.86929,-81.96345</t>
        </is>
      </c>
    </row>
    <row r="965">
      <c r="A965" t="inlineStr">
        <is>
          <t>VILLAGES-B2-068</t>
        </is>
      </c>
      <c r="B965" t="inlineStr">
        <is>
          <t>The Villages, FL</t>
        </is>
      </c>
      <c r="C965" t="inlineStr">
        <is>
          <t>Morse Boulevard</t>
        </is>
      </c>
      <c r="D965" t="inlineStr">
        <is>
          <t>(see map link)</t>
        </is>
      </c>
      <c r="E965" t="inlineStr">
        <is>
          <t>Colony Boulevard</t>
        </is>
      </c>
      <c r="F965" t="inlineStr"/>
      <c r="G965" t="n">
        <v>35</v>
      </c>
      <c r="H965" t="inlineStr">
        <is>
          <t>tag</t>
        </is>
      </c>
      <c r="I965" t="inlineStr">
        <is>
          <t>LSV</t>
        </is>
      </c>
      <c r="J965" t="inlineStr">
        <is>
          <t>https://www.google.com/maps/@?api=1&amp;map_action=pano&amp;viewpoint=28.869810,-81.963580&amp;heading=334</t>
        </is>
      </c>
      <c r="K965" t="inlineStr">
        <is>
          <t>https://www.google.com/maps/search/?api=1&amp;query=28.869810,-81.963580</t>
        </is>
      </c>
      <c r="L965" t="inlineStr"/>
      <c r="M965" t="inlineStr"/>
      <c r="N965" t="inlineStr"/>
      <c r="O965" t="inlineStr"/>
      <c r="P965" t="inlineStr">
        <is>
          <t>pending</t>
        </is>
      </c>
      <c r="Q965" t="inlineStr"/>
      <c r="R965" t="inlineStr"/>
      <c r="S965" t="inlineStr"/>
      <c r="T965" t="inlineStr"/>
      <c r="U965" t="inlineStr"/>
      <c r="V965">
        <f>IF(OR(L965="",S965=""),"",IF(VALUE(L965)=VALUE(S965),"Y","N"))</f>
        <v/>
      </c>
      <c r="W965">
        <f>IF(V965="Y",S965,"")</f>
        <v/>
      </c>
      <c r="X965" t="inlineStr">
        <is>
          <t>unverified: map has 35 mph (OSM tag only); is it 35 (LSV OK) or 40+?</t>
        </is>
      </c>
      <c r="Y965" t="inlineStr"/>
      <c r="Z965" t="n">
        <v>1396</v>
      </c>
      <c r="AA965" t="inlineStr">
        <is>
          <t>villages</t>
        </is>
      </c>
      <c r="AB965" t="inlineStr">
        <is>
          <t>villages|28.86981,-81.96358</t>
        </is>
      </c>
    </row>
    <row r="966">
      <c r="A966" t="inlineStr">
        <is>
          <t>VILLAGES-B2-069</t>
        </is>
      </c>
      <c r="B966" t="inlineStr">
        <is>
          <t>The Villages, FL</t>
        </is>
      </c>
      <c r="C966" t="inlineStr">
        <is>
          <t>Morse Boulevard</t>
        </is>
      </c>
      <c r="D966" t="inlineStr">
        <is>
          <t>(see map link)</t>
        </is>
      </c>
      <c r="E966" t="inlineStr">
        <is>
          <t>(see map link)</t>
        </is>
      </c>
      <c r="F966" t="inlineStr"/>
      <c r="G966" t="n">
        <v>35</v>
      </c>
      <c r="H966" t="inlineStr">
        <is>
          <t>tag</t>
        </is>
      </c>
      <c r="I966" t="inlineStr">
        <is>
          <t>LSV</t>
        </is>
      </c>
      <c r="J966" t="inlineStr">
        <is>
          <t>https://www.google.com/maps/@?api=1&amp;map_action=pano&amp;viewpoint=28.839910,-81.965810&amp;heading=335</t>
        </is>
      </c>
      <c r="K966" t="inlineStr">
        <is>
          <t>https://www.google.com/maps/search/?api=1&amp;query=28.839910,-81.965810</t>
        </is>
      </c>
      <c r="L966" t="inlineStr"/>
      <c r="M966" t="inlineStr"/>
      <c r="N966" t="inlineStr"/>
      <c r="O966" t="inlineStr"/>
      <c r="P966" t="inlineStr">
        <is>
          <t>pending</t>
        </is>
      </c>
      <c r="Q966" t="inlineStr"/>
      <c r="R966" t="inlineStr"/>
      <c r="S966" t="inlineStr"/>
      <c r="T966" t="inlineStr"/>
      <c r="U966" t="inlineStr"/>
      <c r="V966">
        <f>IF(OR(L966="",S966=""),"",IF(VALUE(L966)=VALUE(S966),"Y","N"))</f>
        <v/>
      </c>
      <c r="W966">
        <f>IF(V966="Y",S966,"")</f>
        <v/>
      </c>
      <c r="X966" t="inlineStr">
        <is>
          <t>unverified: map has 35 mph (OSM tag only); is it 35 (LSV OK) or 40+?</t>
        </is>
      </c>
      <c r="Y966" t="inlineStr"/>
      <c r="Z966" t="n">
        <v>1387</v>
      </c>
      <c r="AA966" t="inlineStr">
        <is>
          <t>villages</t>
        </is>
      </c>
      <c r="AB966" t="inlineStr">
        <is>
          <t>villages|28.83991,-81.96581</t>
        </is>
      </c>
    </row>
    <row r="967">
      <c r="A967" t="inlineStr">
        <is>
          <t>VILLAGES-B2-070</t>
        </is>
      </c>
      <c r="B967" t="inlineStr">
        <is>
          <t>The Villages, FL</t>
        </is>
      </c>
      <c r="C967" t="inlineStr">
        <is>
          <t>Morse Boulevard</t>
        </is>
      </c>
      <c r="D967" t="inlineStr">
        <is>
          <t>(see map link)</t>
        </is>
      </c>
      <c r="E967" t="inlineStr">
        <is>
          <t>(see map link)</t>
        </is>
      </c>
      <c r="F967" t="inlineStr"/>
      <c r="G967" t="n">
        <v>35</v>
      </c>
      <c r="H967" t="inlineStr">
        <is>
          <t>tag</t>
        </is>
      </c>
      <c r="I967" t="inlineStr">
        <is>
          <t>LSV</t>
        </is>
      </c>
      <c r="J967" t="inlineStr">
        <is>
          <t>https://www.google.com/maps/@?api=1&amp;map_action=pano&amp;viewpoint=28.840920,-81.966170&amp;heading=185</t>
        </is>
      </c>
      <c r="K967" t="inlineStr">
        <is>
          <t>https://www.google.com/maps/search/?api=1&amp;query=28.840920,-81.966170</t>
        </is>
      </c>
      <c r="L967" t="inlineStr"/>
      <c r="M967" t="inlineStr"/>
      <c r="N967" t="inlineStr"/>
      <c r="O967" t="inlineStr"/>
      <c r="P967" t="inlineStr">
        <is>
          <t>pending</t>
        </is>
      </c>
      <c r="Q967" t="inlineStr"/>
      <c r="R967" t="inlineStr"/>
      <c r="S967" t="inlineStr"/>
      <c r="T967" t="inlineStr"/>
      <c r="U967" t="inlineStr"/>
      <c r="V967">
        <f>IF(OR(L967="",S967=""),"",IF(VALUE(L967)=VALUE(S967),"Y","N"))</f>
        <v/>
      </c>
      <c r="W967">
        <f>IF(V967="Y",S967,"")</f>
        <v/>
      </c>
      <c r="X967" t="inlineStr">
        <is>
          <t>unverified: map has 35 mph (OSM tag only); is it 35 (LSV OK) or 40+?</t>
        </is>
      </c>
      <c r="Y967" t="inlineStr"/>
      <c r="Z967" t="n">
        <v>1385</v>
      </c>
      <c r="AA967" t="inlineStr">
        <is>
          <t>villages</t>
        </is>
      </c>
      <c r="AB967" t="inlineStr">
        <is>
          <t>villages|28.84092,-81.96617</t>
        </is>
      </c>
    </row>
    <row r="968">
      <c r="A968" t="inlineStr">
        <is>
          <t>VILLAGES-B2-071</t>
        </is>
      </c>
      <c r="B968" t="inlineStr">
        <is>
          <t>The Villages, FL</t>
        </is>
      </c>
      <c r="C968" t="inlineStr">
        <is>
          <t>Ocala Road</t>
        </is>
      </c>
      <c r="D968" t="inlineStr">
        <is>
          <t>Southeast 164th Street</t>
        </is>
      </c>
      <c r="E968" t="inlineStr">
        <is>
          <t>Southeast 138th Terrace</t>
        </is>
      </c>
      <c r="F968" t="inlineStr"/>
      <c r="G968" t="n">
        <v>40</v>
      </c>
      <c r="H968" t="inlineStr">
        <is>
          <t>tag</t>
        </is>
      </c>
      <c r="I968" t="inlineStr">
        <is>
          <t>no</t>
        </is>
      </c>
      <c r="J968" t="inlineStr">
        <is>
          <t>https://www.google.com/maps/@?api=1&amp;map_action=pano&amp;viewpoint=28.981040,-81.925060&amp;heading=19</t>
        </is>
      </c>
      <c r="K968" t="inlineStr">
        <is>
          <t>https://www.google.com/maps/search/?api=1&amp;query=28.981040,-81.925060</t>
        </is>
      </c>
      <c r="L968" t="inlineStr"/>
      <c r="M968" t="inlineStr"/>
      <c r="N968" t="inlineStr"/>
      <c r="O968" t="inlineStr"/>
      <c r="P968" t="inlineStr">
        <is>
          <t>pending</t>
        </is>
      </c>
      <c r="Q968" t="inlineStr"/>
      <c r="R968" t="inlineStr"/>
      <c r="S968" t="inlineStr"/>
      <c r="T968" t="inlineStr"/>
      <c r="U968" t="inlineStr"/>
      <c r="V968">
        <f>IF(OR(L968="",S968=""),"",IF(VALUE(L968)=VALUE(S968),"Y","N"))</f>
        <v/>
      </c>
      <c r="W968">
        <f>IF(V968="Y",S968,"")</f>
        <v/>
      </c>
      <c r="X968" t="inlineStr">
        <is>
          <t>unverified: map has 40 mph (OSM tag only); is it 35 (LSV OK) or 40+?</t>
        </is>
      </c>
      <c r="Y968" t="inlineStr"/>
      <c r="Z968" t="n">
        <v>1381</v>
      </c>
      <c r="AA968" t="inlineStr">
        <is>
          <t>villages</t>
        </is>
      </c>
      <c r="AB968" t="inlineStr">
        <is>
          <t>villages|28.98104,-81.92506</t>
        </is>
      </c>
    </row>
    <row r="969">
      <c r="A969" t="inlineStr">
        <is>
          <t>VILLAGES-B2-072</t>
        </is>
      </c>
      <c r="B969" t="inlineStr">
        <is>
          <t>The Villages, FL</t>
        </is>
      </c>
      <c r="C969" t="inlineStr">
        <is>
          <t>Southeast 173rd Street</t>
        </is>
      </c>
      <c r="D969" t="inlineStr">
        <is>
          <t>Southeast 110th Court Road</t>
        </is>
      </c>
      <c r="E969" t="inlineStr">
        <is>
          <t>Southeast 109th Terrace Road</t>
        </is>
      </c>
      <c r="F969" t="inlineStr"/>
      <c r="G969" t="n">
        <v>25</v>
      </c>
      <c r="H969" t="inlineStr">
        <is>
          <t>inferred</t>
        </is>
      </c>
      <c r="I969" t="inlineStr">
        <is>
          <t>cart+LSV</t>
        </is>
      </c>
      <c r="J969" t="inlineStr">
        <is>
          <t>https://www.google.com/maps/@?api=1&amp;map_action=pano&amp;viewpoint=28.971660,-81.970980&amp;heading=60</t>
        </is>
      </c>
      <c r="K969" t="inlineStr">
        <is>
          <t>https://www.google.com/maps/search/?api=1&amp;query=28.971660,-81.970980</t>
        </is>
      </c>
      <c r="L969" t="inlineStr"/>
      <c r="M969" t="inlineStr"/>
      <c r="N969" t="inlineStr"/>
      <c r="O969" t="inlineStr"/>
      <c r="P969" t="inlineStr">
        <is>
          <t>pending</t>
        </is>
      </c>
      <c r="Q969" t="inlineStr"/>
      <c r="R969" t="inlineStr"/>
      <c r="S969" t="inlineStr"/>
      <c r="T969" t="inlineStr"/>
      <c r="U969" t="inlineStr"/>
      <c r="V969">
        <f>IF(OR(L969="",S969=""),"",IF(VALUE(L969)=VALUE(S969),"Y","N"))</f>
        <v/>
      </c>
      <c r="W969">
        <f>IF(V969="Y",S969,"")</f>
        <v/>
      </c>
      <c r="X969" t="inlineStr">
        <is>
          <t>unverified: map has 25 mph (guessed from road type); is it 25 (carts OK) or 30+?</t>
        </is>
      </c>
      <c r="Y969" t="inlineStr"/>
      <c r="Z969" t="n">
        <v>1312</v>
      </c>
      <c r="AA969" t="inlineStr">
        <is>
          <t>villages</t>
        </is>
      </c>
      <c r="AB969" t="inlineStr">
        <is>
          <t>villages|28.97166,-81.97098</t>
        </is>
      </c>
    </row>
    <row r="970">
      <c r="A970" t="inlineStr">
        <is>
          <t>VILLAGES-B2-073</t>
        </is>
      </c>
      <c r="B970" t="inlineStr">
        <is>
          <t>The Villages, FL</t>
        </is>
      </c>
      <c r="C970" t="inlineStr">
        <is>
          <t>Buena Vista Boulevard</t>
        </is>
      </c>
      <c r="D970" t="inlineStr">
        <is>
          <t>(see map link)</t>
        </is>
      </c>
      <c r="E970" t="inlineStr">
        <is>
          <t>Tunnel (cart tunnel)</t>
        </is>
      </c>
      <c r="F970" t="inlineStr"/>
      <c r="G970" t="n">
        <v>35</v>
      </c>
      <c r="H970" t="inlineStr">
        <is>
          <t>tag</t>
        </is>
      </c>
      <c r="I970" t="inlineStr">
        <is>
          <t>LSV</t>
        </is>
      </c>
      <c r="J970" t="inlineStr">
        <is>
          <t>https://www.google.com/maps/@?api=1&amp;map_action=pano&amp;viewpoint=28.911240,-81.996600&amp;heading=321</t>
        </is>
      </c>
      <c r="K970" t="inlineStr">
        <is>
          <t>https://www.google.com/maps/search/?api=1&amp;query=28.911240,-81.996600</t>
        </is>
      </c>
      <c r="L970" t="inlineStr"/>
      <c r="M970" t="inlineStr"/>
      <c r="N970" t="inlineStr"/>
      <c r="O970" t="inlineStr"/>
      <c r="P970" t="inlineStr">
        <is>
          <t>pending</t>
        </is>
      </c>
      <c r="Q970" t="inlineStr"/>
      <c r="R970" t="inlineStr"/>
      <c r="S970" t="inlineStr"/>
      <c r="T970" t="inlineStr"/>
      <c r="U970" t="inlineStr"/>
      <c r="V970">
        <f>IF(OR(L970="",S970=""),"",IF(VALUE(L970)=VALUE(S970),"Y","N"))</f>
        <v/>
      </c>
      <c r="W970">
        <f>IF(V970="Y",S970,"")</f>
        <v/>
      </c>
      <c r="X970" t="inlineStr">
        <is>
          <t>unverified: map has 35 mph (OSM tag only); is it 35 (LSV OK) or 40+?</t>
        </is>
      </c>
      <c r="Y970" t="inlineStr"/>
      <c r="Z970" t="n">
        <v>1359</v>
      </c>
      <c r="AA970" t="inlineStr">
        <is>
          <t>villages</t>
        </is>
      </c>
      <c r="AB970" t="inlineStr">
        <is>
          <t>villages|28.91124,-81.99660</t>
        </is>
      </c>
    </row>
    <row r="971">
      <c r="A971" t="inlineStr">
        <is>
          <t>VILLAGES-B2-074</t>
        </is>
      </c>
      <c r="B971" t="inlineStr">
        <is>
          <t>The Villages, FL</t>
        </is>
      </c>
      <c r="C971" t="inlineStr">
        <is>
          <t>Morse Boulevard</t>
        </is>
      </c>
      <c r="D971" t="inlineStr">
        <is>
          <t>South Morse Boulevard</t>
        </is>
      </c>
      <c r="E971" t="inlineStr">
        <is>
          <t>(see map link)</t>
        </is>
      </c>
      <c r="F971" t="inlineStr"/>
      <c r="G971" t="n">
        <v>35</v>
      </c>
      <c r="H971" t="inlineStr">
        <is>
          <t>tag</t>
        </is>
      </c>
      <c r="I971" t="inlineStr">
        <is>
          <t>LSV</t>
        </is>
      </c>
      <c r="J971" t="inlineStr">
        <is>
          <t>https://www.google.com/maps/@?api=1&amp;map_action=pano&amp;viewpoint=28.900480,-81.969120&amp;heading=16</t>
        </is>
      </c>
      <c r="K971" t="inlineStr">
        <is>
          <t>https://www.google.com/maps/search/?api=1&amp;query=28.900480,-81.969120</t>
        </is>
      </c>
      <c r="L971" t="inlineStr"/>
      <c r="M971" t="inlineStr"/>
      <c r="N971" t="inlineStr"/>
      <c r="O971" t="inlineStr"/>
      <c r="P971" t="inlineStr">
        <is>
          <t>pending</t>
        </is>
      </c>
      <c r="Q971" t="inlineStr"/>
      <c r="R971" t="inlineStr"/>
      <c r="S971" t="inlineStr"/>
      <c r="T971" t="inlineStr"/>
      <c r="U971" t="inlineStr"/>
      <c r="V971">
        <f>IF(OR(L971="",S971=""),"",IF(VALUE(L971)=VALUE(S971),"Y","N"))</f>
        <v/>
      </c>
      <c r="W971">
        <f>IF(V971="Y",S971,"")</f>
        <v/>
      </c>
      <c r="X971" t="inlineStr">
        <is>
          <t>unverified: map has 35 mph (OSM tag only); is it 35 (LSV OK) or 40+?</t>
        </is>
      </c>
      <c r="Y971" t="inlineStr"/>
      <c r="Z971" t="n">
        <v>1344</v>
      </c>
      <c r="AA971" t="inlineStr">
        <is>
          <t>villages</t>
        </is>
      </c>
      <c r="AB971" t="inlineStr">
        <is>
          <t>villages|28.90048,-81.96912</t>
        </is>
      </c>
    </row>
    <row r="972">
      <c r="A972" t="inlineStr">
        <is>
          <t>VILLAGES-B2-075</t>
        </is>
      </c>
      <c r="B972" t="inlineStr">
        <is>
          <t>The Villages, FL</t>
        </is>
      </c>
      <c r="C972" t="inlineStr">
        <is>
          <t>Morse Boulevard</t>
        </is>
      </c>
      <c r="D972" t="inlineStr">
        <is>
          <t>(see map link)</t>
        </is>
      </c>
      <c r="E972" t="inlineStr">
        <is>
          <t>South Morse Boulevard</t>
        </is>
      </c>
      <c r="F972" t="inlineStr"/>
      <c r="G972" t="n">
        <v>35</v>
      </c>
      <c r="H972" t="inlineStr">
        <is>
          <t>tag</t>
        </is>
      </c>
      <c r="I972" t="inlineStr">
        <is>
          <t>LSV</t>
        </is>
      </c>
      <c r="J972" t="inlineStr">
        <is>
          <t>https://www.google.com/maps/@?api=1&amp;map_action=pano&amp;viewpoint=28.902070,-81.968360&amp;heading=202</t>
        </is>
      </c>
      <c r="K972" t="inlineStr">
        <is>
          <t>https://www.google.com/maps/search/?api=1&amp;query=28.902070,-81.968360</t>
        </is>
      </c>
      <c r="L972" t="inlineStr"/>
      <c r="M972" t="inlineStr"/>
      <c r="N972" t="inlineStr"/>
      <c r="O972" t="inlineStr"/>
      <c r="P972" t="inlineStr">
        <is>
          <t>pending</t>
        </is>
      </c>
      <c r="Q972" t="inlineStr"/>
      <c r="R972" t="inlineStr"/>
      <c r="S972" t="inlineStr"/>
      <c r="T972" t="inlineStr"/>
      <c r="U972" t="inlineStr"/>
      <c r="V972">
        <f>IF(OR(L972="",S972=""),"",IF(VALUE(L972)=VALUE(S972),"Y","N"))</f>
        <v/>
      </c>
      <c r="W972">
        <f>IF(V972="Y",S972,"")</f>
        <v/>
      </c>
      <c r="X972" t="inlineStr">
        <is>
          <t>unverified: map has 35 mph (OSM tag only); is it 35 (LSV OK) or 40+?</t>
        </is>
      </c>
      <c r="Y972" t="inlineStr"/>
      <c r="Z972" t="n">
        <v>1342</v>
      </c>
      <c r="AA972" t="inlineStr">
        <is>
          <t>villages</t>
        </is>
      </c>
      <c r="AB972" t="inlineStr">
        <is>
          <t>villages|28.90207,-81.96836</t>
        </is>
      </c>
    </row>
    <row r="973">
      <c r="A973" t="inlineStr">
        <is>
          <t>VILLAGES-B2-076</t>
        </is>
      </c>
      <c r="B973" t="inlineStr">
        <is>
          <t>The Villages, FL</t>
        </is>
      </c>
      <c r="C973" t="inlineStr">
        <is>
          <t>Buena Vista Boulevard</t>
        </is>
      </c>
      <c r="D973" t="inlineStr">
        <is>
          <t>(see map link)</t>
        </is>
      </c>
      <c r="E973" t="inlineStr">
        <is>
          <t>Tunnel (cart tunnel)</t>
        </is>
      </c>
      <c r="F973" t="inlineStr"/>
      <c r="G973" t="n">
        <v>35</v>
      </c>
      <c r="H973" t="inlineStr">
        <is>
          <t>tag</t>
        </is>
      </c>
      <c r="I973" t="inlineStr">
        <is>
          <t>LSV</t>
        </is>
      </c>
      <c r="J973" t="inlineStr">
        <is>
          <t>https://www.google.com/maps/@?api=1&amp;map_action=pano&amp;viewpoint=28.974130,-82.015580&amp;heading=150</t>
        </is>
      </c>
      <c r="K973" t="inlineStr">
        <is>
          <t>https://www.google.com/maps/search/?api=1&amp;query=28.974130,-82.015580</t>
        </is>
      </c>
      <c r="L973" t="inlineStr"/>
      <c r="M973" t="inlineStr"/>
      <c r="N973" t="inlineStr"/>
      <c r="O973" t="inlineStr"/>
      <c r="P973" t="inlineStr">
        <is>
          <t>pending</t>
        </is>
      </c>
      <c r="Q973" t="inlineStr"/>
      <c r="R973" t="inlineStr"/>
      <c r="S973" t="inlineStr"/>
      <c r="T973" t="inlineStr"/>
      <c r="U973" t="inlineStr"/>
      <c r="V973">
        <f>IF(OR(L973="",S973=""),"",IF(VALUE(L973)=VALUE(S973),"Y","N"))</f>
        <v/>
      </c>
      <c r="W973">
        <f>IF(V973="Y",S973,"")</f>
        <v/>
      </c>
      <c r="X973" t="inlineStr">
        <is>
          <t>unverified: map has 35 mph (OSM tag only); is it 35 (LSV OK) or 40+?</t>
        </is>
      </c>
      <c r="Y973" t="inlineStr"/>
      <c r="Z973" t="n">
        <v>1290</v>
      </c>
      <c r="AA973" t="inlineStr">
        <is>
          <t>villages</t>
        </is>
      </c>
      <c r="AB973" t="inlineStr">
        <is>
          <t>villages|28.97413,-82.01558</t>
        </is>
      </c>
    </row>
    <row r="974">
      <c r="A974" t="inlineStr">
        <is>
          <t>VILLAGES-B2-077</t>
        </is>
      </c>
      <c r="B974" t="inlineStr">
        <is>
          <t>The Villages, FL</t>
        </is>
      </c>
      <c r="C974" t="inlineStr">
        <is>
          <t>Buena Vista Boulevard</t>
        </is>
      </c>
      <c r="D974" t="inlineStr">
        <is>
          <t>(see map link)</t>
        </is>
      </c>
      <c r="E974" t="inlineStr">
        <is>
          <t>Tunnel (cart tunnel)</t>
        </is>
      </c>
      <c r="F974" t="inlineStr"/>
      <c r="G974" t="n">
        <v>35</v>
      </c>
      <c r="H974" t="inlineStr">
        <is>
          <t>tag</t>
        </is>
      </c>
      <c r="I974" t="inlineStr">
        <is>
          <t>LSV</t>
        </is>
      </c>
      <c r="J974" t="inlineStr">
        <is>
          <t>https://www.google.com/maps/@?api=1&amp;map_action=pano&amp;viewpoint=28.974310,-82.015550&amp;heading=337</t>
        </is>
      </c>
      <c r="K974" t="inlineStr">
        <is>
          <t>https://www.google.com/maps/search/?api=1&amp;query=28.974310,-82.015550</t>
        </is>
      </c>
      <c r="L974" t="inlineStr"/>
      <c r="M974" t="inlineStr"/>
      <c r="N974" t="inlineStr"/>
      <c r="O974" t="inlineStr"/>
      <c r="P974" t="inlineStr">
        <is>
          <t>pending</t>
        </is>
      </c>
      <c r="Q974" t="inlineStr"/>
      <c r="R974" t="inlineStr"/>
      <c r="S974" t="inlineStr"/>
      <c r="T974" t="inlineStr"/>
      <c r="U974" t="inlineStr"/>
      <c r="V974">
        <f>IF(OR(L974="",S974=""),"",IF(VALUE(L974)=VALUE(S974),"Y","N"))</f>
        <v/>
      </c>
      <c r="W974">
        <f>IF(V974="Y",S974,"")</f>
        <v/>
      </c>
      <c r="X974" t="inlineStr">
        <is>
          <t>unverified: map has 35 mph (OSM tag only); is it 35 (LSV OK) or 40+?</t>
        </is>
      </c>
      <c r="Y974" t="inlineStr"/>
      <c r="Z974" t="n">
        <v>1284</v>
      </c>
      <c r="AA974" t="inlineStr">
        <is>
          <t>villages</t>
        </is>
      </c>
      <c r="AB974" t="inlineStr">
        <is>
          <t>villages|28.97431,-82.01555</t>
        </is>
      </c>
    </row>
    <row r="975">
      <c r="A975" t="inlineStr">
        <is>
          <t>VILLAGES-B2-078</t>
        </is>
      </c>
      <c r="B975" t="inlineStr">
        <is>
          <t>The Villages, FL</t>
        </is>
      </c>
      <c r="C975" t="inlineStr">
        <is>
          <t>SR 44</t>
        </is>
      </c>
      <c r="D975" t="inlineStr">
        <is>
          <t>(see map link)</t>
        </is>
      </c>
      <c r="E975" t="inlineStr">
        <is>
          <t>South Street</t>
        </is>
      </c>
      <c r="F975" t="inlineStr"/>
      <c r="G975" t="n">
        <v>45</v>
      </c>
      <c r="H975" t="inlineStr">
        <is>
          <t>mapillary</t>
        </is>
      </c>
      <c r="I975" t="inlineStr">
        <is>
          <t>no</t>
        </is>
      </c>
      <c r="J975" t="inlineStr">
        <is>
          <t>https://www.google.com/maps/@?api=1&amp;map_action=pano&amp;viewpoint=28.812330,-81.928260&amp;heading=293</t>
        </is>
      </c>
      <c r="K975" t="inlineStr">
        <is>
          <t>https://www.google.com/maps/search/?api=1&amp;query=28.812330,-81.928260</t>
        </is>
      </c>
      <c r="L975" t="inlineStr"/>
      <c r="M975" t="inlineStr"/>
      <c r="N975" t="inlineStr"/>
      <c r="O975" t="inlineStr"/>
      <c r="P975" t="inlineStr">
        <is>
          <t>pending</t>
        </is>
      </c>
      <c r="Q975" t="inlineStr"/>
      <c r="R975" t="inlineStr"/>
      <c r="S975" t="inlineStr"/>
      <c r="T975" t="inlineStr">
        <is>
          <t>Mapillary: 1 posted 45 mph sign(s) detected</t>
        </is>
      </c>
      <c r="U975" t="inlineStr">
        <is>
          <t>https://www.mapillary.com/app/?lat=28.811695&amp;lng=-81.925590&amp;z=19&amp;focus=map&amp;mapFeatureId=261240449021143</t>
        </is>
      </c>
      <c r="V975">
        <f>IF(OR(L975="",S975=""),"",IF(VALUE(L975)=VALUE(S975),"Y","N"))</f>
        <v/>
      </c>
      <c r="W975">
        <f>IF(V975="Y",S975,"")</f>
        <v/>
      </c>
      <c r="X975" t="inlineStr">
        <is>
          <t>unverified: map has 45 mph (one Mapillary sign); main road: what is posted? 35 or lower opens it to LSVs</t>
        </is>
      </c>
      <c r="Y975" t="inlineStr"/>
      <c r="Z975" t="n">
        <v>1290</v>
      </c>
      <c r="AA975" t="inlineStr">
        <is>
          <t>villages</t>
        </is>
      </c>
      <c r="AB975" t="inlineStr">
        <is>
          <t>villages|28.81233,-81.92826</t>
        </is>
      </c>
    </row>
    <row r="976">
      <c r="A976" t="inlineStr">
        <is>
          <t>VILLAGES-B2-079</t>
        </is>
      </c>
      <c r="B976" t="inlineStr">
        <is>
          <t>The Villages, FL</t>
        </is>
      </c>
      <c r="C976" t="inlineStr">
        <is>
          <t>Buena Vista Boulevard</t>
        </is>
      </c>
      <c r="D976" t="inlineStr">
        <is>
          <t>(see map link)</t>
        </is>
      </c>
      <c r="E976" t="inlineStr">
        <is>
          <t>Tunnel (cart tunnel)</t>
        </is>
      </c>
      <c r="F976" t="inlineStr"/>
      <c r="G976" t="n">
        <v>35</v>
      </c>
      <c r="H976" t="inlineStr">
        <is>
          <t>tag</t>
        </is>
      </c>
      <c r="I976" t="inlineStr">
        <is>
          <t>LSV</t>
        </is>
      </c>
      <c r="J976" t="inlineStr">
        <is>
          <t>https://www.google.com/maps/@?api=1&amp;map_action=pano&amp;viewpoint=28.909090,-81.991500&amp;heading=272</t>
        </is>
      </c>
      <c r="K976" t="inlineStr">
        <is>
          <t>https://www.google.com/maps/search/?api=1&amp;query=28.909090,-81.991500</t>
        </is>
      </c>
      <c r="L976" t="inlineStr"/>
      <c r="M976" t="inlineStr"/>
      <c r="N976" t="inlineStr"/>
      <c r="O976" t="inlineStr"/>
      <c r="P976" t="inlineStr">
        <is>
          <t>pending</t>
        </is>
      </c>
      <c r="Q976" t="inlineStr"/>
      <c r="R976" t="inlineStr"/>
      <c r="S976" t="inlineStr"/>
      <c r="T976" t="inlineStr"/>
      <c r="U976" t="inlineStr"/>
      <c r="V976">
        <f>IF(OR(L976="",S976=""),"",IF(VALUE(L976)=VALUE(S976),"Y","N"))</f>
        <v/>
      </c>
      <c r="W976">
        <f>IF(V976="Y",S976,"")</f>
        <v/>
      </c>
      <c r="X976" t="inlineStr">
        <is>
          <t>unverified: map has 35 mph (OSM tag only); is it 35 (LSV OK) or 40+?</t>
        </is>
      </c>
      <c r="Y976" t="inlineStr"/>
      <c r="Z976" t="n">
        <v>1204</v>
      </c>
      <c r="AA976" t="inlineStr">
        <is>
          <t>villages</t>
        </is>
      </c>
      <c r="AB976" t="inlineStr">
        <is>
          <t>villages|28.90909,-81.99150</t>
        </is>
      </c>
    </row>
    <row r="977">
      <c r="A977" t="inlineStr">
        <is>
          <t>VILLAGES-B2-080</t>
        </is>
      </c>
      <c r="B977" t="inlineStr">
        <is>
          <t>The Villages, FL</t>
        </is>
      </c>
      <c r="C977" t="inlineStr">
        <is>
          <t>Southeast County Road 42</t>
        </is>
      </c>
      <c r="D977" t="inlineStr">
        <is>
          <t>(see map link)</t>
        </is>
      </c>
      <c r="E977" t="inlineStr">
        <is>
          <t>Southeast 134th Avenue Road</t>
        </is>
      </c>
      <c r="F977" t="inlineStr"/>
      <c r="G977" t="n">
        <v>40</v>
      </c>
      <c r="H977" t="inlineStr">
        <is>
          <t>mapillary</t>
        </is>
      </c>
      <c r="I977" t="inlineStr">
        <is>
          <t>no</t>
        </is>
      </c>
      <c r="J977" t="inlineStr">
        <is>
          <t>https://www.google.com/maps/@?api=1&amp;map_action=pano&amp;viewpoint=28.979630,-81.864030&amp;heading=258</t>
        </is>
      </c>
      <c r="K977" t="inlineStr">
        <is>
          <t>https://www.google.com/maps/search/?api=1&amp;query=28.979630,-81.864030</t>
        </is>
      </c>
      <c r="L977" t="inlineStr"/>
      <c r="M977" t="inlineStr"/>
      <c r="N977" t="inlineStr"/>
      <c r="O977" t="inlineStr"/>
      <c r="P977" t="inlineStr">
        <is>
          <t>pending</t>
        </is>
      </c>
      <c r="Q977" t="inlineStr"/>
      <c r="R977" t="inlineStr"/>
      <c r="S977" t="inlineStr"/>
      <c r="T977" t="inlineStr">
        <is>
          <t>Mapillary: 1 posted 40 mph sign(s) detected</t>
        </is>
      </c>
      <c r="U977" t="inlineStr">
        <is>
          <t>https://www.mapillary.com/app/?lat=28.981974&amp;lng=-81.920296&amp;z=19&amp;focus=map&amp;mapFeatureId=1490514364660926</t>
        </is>
      </c>
      <c r="V977">
        <f>IF(OR(L977="",S977=""),"",IF(VALUE(L977)=VALUE(S977),"Y","N"))</f>
        <v/>
      </c>
      <c r="W977">
        <f>IF(V977="Y",S977,"")</f>
        <v/>
      </c>
      <c r="X977" t="inlineStr">
        <is>
          <t>unverified: map has 40 mph (one Mapillary sign); is it 35 (LSV OK) or 40+?</t>
        </is>
      </c>
      <c r="Y977" t="inlineStr"/>
      <c r="Z977" t="n">
        <v>8845</v>
      </c>
      <c r="AA977" t="inlineStr">
        <is>
          <t>villages</t>
        </is>
      </c>
      <c r="AB977" t="inlineStr">
        <is>
          <t>villages|28.97963,-81.86403</t>
        </is>
      </c>
    </row>
    <row r="978">
      <c r="A978" t="inlineStr">
        <is>
          <t>VILLAGES-B2-081</t>
        </is>
      </c>
      <c r="B978" t="inlineStr">
        <is>
          <t>The Villages, FL</t>
        </is>
      </c>
      <c r="C978" t="inlineStr">
        <is>
          <t>Morse Boulevard</t>
        </is>
      </c>
      <c r="D978" t="inlineStr">
        <is>
          <t>(see map link)</t>
        </is>
      </c>
      <c r="E978" t="inlineStr">
        <is>
          <t>Meggison Road</t>
        </is>
      </c>
      <c r="F978" t="inlineStr"/>
      <c r="G978" t="n">
        <v>45</v>
      </c>
      <c r="H978" t="inlineStr">
        <is>
          <t>tag</t>
        </is>
      </c>
      <c r="I978" t="inlineStr">
        <is>
          <t>no</t>
        </is>
      </c>
      <c r="J978" t="inlineStr">
        <is>
          <t>https://www.google.com/maps/@?api=1&amp;map_action=pano&amp;viewpoint=28.801170,-81.979220&amp;heading=131</t>
        </is>
      </c>
      <c r="K978" t="inlineStr">
        <is>
          <t>https://www.google.com/maps/search/?api=1&amp;query=28.801170,-81.979220</t>
        </is>
      </c>
      <c r="L978" t="inlineStr"/>
      <c r="M978" t="inlineStr"/>
      <c r="N978" t="inlineStr"/>
      <c r="O978" t="inlineStr"/>
      <c r="P978" t="inlineStr">
        <is>
          <t>pending</t>
        </is>
      </c>
      <c r="Q978" t="inlineStr"/>
      <c r="R978" t="inlineStr"/>
      <c r="S978" t="inlineStr"/>
      <c r="T978" t="inlineStr"/>
      <c r="U978" t="inlineStr"/>
      <c r="V978">
        <f>IF(OR(L978="",S978=""),"",IF(VALUE(L978)=VALUE(S978),"Y","N"))</f>
        <v/>
      </c>
      <c r="W978">
        <f>IF(V978="Y",S978,"")</f>
        <v/>
      </c>
      <c r="X978" t="inlineStr">
        <is>
          <t>unverified: map has 45 mph (OSM tag only); main road: what is posted? 35 or lower opens it to LSVs</t>
        </is>
      </c>
      <c r="Y978" t="inlineStr"/>
      <c r="Z978" t="n">
        <v>1825</v>
      </c>
      <c r="AA978" t="inlineStr">
        <is>
          <t>villages</t>
        </is>
      </c>
      <c r="AB978" t="inlineStr">
        <is>
          <t>villages|28.80117,-81.97922</t>
        </is>
      </c>
    </row>
    <row r="979">
      <c r="A979" t="inlineStr">
        <is>
          <t>VILLAGES-B2-082</t>
        </is>
      </c>
      <c r="B979" t="inlineStr">
        <is>
          <t>The Villages, FL</t>
        </is>
      </c>
      <c r="C979" t="inlineStr">
        <is>
          <t>Meggison Road</t>
        </is>
      </c>
      <c r="D979" t="inlineStr">
        <is>
          <t>Warm Springs Avenue</t>
        </is>
      </c>
      <c r="E979" t="inlineStr">
        <is>
          <t>Frazier Way</t>
        </is>
      </c>
      <c r="F979" t="inlineStr"/>
      <c r="G979" t="n">
        <v>35</v>
      </c>
      <c r="H979" t="inlineStr">
        <is>
          <t>tag</t>
        </is>
      </c>
      <c r="I979" t="inlineStr">
        <is>
          <t>LSV</t>
        </is>
      </c>
      <c r="J979" t="inlineStr">
        <is>
          <t>https://www.google.com/maps/@?api=1&amp;map_action=pano&amp;viewpoint=28.789680,-81.983870&amp;heading=111</t>
        </is>
      </c>
      <c r="K979" t="inlineStr">
        <is>
          <t>https://www.google.com/maps/search/?api=1&amp;query=28.789680,-81.983870</t>
        </is>
      </c>
      <c r="L979" t="inlineStr"/>
      <c r="M979" t="inlineStr"/>
      <c r="N979" t="inlineStr"/>
      <c r="O979" t="inlineStr"/>
      <c r="P979" t="inlineStr">
        <is>
          <t>pending</t>
        </is>
      </c>
      <c r="Q979" t="inlineStr"/>
      <c r="R979" t="inlineStr"/>
      <c r="S979" t="inlineStr"/>
      <c r="T979" t="inlineStr"/>
      <c r="U979" t="inlineStr"/>
      <c r="V979">
        <f>IF(OR(L979="",S979=""),"",IF(VALUE(L979)=VALUE(S979),"Y","N"))</f>
        <v/>
      </c>
      <c r="W979">
        <f>IF(V979="Y",S979,"")</f>
        <v/>
      </c>
      <c r="X979" t="inlineStr">
        <is>
          <t>unverified: map has 35 mph (OSM tag only); is it 35 (LSV OK) or 40+?</t>
        </is>
      </c>
      <c r="Y979" t="inlineStr"/>
      <c r="Z979" t="n">
        <v>1806</v>
      </c>
      <c r="AA979" t="inlineStr">
        <is>
          <t>villages</t>
        </is>
      </c>
      <c r="AB979" t="inlineStr">
        <is>
          <t>villages|28.78968,-81.98387</t>
        </is>
      </c>
    </row>
    <row r="980">
      <c r="A980" t="inlineStr">
        <is>
          <t>VILLAGES-B2-083</t>
        </is>
      </c>
      <c r="B980" t="inlineStr">
        <is>
          <t>The Villages, FL</t>
        </is>
      </c>
      <c r="C980" t="inlineStr">
        <is>
          <t>Meggison Road</t>
        </is>
      </c>
      <c r="D980" t="inlineStr">
        <is>
          <t>(see map link)</t>
        </is>
      </c>
      <c r="E980" t="inlineStr">
        <is>
          <t>Warm Springs Avenue</t>
        </is>
      </c>
      <c r="F980" t="inlineStr"/>
      <c r="G980" t="n">
        <v>35</v>
      </c>
      <c r="H980" t="inlineStr">
        <is>
          <t>tag</t>
        </is>
      </c>
      <c r="I980" t="inlineStr">
        <is>
          <t>LSV</t>
        </is>
      </c>
      <c r="J980" t="inlineStr">
        <is>
          <t>https://www.google.com/maps/@?api=1&amp;map_action=pano&amp;viewpoint=28.790560,-81.986040&amp;heading=291</t>
        </is>
      </c>
      <c r="K980" t="inlineStr">
        <is>
          <t>https://www.google.com/maps/search/?api=1&amp;query=28.790560,-81.986040</t>
        </is>
      </c>
      <c r="L980" t="inlineStr"/>
      <c r="M980" t="inlineStr"/>
      <c r="N980" t="inlineStr"/>
      <c r="O980" t="inlineStr"/>
      <c r="P980" t="inlineStr">
        <is>
          <t>pending</t>
        </is>
      </c>
      <c r="Q980" t="inlineStr"/>
      <c r="R980" t="inlineStr"/>
      <c r="S980" t="inlineStr"/>
      <c r="T980" t="inlineStr"/>
      <c r="U980" t="inlineStr"/>
      <c r="V980">
        <f>IF(OR(L980="",S980=""),"",IF(VALUE(L980)=VALUE(S980),"Y","N"))</f>
        <v/>
      </c>
      <c r="W980">
        <f>IF(V980="Y",S980,"")</f>
        <v/>
      </c>
      <c r="X980" t="inlineStr">
        <is>
          <t>unverified: map has 35 mph (OSM tag only); is it 35 (LSV OK) or 40+?</t>
        </is>
      </c>
      <c r="Y980" t="inlineStr"/>
      <c r="Z980" t="n">
        <v>1784</v>
      </c>
      <c r="AA980" t="inlineStr">
        <is>
          <t>villages</t>
        </is>
      </c>
      <c r="AB980" t="inlineStr">
        <is>
          <t>villages|28.79056,-81.98604</t>
        </is>
      </c>
    </row>
    <row r="981">
      <c r="A981" t="inlineStr">
        <is>
          <t>VILLAGES-B2-084</t>
        </is>
      </c>
      <c r="B981" t="inlineStr">
        <is>
          <t>The Villages, FL</t>
        </is>
      </c>
      <c r="C981" t="inlineStr">
        <is>
          <t>County Road 468</t>
        </is>
      </c>
      <c r="D981" t="inlineStr">
        <is>
          <t>SR 44</t>
        </is>
      </c>
      <c r="E981" t="inlineStr">
        <is>
          <t>Lomax Drive</t>
        </is>
      </c>
      <c r="F981" t="inlineStr"/>
      <c r="G981" t="n">
        <v>45</v>
      </c>
      <c r="H981" t="inlineStr">
        <is>
          <t>tag</t>
        </is>
      </c>
      <c r="I981" t="inlineStr">
        <is>
          <t>no</t>
        </is>
      </c>
      <c r="J981" t="inlineStr">
        <is>
          <t>https://www.google.com/maps/@?api=1&amp;map_action=pano&amp;viewpoint=28.844100,-81.916215&amp;heading=1</t>
        </is>
      </c>
      <c r="K981" t="inlineStr">
        <is>
          <t>https://www.google.com/maps/search/?api=1&amp;query=28.844100,-81.916215</t>
        </is>
      </c>
      <c r="L981" t="inlineStr"/>
      <c r="M981" t="inlineStr"/>
      <c r="N981" t="inlineStr"/>
      <c r="O981" t="inlineStr"/>
      <c r="P981" t="inlineStr">
        <is>
          <t>pending</t>
        </is>
      </c>
      <c r="Q981" t="inlineStr"/>
      <c r="R981" t="inlineStr"/>
      <c r="S981" t="inlineStr"/>
      <c r="T981" t="inlineStr"/>
      <c r="U981" t="inlineStr"/>
      <c r="V981">
        <f>IF(OR(L981="",S981=""),"",IF(VALUE(L981)=VALUE(S981),"Y","N"))</f>
        <v/>
      </c>
      <c r="W981">
        <f>IF(V981="Y",S981,"")</f>
        <v/>
      </c>
      <c r="X981" t="inlineStr">
        <is>
          <t>unverified: map has 45 mph (OSM tag only); main road: what is posted? 35 or lower opens it to LSVs</t>
        </is>
      </c>
      <c r="Y981" t="inlineStr"/>
      <c r="Z981" t="n">
        <v>3975</v>
      </c>
      <c r="AA981" t="inlineStr">
        <is>
          <t>villages</t>
        </is>
      </c>
      <c r="AB981" t="inlineStr">
        <is>
          <t>villages|28.84410,-81.91621</t>
        </is>
      </c>
    </row>
    <row r="982">
      <c r="A982" t="inlineStr">
        <is>
          <t>VILLAGES-B2-085</t>
        </is>
      </c>
      <c r="B982" t="inlineStr">
        <is>
          <t>The Villages, FL</t>
        </is>
      </c>
      <c r="C982" t="inlineStr">
        <is>
          <t>Meggison Road</t>
        </is>
      </c>
      <c r="D982" t="inlineStr">
        <is>
          <t>(see map link)</t>
        </is>
      </c>
      <c r="E982" t="inlineStr">
        <is>
          <t>Topping Terrace</t>
        </is>
      </c>
      <c r="F982" t="inlineStr"/>
      <c r="G982" t="n">
        <v>35</v>
      </c>
      <c r="H982" t="inlineStr">
        <is>
          <t>tag</t>
        </is>
      </c>
      <c r="I982" t="inlineStr">
        <is>
          <t>LSV</t>
        </is>
      </c>
      <c r="J982" t="inlineStr">
        <is>
          <t>https://www.google.com/maps/@?api=1&amp;map_action=pano&amp;viewpoint=28.806080,-82.004630&amp;heading=129</t>
        </is>
      </c>
      <c r="K982" t="inlineStr">
        <is>
          <t>https://www.google.com/maps/search/?api=1&amp;query=28.806080,-82.004630</t>
        </is>
      </c>
      <c r="L982" t="inlineStr"/>
      <c r="M982" t="inlineStr"/>
      <c r="N982" t="inlineStr"/>
      <c r="O982" t="inlineStr"/>
      <c r="P982" t="inlineStr">
        <is>
          <t>pending</t>
        </is>
      </c>
      <c r="Q982" t="inlineStr"/>
      <c r="R982" t="inlineStr"/>
      <c r="S982" t="inlineStr"/>
      <c r="T982" t="inlineStr"/>
      <c r="U982" t="inlineStr"/>
      <c r="V982">
        <f>IF(OR(L982="",S982=""),"",IF(VALUE(L982)=VALUE(S982),"Y","N"))</f>
        <v/>
      </c>
      <c r="W982">
        <f>IF(V982="Y",S982,"")</f>
        <v/>
      </c>
      <c r="X982" t="inlineStr">
        <is>
          <t>unverified: map has 35 mph (OSM tag only); is it 35 (LSV OK) or 40+?</t>
        </is>
      </c>
      <c r="Y982" t="inlineStr"/>
      <c r="Z982" t="n">
        <v>3688</v>
      </c>
      <c r="AA982" t="inlineStr">
        <is>
          <t>villages</t>
        </is>
      </c>
      <c r="AB982" t="inlineStr">
        <is>
          <t>villages|28.80608,-82.00463</t>
        </is>
      </c>
    </row>
    <row r="983">
      <c r="A983" t="inlineStr">
        <is>
          <t>VILLAGES-B2-086</t>
        </is>
      </c>
      <c r="B983" t="inlineStr">
        <is>
          <t>The Villages, FL</t>
        </is>
      </c>
      <c r="C983" t="inlineStr">
        <is>
          <t>Meggison Road</t>
        </is>
      </c>
      <c r="D983" t="inlineStr">
        <is>
          <t>(see map link)</t>
        </is>
      </c>
      <c r="E983" t="inlineStr">
        <is>
          <t>Topping Terrace</t>
        </is>
      </c>
      <c r="F983" t="inlineStr"/>
      <c r="G983" t="n">
        <v>35</v>
      </c>
      <c r="H983" t="inlineStr">
        <is>
          <t>tag</t>
        </is>
      </c>
      <c r="I983" t="inlineStr">
        <is>
          <t>LSV</t>
        </is>
      </c>
      <c r="J983" t="inlineStr">
        <is>
          <t>https://www.google.com/maps/@?api=1&amp;map_action=pano&amp;viewpoint=28.806380,-82.004480&amp;heading=323</t>
        </is>
      </c>
      <c r="K983" t="inlineStr">
        <is>
          <t>https://www.google.com/maps/search/?api=1&amp;query=28.806380,-82.004480</t>
        </is>
      </c>
      <c r="L983" t="inlineStr"/>
      <c r="M983" t="inlineStr"/>
      <c r="N983" t="inlineStr"/>
      <c r="O983" t="inlineStr"/>
      <c r="P983" t="inlineStr">
        <is>
          <t>pending</t>
        </is>
      </c>
      <c r="Q983" t="inlineStr"/>
      <c r="R983" t="inlineStr"/>
      <c r="S983" t="inlineStr"/>
      <c r="T983" t="inlineStr"/>
      <c r="U983" t="inlineStr"/>
      <c r="V983">
        <f>IF(OR(L983="",S983=""),"",IF(VALUE(L983)=VALUE(S983),"Y","N"))</f>
        <v/>
      </c>
      <c r="W983">
        <f>IF(V983="Y",S983,"")</f>
        <v/>
      </c>
      <c r="X983" t="inlineStr">
        <is>
          <t>unverified: map has 35 mph (OSM tag only); is it 35 (LSV OK) or 40+?</t>
        </is>
      </c>
      <c r="Y983" t="inlineStr"/>
      <c r="Z983" t="n">
        <v>3683</v>
      </c>
      <c r="AA983" t="inlineStr">
        <is>
          <t>villages</t>
        </is>
      </c>
      <c r="AB983" t="inlineStr">
        <is>
          <t>villages|28.80638,-82.00448</t>
        </is>
      </c>
    </row>
    <row r="984">
      <c r="A984" t="inlineStr">
        <is>
          <t>VILLAGES-B2-087</t>
        </is>
      </c>
      <c r="B984" t="inlineStr">
        <is>
          <t>The Villages, FL</t>
        </is>
      </c>
      <c r="C984" t="inlineStr">
        <is>
          <t>Marion County Road</t>
        </is>
      </c>
      <c r="D984" t="inlineStr">
        <is>
          <t>CR 25</t>
        </is>
      </c>
      <c r="E984" t="inlineStr">
        <is>
          <t>Kendra Lane</t>
        </is>
      </c>
      <c r="F984" t="inlineStr"/>
      <c r="G984" t="n">
        <v>45</v>
      </c>
      <c r="H984" t="inlineStr">
        <is>
          <t>tag</t>
        </is>
      </c>
      <c r="I984" t="inlineStr">
        <is>
          <t>no</t>
        </is>
      </c>
      <c r="J984" t="inlineStr">
        <is>
          <t>https://www.google.com/maps/@?api=1&amp;map_action=pano&amp;viewpoint=28.952500,-81.926845&amp;heading=90</t>
        </is>
      </c>
      <c r="K984" t="inlineStr">
        <is>
          <t>https://www.google.com/maps/search/?api=1&amp;query=28.952500,-81.926845</t>
        </is>
      </c>
      <c r="L984" t="inlineStr"/>
      <c r="M984" t="inlineStr"/>
      <c r="N984" t="inlineStr"/>
      <c r="O984" t="inlineStr"/>
      <c r="P984" t="inlineStr">
        <is>
          <t>pending</t>
        </is>
      </c>
      <c r="Q984" t="inlineStr"/>
      <c r="R984" t="inlineStr"/>
      <c r="S984" t="inlineStr"/>
      <c r="T984" t="inlineStr"/>
      <c r="U984" t="inlineStr"/>
      <c r="V984">
        <f>IF(OR(L984="",S984=""),"",IF(VALUE(L984)=VALUE(S984),"Y","N"))</f>
        <v/>
      </c>
      <c r="W984">
        <f>IF(V984="Y",S984,"")</f>
        <v/>
      </c>
      <c r="X984" t="inlineStr">
        <is>
          <t>unverified: map has 45 mph (OSM tag only); main road: what is posted? 35 or lower opens it to LSVs</t>
        </is>
      </c>
      <c r="Y984" t="inlineStr"/>
      <c r="Z984" t="n">
        <v>1620</v>
      </c>
      <c r="AA984" t="inlineStr">
        <is>
          <t>villages</t>
        </is>
      </c>
      <c r="AB984" t="inlineStr">
        <is>
          <t>villages|28.95250,-81.92685</t>
        </is>
      </c>
    </row>
    <row r="985">
      <c r="A985" t="inlineStr">
        <is>
          <t>VILLAGES-B2-088</t>
        </is>
      </c>
      <c r="B985" t="inlineStr">
        <is>
          <t>The Villages, FL</t>
        </is>
      </c>
      <c r="C985" t="inlineStr">
        <is>
          <t>Southeast County Road 42</t>
        </is>
      </c>
      <c r="D985" t="inlineStr">
        <is>
          <t>US 27;US 441</t>
        </is>
      </c>
      <c r="E985" t="inlineStr">
        <is>
          <t>Southeast 134th Avenue Road</t>
        </is>
      </c>
      <c r="F985" t="inlineStr"/>
      <c r="G985" t="n">
        <v>45</v>
      </c>
      <c r="H985" t="inlineStr">
        <is>
          <t>mapillary</t>
        </is>
      </c>
      <c r="I985" t="inlineStr">
        <is>
          <t>no</t>
        </is>
      </c>
      <c r="J985" t="inlineStr">
        <is>
          <t>https://www.google.com/maps/@?api=1&amp;map_action=pano&amp;viewpoint=28.981880,-81.932880&amp;heading=90</t>
        </is>
      </c>
      <c r="K985" t="inlineStr">
        <is>
          <t>https://www.google.com/maps/search/?api=1&amp;query=28.981880,-81.932880</t>
        </is>
      </c>
      <c r="L985" t="inlineStr"/>
      <c r="M985" t="inlineStr"/>
      <c r="N985" t="inlineStr"/>
      <c r="O985" t="inlineStr"/>
      <c r="P985" t="inlineStr">
        <is>
          <t>pending</t>
        </is>
      </c>
      <c r="Q985" t="inlineStr"/>
      <c r="R985" t="inlineStr"/>
      <c r="S985" t="inlineStr"/>
      <c r="T985" t="inlineStr">
        <is>
          <t>Mapillary: 7 posted 45 mph sign(s) detected</t>
        </is>
      </c>
      <c r="U985" t="inlineStr">
        <is>
          <t>https://www.mapillary.com/app/?lat=28.981950&amp;lng=-81.986490&amp;z=19&amp;focus=map&amp;mapFeatureId=612799930886043</t>
        </is>
      </c>
      <c r="V985">
        <f>IF(OR(L985="",S985=""),"",IF(VALUE(L985)=VALUE(S985),"Y","N"))</f>
        <v/>
      </c>
      <c r="W985">
        <f>IF(V985="Y",S985,"")</f>
        <v/>
      </c>
      <c r="X985" t="inlineStr">
        <is>
          <t>unverified: map has 45 mph (one Mapillary sign); main road: what is posted? 35 or lower opens it to LSVs</t>
        </is>
      </c>
      <c r="Y985" t="inlineStr"/>
      <c r="Z985" t="n">
        <v>6051</v>
      </c>
      <c r="AA985" t="inlineStr">
        <is>
          <t>villages</t>
        </is>
      </c>
      <c r="AB985" t="inlineStr">
        <is>
          <t>villages|28.98188,-81.93288</t>
        </is>
      </c>
    </row>
    <row r="986">
      <c r="A986" t="inlineStr">
        <is>
          <t>VILLAGES-B2-089</t>
        </is>
      </c>
      <c r="B986" t="inlineStr">
        <is>
          <t>The Villages, FL</t>
        </is>
      </c>
      <c r="C986" t="inlineStr">
        <is>
          <t>Rolling Acres Road</t>
        </is>
      </c>
      <c r="D986" t="inlineStr">
        <is>
          <t>CR 466</t>
        </is>
      </c>
      <c r="E986" t="inlineStr">
        <is>
          <t>US 27;US 441</t>
        </is>
      </c>
      <c r="F986" t="inlineStr"/>
      <c r="G986" t="n">
        <v>35</v>
      </c>
      <c r="H986" t="inlineStr">
        <is>
          <t>tag</t>
        </is>
      </c>
      <c r="I986" t="inlineStr">
        <is>
          <t>LSV</t>
        </is>
      </c>
      <c r="J986" t="inlineStr">
        <is>
          <t>https://www.google.com/maps/@?api=1&amp;map_action=pano&amp;viewpoint=28.921410,-81.936940&amp;heading=360</t>
        </is>
      </c>
      <c r="K986" t="inlineStr">
        <is>
          <t>https://www.google.com/maps/search/?api=1&amp;query=28.921410,-81.936940</t>
        </is>
      </c>
      <c r="L986" t="inlineStr"/>
      <c r="M986" t="inlineStr"/>
      <c r="N986" t="inlineStr"/>
      <c r="O986" t="inlineStr"/>
      <c r="P986" t="inlineStr">
        <is>
          <t>pending</t>
        </is>
      </c>
      <c r="Q986" t="inlineStr"/>
      <c r="R986" t="inlineStr"/>
      <c r="S986" t="inlineStr"/>
      <c r="T986" t="inlineStr"/>
      <c r="U986" t="inlineStr"/>
      <c r="V986">
        <f>IF(OR(L986="",S986=""),"",IF(VALUE(L986)=VALUE(S986),"Y","N"))</f>
        <v/>
      </c>
      <c r="W986">
        <f>IF(V986="Y",S986,"")</f>
        <v/>
      </c>
      <c r="X986" t="inlineStr">
        <is>
          <t>unverified: map has 35 mph (OSM tag only); is it 35 (LSV OK) or 40+?</t>
        </is>
      </c>
      <c r="Y986" t="inlineStr"/>
      <c r="Z986" t="n">
        <v>2313</v>
      </c>
      <c r="AA986" t="inlineStr">
        <is>
          <t>villages</t>
        </is>
      </c>
      <c r="AB986" t="inlineStr">
        <is>
          <t>villages|28.92141,-81.93694</t>
        </is>
      </c>
    </row>
    <row r="987">
      <c r="A987" t="inlineStr">
        <is>
          <t>VILLAGES-B2-090</t>
        </is>
      </c>
      <c r="B987" t="inlineStr">
        <is>
          <t>The Villages, FL</t>
        </is>
      </c>
      <c r="C987" t="inlineStr">
        <is>
          <t>Southeast County Road 42</t>
        </is>
      </c>
      <c r="D987" t="inlineStr">
        <is>
          <t>US 27;US 441</t>
        </is>
      </c>
      <c r="E987" t="inlineStr">
        <is>
          <t>Southeast 73rd Avenue</t>
        </is>
      </c>
      <c r="F987" t="inlineStr"/>
      <c r="G987" t="n">
        <v>45</v>
      </c>
      <c r="H987" t="inlineStr">
        <is>
          <t>mapillary</t>
        </is>
      </c>
      <c r="I987" t="inlineStr">
        <is>
          <t>no</t>
        </is>
      </c>
      <c r="J987" t="inlineStr">
        <is>
          <t>https://www.google.com/maps/@?api=1&amp;map_action=pano&amp;viewpoint=28.982195,-82.037660&amp;heading=270</t>
        </is>
      </c>
      <c r="K987" t="inlineStr">
        <is>
          <t>https://www.google.com/maps/search/?api=1&amp;query=28.982195,-82.037660</t>
        </is>
      </c>
      <c r="L987" t="inlineStr"/>
      <c r="M987" t="inlineStr"/>
      <c r="N987" t="inlineStr"/>
      <c r="O987" t="inlineStr"/>
      <c r="P987" t="inlineStr">
        <is>
          <t>pending</t>
        </is>
      </c>
      <c r="Q987" t="inlineStr"/>
      <c r="R987" t="inlineStr"/>
      <c r="S987" t="inlineStr"/>
      <c r="T987" t="inlineStr">
        <is>
          <t>Mapillary: 3 posted 45 mph sign(s) detected</t>
        </is>
      </c>
      <c r="U987" t="inlineStr">
        <is>
          <t>https://www.mapillary.com/app/?lat=28.982138&amp;lng=-82.016205&amp;z=19&amp;focus=map&amp;mapFeatureId=251660697224178</t>
        </is>
      </c>
      <c r="V987">
        <f>IF(OR(L987="",S987=""),"",IF(VALUE(L987)=VALUE(S987),"Y","N"))</f>
        <v/>
      </c>
      <c r="W987">
        <f>IF(V987="Y",S987,"")</f>
        <v/>
      </c>
      <c r="X987" t="inlineStr">
        <is>
          <t>unverified: map has 45 mph (one Mapillary sign); main road: what is posted? 35 or lower opens it to LSVs</t>
        </is>
      </c>
      <c r="Y987" t="inlineStr"/>
      <c r="Z987" t="n">
        <v>5080</v>
      </c>
      <c r="AA987" t="inlineStr">
        <is>
          <t>villages</t>
        </is>
      </c>
      <c r="AB987" t="inlineStr">
        <is>
          <t>villages|28.98219,-82.03766</t>
        </is>
      </c>
    </row>
    <row r="988">
      <c r="A988" t="inlineStr">
        <is>
          <t>VILLAGES-B2-091</t>
        </is>
      </c>
      <c r="B988" t="inlineStr">
        <is>
          <t>The Villages, FL</t>
        </is>
      </c>
      <c r="C988" t="inlineStr">
        <is>
          <t>Country Club Road</t>
        </is>
      </c>
      <c r="D988" t="inlineStr">
        <is>
          <t>County Road 462</t>
        </is>
      </c>
      <c r="E988" t="inlineStr">
        <is>
          <t>County Road 114</t>
        </is>
      </c>
      <c r="F988" t="inlineStr"/>
      <c r="G988" t="n">
        <v>45</v>
      </c>
      <c r="H988" t="inlineStr">
        <is>
          <t>tag</t>
        </is>
      </c>
      <c r="I988" t="inlineStr">
        <is>
          <t>no</t>
        </is>
      </c>
      <c r="J988" t="inlineStr">
        <is>
          <t>https://www.google.com/maps/@?api=1&amp;map_action=pano&amp;viewpoint=28.889685,-82.020590&amp;heading=0</t>
        </is>
      </c>
      <c r="K988" t="inlineStr">
        <is>
          <t>https://www.google.com/maps/search/?api=1&amp;query=28.889685,-82.020590</t>
        </is>
      </c>
      <c r="L988" t="inlineStr"/>
      <c r="M988" t="inlineStr"/>
      <c r="N988" t="inlineStr"/>
      <c r="O988" t="inlineStr"/>
      <c r="P988" t="inlineStr">
        <is>
          <t>pending</t>
        </is>
      </c>
      <c r="Q988" t="inlineStr"/>
      <c r="R988" t="inlineStr"/>
      <c r="S988" t="inlineStr"/>
      <c r="T988" t="inlineStr"/>
      <c r="U988" t="inlineStr"/>
      <c r="V988">
        <f>IF(OR(L988="",S988=""),"",IF(VALUE(L988)=VALUE(S988),"Y","N"))</f>
        <v/>
      </c>
      <c r="W988">
        <f>IF(V988="Y",S988,"")</f>
        <v/>
      </c>
      <c r="X988" t="inlineStr">
        <is>
          <t>unverified: map has 45 mph (OSM tag only); main road: what is posted? 35 or lower opens it to LSVs</t>
        </is>
      </c>
      <c r="Y988" t="inlineStr"/>
      <c r="Z988" t="n">
        <v>2123</v>
      </c>
      <c r="AA988" t="inlineStr">
        <is>
          <t>villages</t>
        </is>
      </c>
      <c r="AB988" t="inlineStr">
        <is>
          <t>villages|28.88969,-82.02059</t>
        </is>
      </c>
    </row>
    <row r="989">
      <c r="A989" t="inlineStr">
        <is>
          <t>VILLAGES-B2-092</t>
        </is>
      </c>
      <c r="B989" t="inlineStr">
        <is>
          <t>The Villages, FL</t>
        </is>
      </c>
      <c r="C989" t="inlineStr">
        <is>
          <t>County Road 472</t>
        </is>
      </c>
      <c r="D989" t="inlineStr">
        <is>
          <t>County Road 117</t>
        </is>
      </c>
      <c r="E989" t="inlineStr">
        <is>
          <t>Lynnhaven Lane</t>
        </is>
      </c>
      <c r="F989" t="inlineStr"/>
      <c r="G989" t="n">
        <v>45</v>
      </c>
      <c r="H989" t="inlineStr">
        <is>
          <t>tag</t>
        </is>
      </c>
      <c r="I989" t="inlineStr">
        <is>
          <t>no</t>
        </is>
      </c>
      <c r="J989" t="inlineStr">
        <is>
          <t>https://www.google.com/maps/@?api=1&amp;map_action=pano&amp;viewpoint=28.909150,-82.032580&amp;heading=270</t>
        </is>
      </c>
      <c r="K989" t="inlineStr">
        <is>
          <t>https://www.google.com/maps/search/?api=1&amp;query=28.909150,-82.032580</t>
        </is>
      </c>
      <c r="L989" t="inlineStr"/>
      <c r="M989" t="inlineStr"/>
      <c r="N989" t="inlineStr"/>
      <c r="O989" t="inlineStr"/>
      <c r="P989" t="inlineStr">
        <is>
          <t>pending</t>
        </is>
      </c>
      <c r="Q989" t="inlineStr"/>
      <c r="R989" t="inlineStr"/>
      <c r="S989" t="inlineStr"/>
      <c r="T989" t="inlineStr"/>
      <c r="U989" t="inlineStr"/>
      <c r="V989">
        <f>IF(OR(L989="",S989=""),"",IF(VALUE(L989)=VALUE(S989),"Y","N"))</f>
        <v/>
      </c>
      <c r="W989">
        <f>IF(V989="Y",S989,"")</f>
        <v/>
      </c>
      <c r="X989" t="inlineStr">
        <is>
          <t>unverified: map has 45 mph (OSM tag only); main road: what is posted? 35 or lower opens it to LSVs</t>
        </is>
      </c>
      <c r="Y989" t="inlineStr"/>
      <c r="Z989" t="n">
        <v>2939</v>
      </c>
      <c r="AA989" t="inlineStr">
        <is>
          <t>villages</t>
        </is>
      </c>
      <c r="AB989" t="inlineStr">
        <is>
          <t>villages|28.90915,-82.03258</t>
        </is>
      </c>
    </row>
    <row r="990">
      <c r="A990" t="inlineStr">
        <is>
          <t>VILLAGES-B2-093</t>
        </is>
      </c>
      <c r="B990" t="inlineStr">
        <is>
          <t>The Villages, FL</t>
        </is>
      </c>
      <c r="C990" t="inlineStr">
        <is>
          <t>CR 466</t>
        </is>
      </c>
      <c r="D990" t="inlineStr">
        <is>
          <t>US 301</t>
        </is>
      </c>
      <c r="E990" t="inlineStr">
        <is>
          <t>County Road 466</t>
        </is>
      </c>
      <c r="F990" t="inlineStr"/>
      <c r="G990" t="n">
        <v>35</v>
      </c>
      <c r="H990" t="inlineStr">
        <is>
          <t>tag</t>
        </is>
      </c>
      <c r="I990" t="inlineStr">
        <is>
          <t>LSV</t>
        </is>
      </c>
      <c r="J990" t="inlineStr">
        <is>
          <t>https://www.google.com/maps/@?api=1&amp;map_action=pano&amp;viewpoint=28.927425,-82.041585&amp;heading=90</t>
        </is>
      </c>
      <c r="K990" t="inlineStr">
        <is>
          <t>https://www.google.com/maps/search/?api=1&amp;query=28.927425,-82.041585</t>
        </is>
      </c>
      <c r="L990" t="inlineStr"/>
      <c r="M990" t="inlineStr"/>
      <c r="N990" t="inlineStr"/>
      <c r="O990" t="inlineStr"/>
      <c r="P990" t="inlineStr">
        <is>
          <t>pending</t>
        </is>
      </c>
      <c r="Q990" t="inlineStr"/>
      <c r="R990" t="inlineStr"/>
      <c r="S990" t="inlineStr"/>
      <c r="T990" t="inlineStr"/>
      <c r="U990" t="inlineStr"/>
      <c r="V990">
        <f>IF(OR(L990="",S990=""),"",IF(VALUE(L990)=VALUE(S990),"Y","N"))</f>
        <v/>
      </c>
      <c r="W990">
        <f>IF(V990="Y",S990,"")</f>
        <v/>
      </c>
      <c r="X990" t="inlineStr">
        <is>
          <t>unverified: map has 35 mph (OSM tag only); is it 35 (LSV OK) or 40+?</t>
        </is>
      </c>
      <c r="Y990" t="inlineStr"/>
      <c r="Z990" t="n">
        <v>1753</v>
      </c>
      <c r="AA990" t="inlineStr">
        <is>
          <t>villages</t>
        </is>
      </c>
      <c r="AB990" t="inlineStr">
        <is>
          <t>villages|28.92742,-82.04158</t>
        </is>
      </c>
    </row>
    <row r="991">
      <c r="A991" t="inlineStr">
        <is>
          <t>VILLAGES-B2-094</t>
        </is>
      </c>
      <c r="B991" t="inlineStr">
        <is>
          <t>The Villages, FL</t>
        </is>
      </c>
      <c r="C991" t="inlineStr">
        <is>
          <t>Southeast 145th Street</t>
        </is>
      </c>
      <c r="D991" t="inlineStr">
        <is>
          <t>Southeast 27th Court</t>
        </is>
      </c>
      <c r="E991" t="inlineStr">
        <is>
          <t>Southeast 28th Court</t>
        </is>
      </c>
      <c r="F991" t="inlineStr"/>
      <c r="G991" t="n">
        <v>40</v>
      </c>
      <c r="H991" t="inlineStr">
        <is>
          <t>tag</t>
        </is>
      </c>
      <c r="I991" t="inlineStr">
        <is>
          <t>no</t>
        </is>
      </c>
      <c r="J991" t="inlineStr">
        <is>
          <t>https://www.google.com/maps/@?api=1&amp;map_action=pano&amp;viewpoint=29.011260,-82.078270&amp;heading=90</t>
        </is>
      </c>
      <c r="K991" t="inlineStr">
        <is>
          <t>https://www.google.com/maps/search/?api=1&amp;query=29.011260,-82.078270</t>
        </is>
      </c>
      <c r="L991" t="inlineStr"/>
      <c r="M991" t="inlineStr"/>
      <c r="N991" t="inlineStr"/>
      <c r="O991" t="inlineStr"/>
      <c r="P991" t="inlineStr">
        <is>
          <t>pending</t>
        </is>
      </c>
      <c r="Q991" t="inlineStr"/>
      <c r="R991" t="inlineStr"/>
      <c r="S991" t="inlineStr"/>
      <c r="T991" t="inlineStr"/>
      <c r="U991" t="inlineStr"/>
      <c r="V991">
        <f>IF(OR(L991="",S991=""),"",IF(VALUE(L991)=VALUE(S991),"Y","N"))</f>
        <v/>
      </c>
      <c r="W991">
        <f>IF(V991="Y",S991,"")</f>
        <v/>
      </c>
      <c r="X991" t="inlineStr">
        <is>
          <t>unverified: map has 40 mph (OSM tag only); is it 35 (LSV OK) or 40+?</t>
        </is>
      </c>
      <c r="Y991" t="inlineStr"/>
      <c r="Z991" t="n">
        <v>6026</v>
      </c>
      <c r="AA991" t="inlineStr">
        <is>
          <t>villages</t>
        </is>
      </c>
      <c r="AB991" t="inlineStr">
        <is>
          <t>villages|29.01126,-82.07827</t>
        </is>
      </c>
    </row>
    <row r="992">
      <c r="A992" t="inlineStr">
        <is>
          <t>VILLAGES-B2-095</t>
        </is>
      </c>
      <c r="B992" t="inlineStr">
        <is>
          <t>The Villages, FL</t>
        </is>
      </c>
      <c r="C992" t="inlineStr">
        <is>
          <t>South Lone Oak Drive</t>
        </is>
      </c>
      <c r="D992" t="inlineStr">
        <is>
          <t>(see map link)</t>
        </is>
      </c>
      <c r="E992" t="inlineStr">
        <is>
          <t>South Street (Hwy 44)</t>
        </is>
      </c>
      <c r="F992" t="inlineStr"/>
      <c r="G992" t="n">
        <v>25</v>
      </c>
      <c r="H992" t="inlineStr">
        <is>
          <t>inferred</t>
        </is>
      </c>
      <c r="I992" t="inlineStr">
        <is>
          <t>cart+LSV</t>
        </is>
      </c>
      <c r="J992" t="inlineStr">
        <is>
          <t>https://www.google.com/maps/@?api=1&amp;map_action=pano&amp;viewpoint=28.812825,-81.899965&amp;heading=0</t>
        </is>
      </c>
      <c r="K992" t="inlineStr">
        <is>
          <t>https://www.google.com/maps/search/?api=1&amp;query=28.812825,-81.899965</t>
        </is>
      </c>
      <c r="L992" t="inlineStr"/>
      <c r="M992" t="inlineStr"/>
      <c r="N992" t="inlineStr"/>
      <c r="O992" t="inlineStr"/>
      <c r="P992" t="inlineStr">
        <is>
          <t>pending</t>
        </is>
      </c>
      <c r="Q992" t="inlineStr"/>
      <c r="R992" t="inlineStr"/>
      <c r="S992" t="inlineStr"/>
      <c r="T992" t="inlineStr"/>
      <c r="U992" t="inlineStr"/>
      <c r="V992">
        <f>IF(OR(L992="",S992=""),"",IF(VALUE(L992)=VALUE(S992),"Y","N"))</f>
        <v/>
      </c>
      <c r="W992">
        <f>IF(V992="Y",S992,"")</f>
        <v/>
      </c>
      <c r="X992" t="inlineStr">
        <is>
          <t>unverified: map has 25 mph (guessed from road type); is it 25 (carts OK) or 30+?</t>
        </is>
      </c>
      <c r="Y992" t="inlineStr"/>
      <c r="Z992" t="n">
        <v>1143</v>
      </c>
      <c r="AA992" t="inlineStr">
        <is>
          <t>villages</t>
        </is>
      </c>
      <c r="AB992" t="inlineStr">
        <is>
          <t>villages|28.81283,-81.89996</t>
        </is>
      </c>
    </row>
    <row r="993">
      <c r="A993" t="inlineStr">
        <is>
          <t>VILLAGES-B2-096</t>
        </is>
      </c>
      <c r="B993" t="inlineStr">
        <is>
          <t>The Villages, FL</t>
        </is>
      </c>
      <c r="C993" t="inlineStr">
        <is>
          <t>Morse Boulevard</t>
        </is>
      </c>
      <c r="D993" t="inlineStr">
        <is>
          <t>(see map link)</t>
        </is>
      </c>
      <c r="E993" t="inlineStr">
        <is>
          <t>Deskin Lane</t>
        </is>
      </c>
      <c r="F993" t="inlineStr"/>
      <c r="G993" t="n">
        <v>35</v>
      </c>
      <c r="H993" t="inlineStr">
        <is>
          <t>tag</t>
        </is>
      </c>
      <c r="I993" t="inlineStr">
        <is>
          <t>LSV</t>
        </is>
      </c>
      <c r="J993" t="inlineStr">
        <is>
          <t>https://www.google.com/maps/@?api=1&amp;map_action=pano&amp;viewpoint=28.829100,-81.971600&amp;heading=25</t>
        </is>
      </c>
      <c r="K993" t="inlineStr">
        <is>
          <t>https://www.google.com/maps/search/?api=1&amp;query=28.829100,-81.971600</t>
        </is>
      </c>
      <c r="L993" t="inlineStr"/>
      <c r="M993" t="inlineStr"/>
      <c r="N993" t="inlineStr"/>
      <c r="O993" t="inlineStr"/>
      <c r="P993" t="inlineStr">
        <is>
          <t>pending</t>
        </is>
      </c>
      <c r="Q993" t="inlineStr"/>
      <c r="R993" t="inlineStr"/>
      <c r="S993" t="inlineStr"/>
      <c r="T993" t="inlineStr"/>
      <c r="U993" t="inlineStr"/>
      <c r="V993">
        <f>IF(OR(L993="",S993=""),"",IF(VALUE(L993)=VALUE(S993),"Y","N"))</f>
        <v/>
      </c>
      <c r="W993">
        <f>IF(V993="Y",S993,"")</f>
        <v/>
      </c>
      <c r="X993" t="inlineStr">
        <is>
          <t>unverified: map has 35 mph (OSM tag only); is it 35 (LSV OK) or 40+?</t>
        </is>
      </c>
      <c r="Y993" t="inlineStr"/>
      <c r="Z993" t="n">
        <v>1187</v>
      </c>
      <c r="AA993" t="inlineStr">
        <is>
          <t>villages</t>
        </is>
      </c>
      <c r="AB993" t="inlineStr">
        <is>
          <t>villages|28.82910,-81.97160</t>
        </is>
      </c>
    </row>
    <row r="994">
      <c r="A994" t="inlineStr">
        <is>
          <t>VILLAGES-B2-097</t>
        </is>
      </c>
      <c r="B994" t="inlineStr">
        <is>
          <t>The Villages, FL</t>
        </is>
      </c>
      <c r="C994" t="inlineStr">
        <is>
          <t>US 301</t>
        </is>
      </c>
      <c r="D994" t="inlineStr">
        <is>
          <t>(see map link)</t>
        </is>
      </c>
      <c r="E994" t="inlineStr">
        <is>
          <t>Northwest Luca Drive</t>
        </is>
      </c>
      <c r="F994" t="inlineStr"/>
      <c r="G994" t="n">
        <v>45</v>
      </c>
      <c r="H994" t="inlineStr">
        <is>
          <t>tag</t>
        </is>
      </c>
      <c r="I994" t="inlineStr">
        <is>
          <t>no</t>
        </is>
      </c>
      <c r="J994" t="inlineStr">
        <is>
          <t>https://www.google.com/maps/@?api=1&amp;map_action=pano&amp;viewpoint=28.843600,-82.045545&amp;heading=180</t>
        </is>
      </c>
      <c r="K994" t="inlineStr">
        <is>
          <t>https://www.google.com/maps/search/?api=1&amp;query=28.843600,-82.045545</t>
        </is>
      </c>
      <c r="L994" t="inlineStr"/>
      <c r="M994" t="inlineStr"/>
      <c r="N994" t="inlineStr"/>
      <c r="O994" t="inlineStr"/>
      <c r="P994" t="inlineStr">
        <is>
          <t>pending</t>
        </is>
      </c>
      <c r="Q994" t="inlineStr"/>
      <c r="R994" t="inlineStr"/>
      <c r="S994" t="inlineStr"/>
      <c r="T994" t="inlineStr"/>
      <c r="U994" t="inlineStr"/>
      <c r="V994">
        <f>IF(OR(L994="",S994=""),"",IF(VALUE(L994)=VALUE(S994),"Y","N"))</f>
        <v/>
      </c>
      <c r="W994">
        <f>IF(V994="Y",S994,"")</f>
        <v/>
      </c>
      <c r="X994" t="inlineStr">
        <is>
          <t>unverified: map has 45 mph (OSM tag only); main road: what is posted? 35 or lower opens it to LSVs</t>
        </is>
      </c>
      <c r="Y994" t="inlineStr"/>
      <c r="Z994" t="n">
        <v>986</v>
      </c>
      <c r="AA994" t="inlineStr">
        <is>
          <t>villages</t>
        </is>
      </c>
      <c r="AB994" t="inlineStr">
        <is>
          <t>villages|28.84360,-82.04555</t>
        </is>
      </c>
    </row>
    <row r="995">
      <c r="A995" t="inlineStr">
        <is>
          <t>VILLAGES-B2-098</t>
        </is>
      </c>
      <c r="B995" t="inlineStr">
        <is>
          <t>The Villages, FL</t>
        </is>
      </c>
      <c r="C995" t="inlineStr">
        <is>
          <t>South Buena Vista Boulevard</t>
        </is>
      </c>
      <c r="D995" t="inlineStr">
        <is>
          <t>(see map link)</t>
        </is>
      </c>
      <c r="E995" t="inlineStr">
        <is>
          <t>Buena Vista Boulevard</t>
        </is>
      </c>
      <c r="F995" t="inlineStr"/>
      <c r="G995" t="n">
        <v>35</v>
      </c>
      <c r="H995" t="inlineStr">
        <is>
          <t>tag</t>
        </is>
      </c>
      <c r="I995" t="inlineStr">
        <is>
          <t>LSV</t>
        </is>
      </c>
      <c r="J995" t="inlineStr">
        <is>
          <t>https://www.google.com/maps/@?api=1&amp;map_action=pano&amp;viewpoint=28.868880,-81.997050&amp;heading=205</t>
        </is>
      </c>
      <c r="K995" t="inlineStr">
        <is>
          <t>https://www.google.com/maps/search/?api=1&amp;query=28.868880,-81.997050</t>
        </is>
      </c>
      <c r="L995" t="inlineStr"/>
      <c r="M995" t="inlineStr"/>
      <c r="N995" t="inlineStr"/>
      <c r="O995" t="inlineStr"/>
      <c r="P995" t="inlineStr">
        <is>
          <t>pending</t>
        </is>
      </c>
      <c r="Q995" t="inlineStr"/>
      <c r="R995" t="inlineStr"/>
      <c r="S995" t="inlineStr"/>
      <c r="T995" t="inlineStr"/>
      <c r="U995" t="inlineStr"/>
      <c r="V995">
        <f>IF(OR(L995="",S995=""),"",IF(VALUE(L995)=VALUE(S995),"Y","N"))</f>
        <v/>
      </c>
      <c r="W995">
        <f>IF(V995="Y",S995,"")</f>
        <v/>
      </c>
      <c r="X995" t="inlineStr">
        <is>
          <t>unverified: map has 35 mph (OSM tag only); is it 35 (LSV OK) or 40+?</t>
        </is>
      </c>
      <c r="Y995" t="inlineStr"/>
      <c r="Z995" t="n">
        <v>1173</v>
      </c>
      <c r="AA995" t="inlineStr">
        <is>
          <t>villages</t>
        </is>
      </c>
      <c r="AB995" t="inlineStr">
        <is>
          <t>villages|28.86888,-81.99705</t>
        </is>
      </c>
    </row>
    <row r="996">
      <c r="A996" t="inlineStr">
        <is>
          <t>VILLAGES-B2-099</t>
        </is>
      </c>
      <c r="B996" t="inlineStr">
        <is>
          <t>The Villages, FL</t>
        </is>
      </c>
      <c r="C996" t="inlineStr">
        <is>
          <t>South Buena Vista Boulevard</t>
        </is>
      </c>
      <c r="D996" t="inlineStr">
        <is>
          <t>Buena Vista Boulevard</t>
        </is>
      </c>
      <c r="E996" t="inlineStr">
        <is>
          <t>County Road 466A</t>
        </is>
      </c>
      <c r="F996" t="inlineStr"/>
      <c r="G996" t="n">
        <v>35</v>
      </c>
      <c r="H996" t="inlineStr">
        <is>
          <t>tag</t>
        </is>
      </c>
      <c r="I996" t="inlineStr">
        <is>
          <t>LSV</t>
        </is>
      </c>
      <c r="J996" t="inlineStr">
        <is>
          <t>https://www.google.com/maps/@?api=1&amp;map_action=pano&amp;viewpoint=28.869120,-81.996810&amp;heading=17</t>
        </is>
      </c>
      <c r="K996" t="inlineStr">
        <is>
          <t>https://www.google.com/maps/search/?api=1&amp;query=28.869120,-81.996810</t>
        </is>
      </c>
      <c r="L996" t="inlineStr"/>
      <c r="M996" t="inlineStr"/>
      <c r="N996" t="inlineStr"/>
      <c r="O996" t="inlineStr"/>
      <c r="P996" t="inlineStr">
        <is>
          <t>pending</t>
        </is>
      </c>
      <c r="Q996" t="inlineStr"/>
      <c r="R996" t="inlineStr"/>
      <c r="S996" t="inlineStr"/>
      <c r="T996" t="inlineStr"/>
      <c r="U996" t="inlineStr"/>
      <c r="V996">
        <f>IF(OR(L996="",S996=""),"",IF(VALUE(L996)=VALUE(S996),"Y","N"))</f>
        <v/>
      </c>
      <c r="W996">
        <f>IF(V996="Y",S996,"")</f>
        <v/>
      </c>
      <c r="X996" t="inlineStr">
        <is>
          <t>unverified: map has 35 mph (OSM tag only); is it 35 (LSV OK) or 40+?</t>
        </is>
      </c>
      <c r="Y996" t="inlineStr"/>
      <c r="Z996" t="n">
        <v>1169</v>
      </c>
      <c r="AA996" t="inlineStr">
        <is>
          <t>villages</t>
        </is>
      </c>
      <c r="AB996" t="inlineStr">
        <is>
          <t>villages|28.86912,-81.99681</t>
        </is>
      </c>
    </row>
    <row r="997">
      <c r="A997" t="inlineStr">
        <is>
          <t>VILLAGES-B2-100</t>
        </is>
      </c>
      <c r="B997" t="inlineStr">
        <is>
          <t>The Villages, FL</t>
        </is>
      </c>
      <c r="C997" t="inlineStr">
        <is>
          <t>US 301</t>
        </is>
      </c>
      <c r="D997" t="inlineStr">
        <is>
          <t>CR 466</t>
        </is>
      </c>
      <c r="E997" t="inlineStr">
        <is>
          <t>County Road 105</t>
        </is>
      </c>
      <c r="F997" t="inlineStr"/>
      <c r="G997" t="n">
        <v>45</v>
      </c>
      <c r="H997" t="inlineStr">
        <is>
          <t>mapillary</t>
        </is>
      </c>
      <c r="I997" t="inlineStr">
        <is>
          <t>no</t>
        </is>
      </c>
      <c r="J997" t="inlineStr">
        <is>
          <t>https://www.google.com/maps/@?api=1&amp;map_action=pano&amp;viewpoint=28.936515,-82.036965&amp;heading=0</t>
        </is>
      </c>
      <c r="K997" t="inlineStr">
        <is>
          <t>https://www.google.com/maps/search/?api=1&amp;query=28.936515,-82.036965</t>
        </is>
      </c>
      <c r="L997" t="inlineStr"/>
      <c r="M997" t="inlineStr"/>
      <c r="N997" t="inlineStr"/>
      <c r="O997" t="inlineStr"/>
      <c r="P997" t="inlineStr">
        <is>
          <t>pending</t>
        </is>
      </c>
      <c r="Q997" t="inlineStr"/>
      <c r="R997" t="inlineStr"/>
      <c r="S997" t="inlineStr"/>
      <c r="T997" t="inlineStr">
        <is>
          <t>Mapillary: 3 posted 45 mph sign(s) detected</t>
        </is>
      </c>
      <c r="U997" t="inlineStr">
        <is>
          <t>https://www.mapillary.com/app/?lat=28.928862&amp;lng=-82.037060&amp;z=19&amp;focus=map&amp;mapFeatureId=411588490843684</t>
        </is>
      </c>
      <c r="V997">
        <f>IF(OR(L997="",S997=""),"",IF(VALUE(L997)=VALUE(S997),"Y","N"))</f>
        <v/>
      </c>
      <c r="W997">
        <f>IF(V997="Y",S997,"")</f>
        <v/>
      </c>
      <c r="X997" t="inlineStr">
        <is>
          <t>unverified: map has 45 mph (one Mapillary sign); main road: what is posted? 35 or lower opens it to LSVs</t>
        </is>
      </c>
      <c r="Y997" t="inlineStr"/>
      <c r="Z997" t="n">
        <v>1195</v>
      </c>
      <c r="AA997" t="inlineStr">
        <is>
          <t>villages</t>
        </is>
      </c>
      <c r="AB997" t="inlineStr">
        <is>
          <t>villages|28.93651,-82.03696</t>
        </is>
      </c>
    </row>
    <row r="998">
      <c r="A998" t="inlineStr">
        <is>
          <t>VILLAGES-B2-101</t>
        </is>
      </c>
      <c r="B998" t="inlineStr">
        <is>
          <t>The Villages, FL</t>
        </is>
      </c>
      <c r="C998" t="inlineStr">
        <is>
          <t>Buena Vista Boulevard</t>
        </is>
      </c>
      <c r="D998" t="inlineStr">
        <is>
          <t>(see map link)</t>
        </is>
      </c>
      <c r="E998" t="inlineStr">
        <is>
          <t>Avalos Drive</t>
        </is>
      </c>
      <c r="F998" t="inlineStr"/>
      <c r="G998" t="n">
        <v>35</v>
      </c>
      <c r="H998" t="inlineStr">
        <is>
          <t>tag</t>
        </is>
      </c>
      <c r="I998" t="inlineStr">
        <is>
          <t>LSV</t>
        </is>
      </c>
      <c r="J998" t="inlineStr">
        <is>
          <t>https://www.google.com/maps/@?api=1&amp;map_action=pano&amp;viewpoint=28.961910,-82.003100&amp;heading=338</t>
        </is>
      </c>
      <c r="K998" t="inlineStr">
        <is>
          <t>https://www.google.com/maps/search/?api=1&amp;query=28.961910,-82.003100</t>
        </is>
      </c>
      <c r="L998" t="inlineStr"/>
      <c r="M998" t="inlineStr"/>
      <c r="N998" t="inlineStr"/>
      <c r="O998" t="inlineStr"/>
      <c r="P998" t="inlineStr">
        <is>
          <t>pending</t>
        </is>
      </c>
      <c r="Q998" t="inlineStr"/>
      <c r="R998" t="inlineStr"/>
      <c r="S998" t="inlineStr"/>
      <c r="T998" t="inlineStr"/>
      <c r="U998" t="inlineStr"/>
      <c r="V998">
        <f>IF(OR(L998="",S998=""),"",IF(VALUE(L998)=VALUE(S998),"Y","N"))</f>
        <v/>
      </c>
      <c r="W998">
        <f>IF(V998="Y",S998,"")</f>
        <v/>
      </c>
      <c r="X998" t="inlineStr">
        <is>
          <t>unverified: map has 35 mph (OSM tag only); is it 35 (LSV OK) or 40+?</t>
        </is>
      </c>
      <c r="Y998" t="inlineStr"/>
      <c r="Z998" t="n">
        <v>1144</v>
      </c>
      <c r="AA998" t="inlineStr">
        <is>
          <t>villages</t>
        </is>
      </c>
      <c r="AB998" t="inlineStr">
        <is>
          <t>villages|28.96191,-82.00310</t>
        </is>
      </c>
    </row>
    <row r="999">
      <c r="A999" t="inlineStr">
        <is>
          <t>VILLAGES-B2-102</t>
        </is>
      </c>
      <c r="B999" t="inlineStr">
        <is>
          <t>The Villages, FL</t>
        </is>
      </c>
      <c r="C999" t="inlineStr">
        <is>
          <t>Buena Vista Boulevard</t>
        </is>
      </c>
      <c r="D999" t="inlineStr">
        <is>
          <t>(see map link)</t>
        </is>
      </c>
      <c r="E999" t="inlineStr">
        <is>
          <t>Tunnel (cart tunnel)</t>
        </is>
      </c>
      <c r="F999" t="inlineStr"/>
      <c r="G999" t="n">
        <v>35</v>
      </c>
      <c r="H999" t="inlineStr">
        <is>
          <t>tag</t>
        </is>
      </c>
      <c r="I999" t="inlineStr">
        <is>
          <t>LSV</t>
        </is>
      </c>
      <c r="J999" t="inlineStr">
        <is>
          <t>https://www.google.com/maps/@?api=1&amp;map_action=pano&amp;viewpoint=28.960150,-82.002430&amp;heading=157</t>
        </is>
      </c>
      <c r="K999" t="inlineStr">
        <is>
          <t>https://www.google.com/maps/search/?api=1&amp;query=28.960150,-82.002430</t>
        </is>
      </c>
      <c r="L999" t="inlineStr"/>
      <c r="M999" t="inlineStr"/>
      <c r="N999" t="inlineStr"/>
      <c r="O999" t="inlineStr"/>
      <c r="P999" t="inlineStr">
        <is>
          <t>pending</t>
        </is>
      </c>
      <c r="Q999" t="inlineStr"/>
      <c r="R999" t="inlineStr"/>
      <c r="S999" t="inlineStr"/>
      <c r="T999" t="inlineStr"/>
      <c r="U999" t="inlineStr"/>
      <c r="V999">
        <f>IF(OR(L999="",S999=""),"",IF(VALUE(L999)=VALUE(S999),"Y","N"))</f>
        <v/>
      </c>
      <c r="W999">
        <f>IF(V999="Y",S999,"")</f>
        <v/>
      </c>
      <c r="X999" t="inlineStr">
        <is>
          <t>unverified: map has 35 mph (OSM tag only); is it 35 (LSV OK) or 40+?</t>
        </is>
      </c>
      <c r="Y999" t="inlineStr"/>
      <c r="Z999" t="n">
        <v>1140</v>
      </c>
      <c r="AA999" t="inlineStr">
        <is>
          <t>villages</t>
        </is>
      </c>
      <c r="AB999" t="inlineStr">
        <is>
          <t>villages|28.96015,-82.00243</t>
        </is>
      </c>
    </row>
    <row r="1000">
      <c r="A1000" t="inlineStr">
        <is>
          <t>VILLAGES-B2-103</t>
        </is>
      </c>
      <c r="B1000" t="inlineStr">
        <is>
          <t>The Villages, FL</t>
        </is>
      </c>
      <c r="C1000" t="inlineStr">
        <is>
          <t>North Dixie Avenue</t>
        </is>
      </c>
      <c r="D1000" t="inlineStr">
        <is>
          <t>East Berckman Street</t>
        </is>
      </c>
      <c r="E1000" t="inlineStr">
        <is>
          <t>Citrus Boulevard</t>
        </is>
      </c>
      <c r="F1000" t="inlineStr"/>
      <c r="G1000" t="n">
        <v>25</v>
      </c>
      <c r="H1000" t="inlineStr">
        <is>
          <t>inferred</t>
        </is>
      </c>
      <c r="I1000" t="inlineStr">
        <is>
          <t>cart+LSV</t>
        </is>
      </c>
      <c r="J1000" t="inlineStr">
        <is>
          <t>https://www.google.com/maps/@?api=1&amp;map_action=pano&amp;viewpoint=28.867330,-81.906540&amp;heading=38</t>
        </is>
      </c>
      <c r="K1000" t="inlineStr">
        <is>
          <t>https://www.google.com/maps/search/?api=1&amp;query=28.867330,-81.906540</t>
        </is>
      </c>
      <c r="L1000" t="inlineStr"/>
      <c r="M1000" t="inlineStr"/>
      <c r="N1000" t="inlineStr"/>
      <c r="O1000" t="inlineStr"/>
      <c r="P1000" t="inlineStr">
        <is>
          <t>pending</t>
        </is>
      </c>
      <c r="Q1000" t="inlineStr"/>
      <c r="R1000" t="inlineStr"/>
      <c r="S1000" t="inlineStr"/>
      <c r="T1000" t="inlineStr"/>
      <c r="U1000" t="inlineStr"/>
      <c r="V1000">
        <f>IF(OR(L1000="",S1000=""),"",IF(VALUE(L1000)=VALUE(S1000),"Y","N"))</f>
        <v/>
      </c>
      <c r="W1000">
        <f>IF(V1000="Y",S1000,"")</f>
        <v/>
      </c>
      <c r="X1000" t="inlineStr">
        <is>
          <t>unverified: map has 25 mph (guessed from road type); is it 25 (carts OK) or 30+?</t>
        </is>
      </c>
      <c r="Y1000" t="inlineStr"/>
      <c r="Z1000" t="n">
        <v>1089</v>
      </c>
      <c r="AA1000" t="inlineStr">
        <is>
          <t>villages</t>
        </is>
      </c>
      <c r="AB1000" t="inlineStr">
        <is>
          <t>villages|28.86733,-81.90654</t>
        </is>
      </c>
    </row>
    <row r="1001">
      <c r="A1001" t="inlineStr">
        <is>
          <t>WAILEA-B2-001</t>
        </is>
      </c>
      <c r="B1001" t="inlineStr">
        <is>
          <t>Wailea &amp; Kihei, Maui</t>
        </is>
      </c>
      <c r="C1001" t="inlineStr">
        <is>
          <t>Piilani Highway</t>
        </is>
      </c>
      <c r="D1001" t="inlineStr">
        <is>
          <t>(see map link)</t>
        </is>
      </c>
      <c r="E1001" t="inlineStr">
        <is>
          <t>Mikioi Place</t>
        </is>
      </c>
      <c r="F1001" t="inlineStr"/>
      <c r="G1001" t="n">
        <v>45</v>
      </c>
      <c r="H1001" t="inlineStr">
        <is>
          <t>city/county</t>
        </is>
      </c>
      <c r="I1001" t="inlineStr">
        <is>
          <t>no</t>
        </is>
      </c>
      <c r="J1001" t="inlineStr">
        <is>
          <t>https://www.google.com/maps/@?api=1&amp;map_action=pano&amp;viewpoint=20.695025,-156.431850&amp;heading=347</t>
        </is>
      </c>
      <c r="K1001" t="inlineStr">
        <is>
          <t>https://www.google.com/maps/search/?api=1&amp;query=20.695025,-156.431850</t>
        </is>
      </c>
      <c r="L1001" t="inlineStr"/>
      <c r="M1001" t="inlineStr"/>
      <c r="N1001" t="inlineStr"/>
      <c r="O1001" t="inlineStr"/>
      <c r="P1001" t="inlineStr">
        <is>
          <t>pending</t>
        </is>
      </c>
      <c r="Q1001" t="inlineStr"/>
      <c r="R1001" t="inlineStr"/>
      <c r="S1001" t="inlineStr"/>
      <c r="T1001" t="inlineStr">
        <is>
          <t>FHWA 2022 speed limit study (HPMS 2020, NHS roads): 31 posted 45 mph</t>
        </is>
      </c>
      <c r="U1001" t="inlineStr">
        <is>
          <t>https://geo.dot.gov/server/rest/services/Hosted/FHWA__2022_Speed_Limit_Study_Results__All_States/FeatureServer/0</t>
        </is>
      </c>
      <c r="V1001">
        <f>IF(OR(L1001="",S1001=""),"",IF(VALUE(L1001)=VALUE(S1001),"Y","N"))</f>
        <v/>
      </c>
      <c r="W1001">
        <f>IF(V1001="Y",S1001,"")</f>
        <v/>
      </c>
      <c r="X1001" t="inlineStr">
        <is>
          <t>RED ISLAND: 87 m of Piilani Highway at 45 mph between 35 mph on both sides (confirmed); is the posted limit really higher here?</t>
        </is>
      </c>
      <c r="Y1001" t="inlineStr"/>
      <c r="Z1001" t="n">
        <v>87</v>
      </c>
      <c r="AA1001" t="inlineStr">
        <is>
          <t>wailea</t>
        </is>
      </c>
      <c r="AB1001" t="inlineStr">
        <is>
          <t>wailea|20.69503,-156.43185</t>
        </is>
      </c>
    </row>
  </sheetData>
  <dataValidations count="2">
    <dataValidation sqref="P2:P1001" showDropDown="0" showInputMessage="0" showErrorMessage="0" allowBlank="0" type="list">
      <formula1>"pending,done,can't tell"</formula1>
    </dataValidation>
    <dataValidation sqref="O2:O1001" showDropDown="0" showInputMessage="0" showErrorMessage="0" allowBlank="0" type="list">
      <formula1>"high,medium,low"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5"/>
  <sheetViews>
    <sheetView workbookViewId="0">
      <selection activeCell="A1" sqref="A1"/>
    </sheetView>
  </sheetViews>
  <sheetFormatPr baseColWidth="8" defaultRowHeight="15"/>
  <cols>
    <col width="160" customWidth="1" min="1" max="1"/>
  </cols>
  <sheetData>
    <row r="1">
      <c r="A1" t="inlineStr">
        <is>
          <t>Street View batch 2: 1,000 stretches, San Diego first. Rows are in priority order within each region: RED ISLAND rows first (a short piece of a road shows as not allowed while the same road is 35 mph or less on both sides; tell us the posted limit on that piece), then roads whose limit we only guessed or took from one unverified source, right at the 25 mph (golf cart) or 35 mph (LSV) line.</t>
        </is>
      </c>
    </row>
    <row r="2">
      <c r="A2" t="inlineStr">
        <is>
          <t>Same as batch 1: fill only the blue columns (posted_speed_seen_mph … notes). If no speed sign is visible on the stretch, set status to "can't tell" and move on (5 minute cap per row). Row order is priority order, so stopping partway is fine.</t>
        </is>
      </c>
    </row>
    <row r="3">
      <c r="A3" t="inlineStr"/>
    </row>
    <row r="4">
      <c r="A4" t="inlineStr">
        <is>
          <t># Golf Cart Maps — Street View speed-limit checker guide</t>
        </is>
      </c>
    </row>
    <row r="5">
      <c r="A5" t="inlineStr"/>
    </row>
    <row r="6">
      <c r="A6" t="inlineStr">
        <is>
          <t>Purpose: confirm the POSTED speed limit on each road in the sheet using Google Maps Street View. The answer decides whether the road is legal for golf carts (posted 25 mph or less) and LSVs (posted 35 mph or less). A wrong number can send someone onto an illegal road, so record only what you actually see on a sign. Never guess.</t>
        </is>
      </c>
    </row>
    <row r="7">
      <c r="A7" t="inlineStr"/>
    </row>
    <row r="8">
      <c r="A8" t="inlineStr">
        <is>
          <t>Time budget: about 2-3 minutes per road. If a road takes more than 5 minutes, stop, set status to "can't tell", write what you saw in notes, and move on.</t>
        </is>
      </c>
    </row>
    <row r="9">
      <c r="A9" t="inlineStr"/>
    </row>
    <row r="10">
      <c r="A10" t="inlineStr">
        <is>
          <t>## Before you start</t>
        </is>
      </c>
    </row>
    <row r="11">
      <c r="A11" t="inlineStr">
        <is>
          <t>1. Use a computer (laptop/desktop) with Chrome, Firefox, Safari or Edge. A phone works but is much slower.</t>
        </is>
      </c>
    </row>
    <row r="12">
      <c r="A12" t="inlineStr">
        <is>
          <t>2. Open the Google Sheet. Go to the "Roads" tab.</t>
        </is>
      </c>
    </row>
    <row r="13">
      <c r="A13" t="inlineStr">
        <is>
          <t>3. Find the first row where status = "pending" and checker_initials is empty. Type your initials in checker_initials right away so nobody else picks the same row.</t>
        </is>
      </c>
    </row>
    <row r="14">
      <c r="A14" t="inlineStr">
        <is>
          <t>4. Each row is one road segment: road_name, between from_cross_street and to_cross_street, in the given city. "(nearby)" means the cross street is near but not touching that end; "(next block)" means both ends meet the same street; "(see map)" means use map_link to see where it is.</t>
        </is>
      </c>
    </row>
    <row r="15">
      <c r="A15" t="inlineStr"/>
    </row>
    <row r="16">
      <c r="A16" t="inlineStr">
        <is>
          <t>## Step-by-step for each row</t>
        </is>
      </c>
    </row>
    <row r="17">
      <c r="A17" t="inlineStr">
        <is>
          <t>1. Click the street_view_link in that row. It opens Google Maps in Street View at a point in the middle of the segment, facing along the road.</t>
        </is>
      </c>
    </row>
    <row r="18">
      <c r="A18" t="inlineStr">
        <is>
          <t xml:space="preserve">   - If it opens a normal map instead of Street View, click map_link, then drag the yellow Pegman (bottom-right of the map) onto the road at the red pin.</t>
        </is>
      </c>
    </row>
    <row r="19">
      <c r="A19" t="inlineStr">
        <is>
          <t xml:space="preserve">   - If there is no Street View for this road at all (no blue line when you drag Pegman), set status = "can't tell", notes = "no Street View", and go to the next row.</t>
        </is>
      </c>
    </row>
    <row r="20">
      <c r="A20" t="inlineStr">
        <is>
          <t>2. Check that you are on the right road: the road name appears in the box at the top-left of the screen. If it shows a different road, click map_link and drop Pegman onto road_name instead.</t>
        </is>
      </c>
    </row>
    <row r="21">
      <c r="A21" t="inlineStr">
        <is>
          <t>3. Check the imagery date:</t>
        </is>
      </c>
    </row>
    <row r="22">
      <c r="A22" t="inlineStr">
        <is>
          <t xml:space="preserve">   - The date shows in the top-left box ("Image capture: Mon YYYY"). </t>
        </is>
      </c>
    </row>
    <row r="23">
      <c r="A23" t="inlineStr">
        <is>
          <t xml:space="preserve">   - Click the clock icon / "See more dates" (time travel) in that box to see older and newer captures. Pick the NEWEST date. Speed limits change; the newest image wins.</t>
        </is>
      </c>
    </row>
    <row r="24">
      <c r="A24" t="inlineStr">
        <is>
          <t xml:space="preserve">   - Write the date you are using in imagery_date (format YYYY-MM, e.g. 2025-06).</t>
        </is>
      </c>
    </row>
    <row r="25">
      <c r="A25" t="inlineStr">
        <is>
          <t>4. Look around:</t>
        </is>
      </c>
    </row>
    <row r="26">
      <c r="A26" t="inlineStr">
        <is>
          <t xml:space="preserve">   - Drag the picture left/right with the mouse to turn the camera. Or press the left/right arrow keys.</t>
        </is>
      </c>
    </row>
    <row r="27">
      <c r="A27" t="inlineStr">
        <is>
          <t xml:space="preserve">   - Scroll the mouse wheel (or press + / -) to zoom in on a sign so you can read it.</t>
        </is>
      </c>
    </row>
    <row r="28">
      <c r="A28" t="inlineStr">
        <is>
          <t xml:space="preserve">   - To move along the road, click the white arrows painted on the road, or click a spot farther down the road, or press the up arrow key (forward) / down arrow key (back).</t>
        </is>
      </c>
    </row>
    <row r="29">
      <c r="A29" t="inlineStr">
        <is>
          <t>5. Travel the segment in direction 1: turn to face along the road toward to_cross_street and move forward until you reach it (or until you find a speed limit sign for this road).</t>
        </is>
      </c>
    </row>
    <row r="30">
      <c r="A30" t="inlineStr">
        <is>
          <t>6. Travel in direction 2: turn around (drag 180 degrees) and go back toward from_cross_street, past your starting point, until you reach it. Signs for each direction are on that direction's right-hand side, so you must check both ways.</t>
        </is>
      </c>
    </row>
    <row r="31">
      <c r="A31" t="inlineStr">
        <is>
          <t>7. Where to look: speed limit signs are usually just after an intersection, on the RIGHT side of the road, at roughly head-to-roof height of a car. Also check the median on divided roads. Zoom in to read the number.</t>
        </is>
      </c>
    </row>
    <row r="32">
      <c r="A32" t="inlineStr">
        <is>
          <t>8. A valid sign is a white rectangle with black text "SPEED LIMIT" and a number (e.g. "SPEED LIMIT 25"). It must face traffic on road_name (not on a side street).</t>
        </is>
      </c>
    </row>
    <row r="33">
      <c r="A33" t="inlineStr"/>
    </row>
    <row r="34">
      <c r="A34" t="inlineStr">
        <is>
          <t>## What does NOT count</t>
        </is>
      </c>
    </row>
    <row r="35">
      <c r="A35" t="inlineStr">
        <is>
          <t>- School zone signs: "SPEED LIMIT 25 WHEN CHILDREN ARE PRESENT" or with "SCHOOL" on top. Note them in notes, but do not use them as the posted limit.</t>
        </is>
      </c>
    </row>
    <row r="36">
      <c r="A36" t="inlineStr">
        <is>
          <t>- Yellow advisory signs (diamond or yellow square, curve arrows, "25 MPH" under a curve symbol, "SLOW"). These are advisory, not limits.</t>
        </is>
      </c>
    </row>
    <row r="37">
      <c r="A37" t="inlineStr">
        <is>
          <t>- Signs on a different road, including signs on a cross street visible from the intersection, or on a freeway ramp.</t>
        </is>
      </c>
    </row>
    <row r="38">
      <c r="A38" t="inlineStr">
        <is>
          <t>- "Minimum speed", truck speed, construction "work zone" temporary signs, or speed feedback radar displays ("YOUR SPEED").</t>
        </is>
      </c>
    </row>
    <row r="39">
      <c r="A39" t="inlineStr">
        <is>
          <t>- Painted numbers on the pavement alone (note them, but they are not a sign).</t>
        </is>
      </c>
    </row>
    <row r="40">
      <c r="A40" t="inlineStr"/>
    </row>
    <row r="41">
      <c r="A41" t="inlineStr">
        <is>
          <t>## If you find no sign</t>
        </is>
      </c>
    </row>
    <row r="42">
      <c r="A42" t="inlineStr">
        <is>
          <t>- Set posted_speed_seen_mph empty, status = "can't tell".</t>
        </is>
      </c>
    </row>
    <row r="43">
      <c r="A43" t="inlineStr">
        <is>
          <t>- In sign_location_note write the nearest speed limit sign you DID see and where (e.g. "nearest sign: 30 on Coast Hwy at Elm, not on this road" or "none seen between X and Y").</t>
        </is>
      </c>
    </row>
    <row r="44">
      <c r="A44" t="inlineStr">
        <is>
          <t>- Do not assume 25 because it looks residential. Never guess.</t>
        </is>
      </c>
    </row>
    <row r="45">
      <c r="A45" t="inlineStr"/>
    </row>
    <row r="46">
      <c r="A46" t="inlineStr">
        <is>
          <t>## Bonus: golf cart / NEV signs</t>
        </is>
      </c>
    </row>
    <row r="47">
      <c r="A47" t="inlineStr">
        <is>
          <t>If you see signs like "GOLF CART CROSSING", "NEV ROUTE", "LSV", a golf cart symbol, or "No golf carts", write exactly what it says and where in notes. These are very valuable.</t>
        </is>
      </c>
    </row>
    <row r="48">
      <c r="A48" t="inlineStr"/>
    </row>
    <row r="49">
      <c r="A49" t="inlineStr">
        <is>
          <t>## How to fill each column</t>
        </is>
      </c>
    </row>
    <row r="50">
      <c r="A50" t="inlineStr">
        <is>
          <t>- posted_speed_seen_mph: the number on the valid sign, digits only (e.g. 25). If both directions show different numbers, put the lower one here and explain in notes. Empty if no sign.</t>
        </is>
      </c>
    </row>
    <row r="51">
      <c r="A51" t="inlineStr">
        <is>
          <t>- sign_location_note: where the sign is: direction of travel and nearest cross street, e.g. "NB, right side, 50 ft past Elm Ave". If signs seen both directions, note both.</t>
        </is>
      </c>
    </row>
    <row r="52">
      <c r="A52" t="inlineStr">
        <is>
          <t>- imagery_date: date of the Street View image you read the sign in, YYYY-MM.</t>
        </is>
      </c>
    </row>
    <row r="53">
      <c r="A53" t="inlineStr">
        <is>
          <t>- confidence: high = clearly readable sign on this road, recent imagery (within ~3 years); medium = readable but older imagery, or only seen in one direction; low = blurry, partly hidden, or unsure it's for this road.</t>
        </is>
      </c>
    </row>
    <row r="54">
      <c r="A54" t="inlineStr">
        <is>
          <t>- status: done = you recorded a valid sign; can't tell = no valid sign / no imagery / over 5 minutes. Leave "pending" only if you haven't looked yet.</t>
        </is>
      </c>
    </row>
    <row r="55">
      <c r="A55" t="inlineStr">
        <is>
          <t>- checker_initials: your initials.</t>
        </is>
      </c>
    </row>
    <row r="56">
      <c r="A56" t="inlineStr">
        <is>
          <t>- notes: anything else: school zones, conflicting signs, golf cart signs, the map pin being on the wrong road, the road looking closed/private.</t>
        </is>
      </c>
    </row>
    <row r="57">
      <c r="A57" t="inlineStr">
        <is>
          <t>- Do not edit columns check_id through map_link. If one looks wrong (wrong road name, wrong place), say so in notes.</t>
        </is>
      </c>
    </row>
    <row r="58">
      <c r="A58" t="inlineStr"/>
    </row>
    <row r="59">
      <c r="A59" t="inlineStr">
        <is>
          <t>## Checklist per row (quick version)</t>
        </is>
      </c>
    </row>
    <row r="60">
      <c r="A60" t="inlineStr">
        <is>
          <t>1. Initials in. 2. Open street_view_link. 3. Confirm road name. 4. Newest imagery, write date. 5. Drive to_cross_street direction, look right. 6. Turn around, drive to from_cross_street, look right. 7. Zoom, read sign. 8. Skip non-counting signs. 9. Fill posted_speed_seen_mph, sign_location_note, confidence, status, notes. 10. Over 5 min? can't tell + note, move on.</t>
        </is>
      </c>
    </row>
    <row r="61">
      <c r="A61" t="inlineStr"/>
    </row>
    <row r="62">
      <c r="A62" t="inlineStr">
        <is>
          <t>## How this scales to 10,000 roads</t>
        </is>
      </c>
    </row>
    <row r="63">
      <c r="A63" t="inlineStr">
        <is>
          <t>- Same columns, same rules. New roads are added in batches, one batch per city (e.g. 500-1,000 rows), so a checker can stay in one area.</t>
        </is>
      </c>
    </row>
    <row r="64">
      <c r="A64" t="inlineStr">
        <is>
          <t>- check_id prefix is the city code (OCN Oceanside, CBD Carlsbad, ENC Encinitas, SOL Solana Beach, DMR Del Mar, LJA La Jolla, PBC Pacific Beach, MBC Mission Beach, OBP Ocean Beach/Point Loma, COR Coronado, IMB Imperial Beach) plus a number, so IDs never clash.</t>
        </is>
      </c>
    </row>
    <row r="65">
      <c r="A65" t="inlineStr">
        <is>
          <t>- For two-source agreement (the plan requires two agreeing sources before a popular-route segment shows as verified), the sheet gets second_checker_initials and second_posted_speed_mph columns. A different person re-checks a row without looking at the first answer; the row is verified only when both match. The Summary tab tracks done, mismatches against our map, and percent complete.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55" customWidth="1" min="1" max="1"/>
  </cols>
  <sheetData>
    <row r="1">
      <c r="A1" t="inlineStr">
        <is>
          <t>metric</t>
        </is>
      </c>
      <c r="B1" t="inlineStr">
        <is>
          <t>value</t>
        </is>
      </c>
    </row>
    <row r="2">
      <c r="A2" t="inlineStr">
        <is>
          <t>total roads</t>
        </is>
      </c>
      <c r="B2">
        <f>COUNTA(Roads!A2:A1001)</f>
        <v/>
      </c>
    </row>
    <row r="3">
      <c r="A3" t="inlineStr">
        <is>
          <t>done</t>
        </is>
      </c>
      <c r="B3">
        <f>COUNTIF(Roads!P2:P1001,"done")</f>
        <v/>
      </c>
    </row>
    <row r="4">
      <c r="A4" t="inlineStr">
        <is>
          <t>can't tell</t>
        </is>
      </c>
      <c r="B4">
        <f>COUNTIF(Roads!P2:P1001,"can't tell")</f>
        <v/>
      </c>
    </row>
    <row r="5">
      <c r="A5" t="inlineStr">
        <is>
          <t>pending</t>
        </is>
      </c>
      <c r="B5">
        <f>COUNTIF(Roads!P2:P1001,"pending")</f>
        <v/>
      </c>
    </row>
    <row r="6">
      <c r="A6" t="inlineStr">
        <is>
          <t>percent done</t>
        </is>
      </c>
      <c r="B6" s="3">
        <f>IF(B2=0,0,(B3+B4)/B2)</f>
        <v/>
      </c>
    </row>
    <row r="7">
      <c r="A7" t="inlineStr">
        <is>
          <t>compared (sign read and we have a GIS/survey value)</t>
        </is>
      </c>
      <c r="B7">
        <f>COUNTIF(Roads!V2:V1001,"Y")+COUNTIF(Roads!V2:V1001,"N")</f>
        <v/>
      </c>
    </row>
    <row r="8">
      <c r="A8" t="inlineStr">
        <is>
          <t>agreed (Y)</t>
        </is>
      </c>
      <c r="B8">
        <f>COUNTIF(Roads!V2:V1001,"Y")</f>
        <v/>
      </c>
    </row>
    <row r="9">
      <c r="A9" t="inlineStr">
        <is>
          <t>disagreed (N)</t>
        </is>
      </c>
      <c r="B9">
        <f>COUNTIF(Roads!V2:V1001,"N")</f>
        <v/>
      </c>
    </row>
    <row r="10">
      <c r="A10" t="inlineStr">
        <is>
          <t>% agreed</t>
        </is>
      </c>
      <c r="B10" s="3">
        <f>IF(B7=0,"",B8/B7)</f>
        <v/>
      </c>
    </row>
    <row r="11">
      <c r="A11" t="inlineStr">
        <is>
          <t>mismatched vs our map (done rows)</t>
        </is>
      </c>
      <c r="B11">
        <f>SUMPRODUCT((Roads!P2:P1001="done")*(Roads!L2:L1001&lt;&gt;"")*(Roads!L2:L1001&lt;&gt;Roads!G2:G1001))</f>
        <v/>
      </c>
    </row>
    <row r="12">
      <c r="A12" t="inlineStr">
        <is>
          <t>red island rows</t>
        </is>
      </c>
      <c r="B12">
        <f>COUNTIF(Roads!X2:X1001,"RED ISLAND*")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2026-10-20T04:04:21Z</dcterms:created>
  <dcterms:modified xmlns:dcterms="http://purl.org/dc/terms/" xmlns:xsi="http://www.w3.org/2001/XMLSchema-instance" xsi:type="dcterms:W3CDTF">2026-10-20T04:04:21Z</dcterms:modified>
</cp:coreProperties>
</file>